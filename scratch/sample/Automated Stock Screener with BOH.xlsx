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day Final List" sheetId="1" r:id="rId5"/>
    <sheet state="visible" name="ETF" sheetId="2" r:id="rId6"/>
    <sheet state="visible" name="Nifty 200" sheetId="3" r:id="rId7"/>
    <sheet state="visible" name="Nifty 50" sheetId="4" r:id="rId8"/>
    <sheet state="visible" name="Bank Nifty" sheetId="5" r:id="rId9"/>
    <sheet state="visible" name="Nifty Next 50" sheetId="6" r:id="rId10"/>
    <sheet state="visible" name="Nifty Midcap 50" sheetId="7" r:id="rId11"/>
    <sheet state="visible" name="Nifty Mid Small Cap 400" sheetId="8" r:id="rId12"/>
    <sheet state="visible" name="Index &amp;SRNTV" sheetId="9" r:id="rId13"/>
    <sheet state="visible" name="www.maheshkaushik.com" sheetId="10" r:id="rId14"/>
    <sheet state="visible" name="PSU Stocks" sheetId="11" r:id="rId15"/>
  </sheets>
  <definedNames/>
  <calcPr/>
</workbook>
</file>

<file path=xl/sharedStrings.xml><?xml version="1.0" encoding="utf-8"?>
<sst xmlns="http://schemas.openxmlformats.org/spreadsheetml/2006/main" count="1046" uniqueCount="636">
  <si>
    <t>Today Final Buying List (Summery of all sheets where stock just crossed his 100 SMA and 20% above from his last 6 months low)</t>
  </si>
  <si>
    <t>Last Update Date &amp; Time</t>
  </si>
  <si>
    <t>NSE:GOLDBEES</t>
  </si>
  <si>
    <t>Nifty 50</t>
  </si>
  <si>
    <t>Nifty 200</t>
  </si>
  <si>
    <t>Bank Nifty</t>
  </si>
  <si>
    <t>Index</t>
  </si>
  <si>
    <t>ETF</t>
  </si>
  <si>
    <t>Nifty Mid Small Cap 400</t>
  </si>
  <si>
    <t>Nifty Next 50</t>
  </si>
  <si>
    <t>Nifty Mid Cap 50</t>
  </si>
  <si>
    <t>PSU Stocks</t>
  </si>
  <si>
    <t>Discloser:-</t>
  </si>
  <si>
    <t>Stocks given in automated sheets not considerd as my recommendations or research reports they selected automatically by formulas.</t>
  </si>
  <si>
    <t>I Mahesh Chander Kaushik, owner of this automated sheet is an existing research analyst and passed NISM certification for research analysts. I have also registered under SEBI(RESEARCH ANALYSTS) REGULATIONS, 2014 ( SEBI Registration Number INH 100000908 ) hereby disclose my financial interest in the subject companies and the nature of such financial interest:- 1 Me and my associates or relatives also using this sheet for selection of short term trading stocks, so my personal interest is included in all of these automated choosen stocks. 2. Me and my associates or relatives have not any actual/beneficial ownership of one percent or more securities of any companies recommended in this sheet. 3. Me and my associates or relatives have not any other material conflict of interest at the time of publication of the automated sheet. 4. Me and my associates or relatives have not received any type of compensation from the subject companies in the past twelve months. 5. I am not served as an officer, director, or employee of the subject companies. 6. I have been not engaged in the market-making activity for the subject companies.</t>
  </si>
  <si>
    <t>Disclaimer:-</t>
  </si>
  <si>
    <t>This sheet is not an advisory service to buy or sell. The contents of “this automated sheet” are only for educational purposes. No liability is accepted for any content in “this automated sheet.” The author is neither a registered stockbroker nor a registered advisor and does not give investment advice. His comments are an expression of opinion only and should not be construed in any manner whatsoever as recommendations to buy or sell a stock, option, future, bond, commodity, index, or any other financial instrument at any time. The author recommends that you consult with a qualified investment advisor, one licensed by appropriate regulatory agencies in your legal jurisdiction, before making any investment decisions. Please read the full disclaimer at the bottom of my blog.</t>
  </si>
  <si>
    <t>Data Accuracy Warning:-</t>
  </si>
  <si>
    <t>This sheet is updated automatically by google finance and data of sheet may be delayed or wrong  so before making any decison please re check all data on NSE  BSE website</t>
  </si>
  <si>
    <t>Please do not consider the above stocks as my recommendations this is a simply 100 DMA breakout screener which I use personally for my own stock selection and I am sharing this screener for educational purposes only so you are advised to research more before making any investment decision.</t>
  </si>
  <si>
    <t xml:space="preserve">       </t>
  </si>
  <si>
    <t>CMP</t>
  </si>
  <si>
    <t>Last Closing</t>
  </si>
  <si>
    <t>Last 6 Month Minimum*1.20</t>
  </si>
  <si>
    <t>100 SMA</t>
  </si>
  <si>
    <t>52 Weeks High</t>
  </si>
  <si>
    <t>52 Weeks 
High Date</t>
  </si>
  <si>
    <t>52 Weeks Low</t>
  </si>
  <si>
    <t>52 Weeks 
Low Date</t>
  </si>
  <si>
    <t>Output</t>
  </si>
  <si>
    <t>Fast Loading Web Page of this sheet link:-</t>
  </si>
  <si>
    <t>NSE:MOM30IETF</t>
  </si>
  <si>
    <t>https://docs.google.com/spreadsheets/d/e/2PACX-1vTkFWPSPwcTHLjQniTjAVzwv80WH-SzOkPPVC8joTrCWXAVxPmVOpkfzRDko8Xu9hYE8YyxsJtCk2o_/pubhtml#</t>
  </si>
  <si>
    <t>NSE:NIFTYQLITY</t>
  </si>
  <si>
    <t>NSE:VAL30IETF</t>
  </si>
  <si>
    <t>NSE:ABSLPSE</t>
  </si>
  <si>
    <t>NSE:UTISXN50</t>
  </si>
  <si>
    <t>NSE:CPSEETF</t>
  </si>
  <si>
    <t>NSE:HNGSNGBEES</t>
  </si>
  <si>
    <t>Watch This Video for more Details about how to use this sheet</t>
  </si>
  <si>
    <t>NSE:MAHKTECH</t>
  </si>
  <si>
    <t>NSE:HDFCGROWTH</t>
  </si>
  <si>
    <t>https://www.youtube.com/watch?v=mdD8w_TR73k</t>
  </si>
  <si>
    <t>NSE:LOWVOLIETF</t>
  </si>
  <si>
    <t>My Blog Link for STP Recommendations</t>
  </si>
  <si>
    <t>NSE:HDFCQUAL</t>
  </si>
  <si>
    <t>http://www.maheshkaushik.com/</t>
  </si>
  <si>
    <t>NSE:BSE500IETF</t>
  </si>
  <si>
    <t>NSE:COMMOIETF</t>
  </si>
  <si>
    <t>NSE:FINIETF</t>
  </si>
  <si>
    <t>NSE:INFRAIETF</t>
  </si>
  <si>
    <t>NSE:MNC</t>
  </si>
  <si>
    <t>NSE:ALPHAETF</t>
  </si>
  <si>
    <t>NSE:MIDSMALL</t>
  </si>
  <si>
    <t>NSE:SMALLCAP</t>
  </si>
  <si>
    <t>NSE:MONIFTY500</t>
  </si>
  <si>
    <t>NSE:MOREALTY</t>
  </si>
  <si>
    <t>NSE:MOSMALL250</t>
  </si>
  <si>
    <t>NSE:MOVALUE</t>
  </si>
  <si>
    <t>NSE:MONQ50</t>
  </si>
  <si>
    <t>NSE:MON100</t>
  </si>
  <si>
    <t>NSE:TOP100CASE</t>
  </si>
  <si>
    <t>NSE:NIFTYBEES</t>
  </si>
  <si>
    <t>NSE:MOMENTUM50</t>
  </si>
  <si>
    <t>NSE:ALPHA</t>
  </si>
  <si>
    <t>NSE:ALPL30IETF</t>
  </si>
  <si>
    <t>NSE:AUTOIETF</t>
  </si>
  <si>
    <t>NSE:BANKBEES</t>
  </si>
  <si>
    <t>NSE:DIVOPPBEES</t>
  </si>
  <si>
    <t>NSE:EVINDIA</t>
  </si>
  <si>
    <t>NSE:BFSI</t>
  </si>
  <si>
    <t>NSE:FMCGIETF</t>
  </si>
  <si>
    <t>NSE:HEALTHY</t>
  </si>
  <si>
    <t>NSE:MOHEALTH</t>
  </si>
  <si>
    <t>NSE:CONSUMBEES</t>
  </si>
  <si>
    <t>NSE:MODEFENCE</t>
  </si>
  <si>
    <t>NSE:TNIDETF</t>
  </si>
  <si>
    <t>NSE:MAKEINDIA</t>
  </si>
  <si>
    <t>NSE:ITBEES</t>
  </si>
  <si>
    <t>NSE:METALIETF</t>
  </si>
  <si>
    <t>NSE:MOM100</t>
  </si>
  <si>
    <t>NSE:MIDCAPETF</t>
  </si>
  <si>
    <t>NSE:MIDQ50ADD</t>
  </si>
  <si>
    <t>NSE:MIDCAP</t>
  </si>
  <si>
    <t>NSE:NEXT50IETF</t>
  </si>
  <si>
    <t>NSE:OILIETF</t>
  </si>
  <si>
    <t>NSE:PHARMABEES</t>
  </si>
  <si>
    <t>NSE:PVTBANIETF</t>
  </si>
  <si>
    <t>NSE:PSUBNKBEES</t>
  </si>
  <si>
    <t>NSE:TOP10ADD</t>
  </si>
  <si>
    <t>NSE:ESG</t>
  </si>
  <si>
    <t>NSE:NV20IETF</t>
  </si>
  <si>
    <t>NSE:MULTICAP</t>
  </si>
  <si>
    <t>NSE:EMULTIMQ</t>
  </si>
  <si>
    <t>NSE:MAFANG</t>
  </si>
  <si>
    <t>NSE:MASPTOP50</t>
  </si>
  <si>
    <t>NSE:ICICIB22</t>
  </si>
  <si>
    <t>NSE:MIDSELIETF</t>
  </si>
  <si>
    <t>NSE:SILVERBEES</t>
  </si>
  <si>
    <t xml:space="preserve">NSE:SENSEXIETF
</t>
  </si>
  <si>
    <t>NSE:SHARIABEES</t>
  </si>
  <si>
    <t>Stock Name</t>
  </si>
  <si>
    <t>NSE:BSE</t>
  </si>
  <si>
    <t>Sheet Slow Loading Problem Solution:- Open chrome://extensions/ and remove all google docs and google sheet related extensions.</t>
  </si>
  <si>
    <t>NSE:BAJAJHLDNG</t>
  </si>
  <si>
    <t>NSE:MFSL</t>
  </si>
  <si>
    <t>NSE:VBL</t>
  </si>
  <si>
    <t>NSE:ICICIPRULI</t>
  </si>
  <si>
    <t xml:space="preserve">Link of Shri Nitin Potade Ji Excel Sheet:- </t>
  </si>
  <si>
    <t>NSE:ETERNAL</t>
  </si>
  <si>
    <t>https://docs.google.com/spreadsheets/d/1I3ktby3qA_EAbcHIZxEVsMomy5Y5qkXO9ppEweNfJXQ/edit#gid=0</t>
  </si>
  <si>
    <t>NSE:HDFCLIFE</t>
  </si>
  <si>
    <t>NSE:BHEL</t>
  </si>
  <si>
    <t>NSE:MAXHEALTH</t>
  </si>
  <si>
    <t>NSE:JIOFIN</t>
  </si>
  <si>
    <t>NSE:OLAELEC</t>
  </si>
  <si>
    <t>NSE:POWERGRID</t>
  </si>
  <si>
    <t>NSE:SWIGGY</t>
  </si>
  <si>
    <t>NSE:ITC</t>
  </si>
  <si>
    <t>NSE:SBILIFE</t>
  </si>
  <si>
    <t>NSE:SUPREMEIND</t>
  </si>
  <si>
    <t>NSE:NESTLEIND</t>
  </si>
  <si>
    <t>NSE:OIL</t>
  </si>
  <si>
    <t>NSE:TIINDIA</t>
  </si>
  <si>
    <t>NSE:ADANIENT</t>
  </si>
  <si>
    <t>NSE:SOLARINDS</t>
  </si>
  <si>
    <t>NSE:BAJAJFINSV</t>
  </si>
  <si>
    <t>NSE:PAYTM</t>
  </si>
  <si>
    <t>NSE:SUZLON</t>
  </si>
  <si>
    <t>NSE:BPCL</t>
  </si>
  <si>
    <t>NSE:NMDC</t>
  </si>
  <si>
    <t>NSE:VMM</t>
  </si>
  <si>
    <t>NSE:LICI</t>
  </si>
  <si>
    <t>NSE:AXISBANK</t>
  </si>
  <si>
    <t>NSE:KOTAKBANK</t>
  </si>
  <si>
    <t>NSE:HINDPETRO</t>
  </si>
  <si>
    <t>NSE:ADANIPORTS</t>
  </si>
  <si>
    <t>NSE:TRENT</t>
  </si>
  <si>
    <t>NSE:SONACOMS</t>
  </si>
  <si>
    <t>NSE:TATAPOWER</t>
  </si>
  <si>
    <t>NSE:APOLLOHOSP</t>
  </si>
  <si>
    <t>NSE:PERSISTENT</t>
  </si>
  <si>
    <t>NSE:NAUKRI</t>
  </si>
  <si>
    <t>NSE:PIDILITIND</t>
  </si>
  <si>
    <t>NSE:TORNTPOWER</t>
  </si>
  <si>
    <t>NSE:TATAELXSI</t>
  </si>
  <si>
    <t>NSE:SHRIRAMFIN</t>
  </si>
  <si>
    <t>NSE:MAHABANK</t>
  </si>
  <si>
    <t>NSE:LT</t>
  </si>
  <si>
    <t>NSE:FEDERALBNK</t>
  </si>
  <si>
    <t>NSE:ICICIGI</t>
  </si>
  <si>
    <t>NSE:DMART</t>
  </si>
  <si>
    <t>NSE:SBICARD</t>
  </si>
  <si>
    <t>NSE:INFY</t>
  </si>
  <si>
    <t>NSE:BAJFINANCE</t>
  </si>
  <si>
    <t>NSE:RELIANCE</t>
  </si>
  <si>
    <t>NSE:GODREJCP</t>
  </si>
  <si>
    <t>NSE:TATASTEEL</t>
  </si>
  <si>
    <t>NSE:BOSCHLTD</t>
  </si>
  <si>
    <t>NSE:AUBANK</t>
  </si>
  <si>
    <t>NSE:TITAN</t>
  </si>
  <si>
    <t>NSE:LTIM</t>
  </si>
  <si>
    <t>NSE:TATACONSUM</t>
  </si>
  <si>
    <t>NSE:ONGC</t>
  </si>
  <si>
    <t>NSE:HINDUNILVR</t>
  </si>
  <si>
    <t>NSE:MRF</t>
  </si>
  <si>
    <t>NSE:DABUR</t>
  </si>
  <si>
    <t>NSE:HCLTECH</t>
  </si>
  <si>
    <t>NSE:VEDL</t>
  </si>
  <si>
    <t>NSE:TECHM</t>
  </si>
  <si>
    <t>NSE:CIPLA</t>
  </si>
  <si>
    <t>NSE:INDUSINDBK</t>
  </si>
  <si>
    <t>NSE:BRITANNIA</t>
  </si>
  <si>
    <t>NSE:HYUNDAI</t>
  </si>
  <si>
    <t>NSE:NTPC</t>
  </si>
  <si>
    <t>NSE:ASTRAL</t>
  </si>
  <si>
    <t>NSE:TCS</t>
  </si>
  <si>
    <t>NSE:IGL</t>
  </si>
  <si>
    <t>NSE:HAVELLS</t>
  </si>
  <si>
    <t>NSE:HINDZINC</t>
  </si>
  <si>
    <t>NSE:PRESTIGE</t>
  </si>
  <si>
    <t>NSE:PIIND</t>
  </si>
  <si>
    <t>NSE:NYKAA</t>
  </si>
  <si>
    <t>NSE:COFORGE</t>
  </si>
  <si>
    <t>NSE:WIPRO</t>
  </si>
  <si>
    <t>NSE:OFSS</t>
  </si>
  <si>
    <t>NSE:HEROMOTOCO</t>
  </si>
  <si>
    <t>NSE:YESBANK</t>
  </si>
  <si>
    <t>NSE:GODREJPROP</t>
  </si>
  <si>
    <t>NSE:HDFCBANK</t>
  </si>
  <si>
    <t>NSE:ASIANPAINT</t>
  </si>
  <si>
    <t>NSE:ACC</t>
  </si>
  <si>
    <t>NSE:SBIN</t>
  </si>
  <si>
    <t>NSE:OBEROIRLTY</t>
  </si>
  <si>
    <t>NSE:AMBUJACEM</t>
  </si>
  <si>
    <t>NSE:COALINDIA</t>
  </si>
  <si>
    <t>NSE:BANKBARODA</t>
  </si>
  <si>
    <t>NSE:POLICYBZR</t>
  </si>
  <si>
    <t>NSE:ABB</t>
  </si>
  <si>
    <t>NSE:INDIANB</t>
  </si>
  <si>
    <t>NSE:ICICIBANK</t>
  </si>
  <si>
    <t>NSE:APOLLOTYRE</t>
  </si>
  <si>
    <t>NSE:IOC</t>
  </si>
  <si>
    <t>NSE:IREDA</t>
  </si>
  <si>
    <t>NSE:DRREDDY</t>
  </si>
  <si>
    <t>NSE:IRCTC</t>
  </si>
  <si>
    <t>NSE:LTF</t>
  </si>
  <si>
    <t>NSE:HDFCAMC</t>
  </si>
  <si>
    <t>NSE:BANKINDIA</t>
  </si>
  <si>
    <t>NSE:ULTRACEMCO</t>
  </si>
  <si>
    <t>NSE:MARICO</t>
  </si>
  <si>
    <t>NSE:COCHINSHIP</t>
  </si>
  <si>
    <t>NSE:LUPIN</t>
  </si>
  <si>
    <t>NSE:BAJAJHFL</t>
  </si>
  <si>
    <t>NSE:KPITTECH</t>
  </si>
  <si>
    <t>NSE:ZYDUSLIFE</t>
  </si>
  <si>
    <t>NSE:JSWSTEEL</t>
  </si>
  <si>
    <t>NSE:CANBK</t>
  </si>
  <si>
    <t>NSE:M&amp;MFIN</t>
  </si>
  <si>
    <t>NSE:RECLTD</t>
  </si>
  <si>
    <t>NSE:AUROPHARMA</t>
  </si>
  <si>
    <t>NSE:M&amp;M</t>
  </si>
  <si>
    <t>NSE:UNIONBANK</t>
  </si>
  <si>
    <t>NSE:IDFCFIRSTB</t>
  </si>
  <si>
    <t>NSE:ABCAPITAL</t>
  </si>
  <si>
    <t>NSE:SAIL</t>
  </si>
  <si>
    <t>NSE:UNITDSPR</t>
  </si>
  <si>
    <t>NSE:BHARATFORG</t>
  </si>
  <si>
    <t>NSE:ADANIGREEN</t>
  </si>
  <si>
    <t>NSE:IDEA</t>
  </si>
  <si>
    <t>NSE:INDIGO</t>
  </si>
  <si>
    <t>NSE:EICHERMOT</t>
  </si>
  <si>
    <t>NSE:MARUTI</t>
  </si>
  <si>
    <t>NSE:LODHA</t>
  </si>
  <si>
    <t>NSE:TATAMOTORS</t>
  </si>
  <si>
    <t>NSE:HINDALCO</t>
  </si>
  <si>
    <t>NSE:TATACOMM</t>
  </si>
  <si>
    <t>NSE:BAJAJ-AUTO</t>
  </si>
  <si>
    <t>NSE:APLAPOLLO</t>
  </si>
  <si>
    <t>NSE:ALKEM</t>
  </si>
  <si>
    <t>NSE:ADANIPOWER</t>
  </si>
  <si>
    <t>NSE:TATATECH</t>
  </si>
  <si>
    <t>NSE:SHREECEM</t>
  </si>
  <si>
    <t>NSE:PNB</t>
  </si>
  <si>
    <t>NSE:LICHSGFIN</t>
  </si>
  <si>
    <t>NSE:CGPOWER</t>
  </si>
  <si>
    <t>NSE:MAZDOCK</t>
  </si>
  <si>
    <t>NSE:BEL</t>
  </si>
  <si>
    <t>NSE:INDHOTEL</t>
  </si>
  <si>
    <t>NSE:CHOLAFIN</t>
  </si>
  <si>
    <t>NSE:BHARTIARTL</t>
  </si>
  <si>
    <t>NSE:HUDCO</t>
  </si>
  <si>
    <t>NSE:KALYANKJIL</t>
  </si>
  <si>
    <t>NSE:ATGL</t>
  </si>
  <si>
    <t>NSE:EXIDEIND</t>
  </si>
  <si>
    <t>NSE:MOTHERSON</t>
  </si>
  <si>
    <t>NSE:IRFC</t>
  </si>
  <si>
    <t>NSE:PFC</t>
  </si>
  <si>
    <r>
      <rPr/>
      <t xml:space="preserve">From 28 Oct 2020 India Bulls Venturs Name Change as Dhani Services Limited Download Circular from this link </t>
    </r>
    <r>
      <rPr>
        <color rgb="FF1155CC"/>
        <u/>
      </rPr>
      <t>https://archives.nseindia.com/content/circulars/CML46146.pdf</t>
    </r>
    <r>
      <rPr/>
      <t xml:space="preserve"> ,  So DHANI is new symbol for IBVENTURES</t>
    </r>
  </si>
  <si>
    <t>NSE:UPL</t>
  </si>
  <si>
    <t>NSE:PHOENIXLTD</t>
  </si>
  <si>
    <t>NSE:COLPAL</t>
  </si>
  <si>
    <t>NSE:BANDHANBNK</t>
  </si>
  <si>
    <t>NSE:MPHASIS</t>
  </si>
  <si>
    <t>NSE:ESCORTS</t>
  </si>
  <si>
    <t>NSE:ASHOKLEY</t>
  </si>
  <si>
    <t>NSE:PETRONET</t>
  </si>
  <si>
    <t>NSE:DLF</t>
  </si>
  <si>
    <t>NSE:SRF</t>
  </si>
  <si>
    <t>NSE:INDUSTOWER</t>
  </si>
  <si>
    <t>NSE:ADANIENSOL</t>
  </si>
  <si>
    <t>NSE:MUTHOOTFIN</t>
  </si>
  <si>
    <t>NSE:NATIONALUM</t>
  </si>
  <si>
    <t>NSE:JINDALSTEL</t>
  </si>
  <si>
    <t>NSE:SJVN</t>
  </si>
  <si>
    <t>NSE:MANKIND</t>
  </si>
  <si>
    <t>NSE:IRB</t>
  </si>
  <si>
    <t>NSE:BIOCON</t>
  </si>
  <si>
    <t>NSE:GLENMARK</t>
  </si>
  <si>
    <t>NSE:GRASIM</t>
  </si>
  <si>
    <t>NSE:PATANJALI</t>
  </si>
  <si>
    <t>NSE:GAIL</t>
  </si>
  <si>
    <t>NSE:JSWENERGY</t>
  </si>
  <si>
    <t>NSE:VOLTAS</t>
  </si>
  <si>
    <t>NSE:ABFRL</t>
  </si>
  <si>
    <t>NSE:DIVISLAB</t>
  </si>
  <si>
    <t>NSE:TVSMOTOR</t>
  </si>
  <si>
    <t>NSE:PAGEIND</t>
  </si>
  <si>
    <t>NSE:DIXON</t>
  </si>
  <si>
    <t>NSE:POLYCAB</t>
  </si>
  <si>
    <t>NSE:CUMMINSIND</t>
  </si>
  <si>
    <t>NSE:BDL</t>
  </si>
  <si>
    <t>NSE:SIEMENS</t>
  </si>
  <si>
    <t>NSE:NTPCGREEN</t>
  </si>
  <si>
    <t>NSE:TORNTPHARM</t>
  </si>
  <si>
    <t>NSE:MOTILALOFS</t>
  </si>
  <si>
    <t>NSE:HAL</t>
  </si>
  <si>
    <t>NSE:JUBLFOOD</t>
  </si>
  <si>
    <t>NSE:BHARTIHEXA</t>
  </si>
  <si>
    <t>NSE:SUNPHARMA</t>
  </si>
  <si>
    <t>NSE:RVNL</t>
  </si>
  <si>
    <t>NSE:NHPC</t>
  </si>
  <si>
    <t>NSE:CONCOR</t>
  </si>
  <si>
    <t>NSE:GMRAIRPORT</t>
  </si>
  <si>
    <t>NSE:PREMIERENE</t>
  </si>
  <si>
    <t>NSE:WAAREEENER</t>
  </si>
  <si>
    <t>Mahesh Chander Kaushik You Tube Channel Link:-</t>
  </si>
  <si>
    <t>https://www.youtube.com/maheshchanderkaushik</t>
  </si>
  <si>
    <t>My Books Link</t>
  </si>
  <si>
    <t>https://amzn.to/2HPILRM</t>
  </si>
  <si>
    <t>NSE:HONASA</t>
  </si>
  <si>
    <t>NSE:RPOWER</t>
  </si>
  <si>
    <t>NSE:IFCI</t>
  </si>
  <si>
    <t>NSE:EMCURE</t>
  </si>
  <si>
    <t>NSE:TBOTEK</t>
  </si>
  <si>
    <t>NSE:CLEAN</t>
  </si>
  <si>
    <t>NSE:FINPIPE</t>
  </si>
  <si>
    <t>NSE:ANGELONE</t>
  </si>
  <si>
    <t>NSE:HINDCOPPER</t>
  </si>
  <si>
    <t>NSE:FIRSTCRY</t>
  </si>
  <si>
    <t>NSE:MMTC</t>
  </si>
  <si>
    <t>NSE:ABREL</t>
  </si>
  <si>
    <t>NSE:ALKYLAMINE</t>
  </si>
  <si>
    <t>NSE:STARHEALTH</t>
  </si>
  <si>
    <t>NSE:NIACL</t>
  </si>
  <si>
    <t>NSE:JPPOWER</t>
  </si>
  <si>
    <t>NSE:SUNDARMFIN</t>
  </si>
  <si>
    <t>NSE:JBMA</t>
  </si>
  <si>
    <t>NSE:FSL</t>
  </si>
  <si>
    <t>NSE:HFCL</t>
  </si>
  <si>
    <t>NSE:OLECTRA</t>
  </si>
  <si>
    <t>NSE:JINDALSAW</t>
  </si>
  <si>
    <t>NSE:GPIL</t>
  </si>
  <si>
    <t>NSE:SCI</t>
  </si>
  <si>
    <t>NSE:MRPL</t>
  </si>
  <si>
    <t>NSE:ENDURANCE</t>
  </si>
  <si>
    <t>NSE:MEDANTA</t>
  </si>
  <si>
    <t>NSE:HEG</t>
  </si>
  <si>
    <t>NSE:CYIENT</t>
  </si>
  <si>
    <t>NSE:PGEL</t>
  </si>
  <si>
    <t>NSE:ANANDRATHI</t>
  </si>
  <si>
    <t>NSE:AADHARHFC</t>
  </si>
  <si>
    <t>NSE:LTFOODS</t>
  </si>
  <si>
    <t>NSE:360ONE</t>
  </si>
  <si>
    <t>NSE:LEMONTREE</t>
  </si>
  <si>
    <t>NSE:BEML</t>
  </si>
  <si>
    <t>NSE:NSLNISP</t>
  </si>
  <si>
    <t>NSE:PVRINOX</t>
  </si>
  <si>
    <t>NSE:EIDPARRY</t>
  </si>
  <si>
    <t>NSE:GMDCLTD</t>
  </si>
  <si>
    <t>NSE:SWANENERGY</t>
  </si>
  <si>
    <t>NSE:KARURVYSYA</t>
  </si>
  <si>
    <t>NSE:KFINTECH</t>
  </si>
  <si>
    <t>NSE:JYOTICNC</t>
  </si>
  <si>
    <t>NSE:ZENSARTECH</t>
  </si>
  <si>
    <t>NSE:BLS</t>
  </si>
  <si>
    <t>NSE:WOCKPHARMA</t>
  </si>
  <si>
    <t>NSE:ACE</t>
  </si>
  <si>
    <t>NSE:LATENTVIEW</t>
  </si>
  <si>
    <t>NSE:MCX</t>
  </si>
  <si>
    <t>NSE:TATACHEM</t>
  </si>
  <si>
    <t>NSE:GESHIP</t>
  </si>
  <si>
    <t>NSE:TRITURBINE</t>
  </si>
  <si>
    <t>NSE:GICRE</t>
  </si>
  <si>
    <t>NSE:RAMCOCEM</t>
  </si>
  <si>
    <t>NSE:AIAENG</t>
  </si>
  <si>
    <t>NSE:CROMPTON</t>
  </si>
  <si>
    <t>NSE:GRAPHITE</t>
  </si>
  <si>
    <t>NSE:RENUKA</t>
  </si>
  <si>
    <t>NSE:GVT&amp;D</t>
  </si>
  <si>
    <t>NSE:DALBHARAT</t>
  </si>
  <si>
    <t>NSE:AFFLE</t>
  </si>
  <si>
    <t>NSE:TANLA</t>
  </si>
  <si>
    <t>NSE:MSUMI</t>
  </si>
  <si>
    <t>NSE:KAYNES</t>
  </si>
  <si>
    <t>NSE:JSL</t>
  </si>
  <si>
    <t>NSE:BATAINDIA</t>
  </si>
  <si>
    <t>NSE:GPPL</t>
  </si>
  <si>
    <t>NSE:SBFC</t>
  </si>
  <si>
    <t>NSE:APARINDS</t>
  </si>
  <si>
    <t>NSE:IPCALAB</t>
  </si>
  <si>
    <t>NSE:CENTRALBK</t>
  </si>
  <si>
    <t>NSE:TATAINVEST</t>
  </si>
  <si>
    <t>NSE:UBL</t>
  </si>
  <si>
    <t>NSE:ABSLAMC</t>
  </si>
  <si>
    <t>NSE:JBCHEPHARM</t>
  </si>
  <si>
    <t>NSE:SKFINDIA</t>
  </si>
  <si>
    <t>NSE:COHANCE</t>
  </si>
  <si>
    <t>NSE:JYOTHYLAB</t>
  </si>
  <si>
    <t>NSE:SONATSOFTW</t>
  </si>
  <si>
    <t>NSE:AIIL</t>
  </si>
  <si>
    <t>NSE:ALIVUS</t>
  </si>
  <si>
    <t>NSE:SAREGAMA</t>
  </si>
  <si>
    <t>NSE:HBLENGINE</t>
  </si>
  <si>
    <t>NSE:ARE&amp;M</t>
  </si>
  <si>
    <t>NSE:INDIACEM</t>
  </si>
  <si>
    <t>NSE:CESC</t>
  </si>
  <si>
    <t>NSE:FINCABLES</t>
  </si>
  <si>
    <t>NSE:AWL</t>
  </si>
  <si>
    <t>NSE:PEL</t>
  </si>
  <si>
    <t>NSE:NIVABUPA</t>
  </si>
  <si>
    <t>NSE:BLUEDART</t>
  </si>
  <si>
    <t>NSE:DELHIVERY</t>
  </si>
  <si>
    <t>NSE:TARIL</t>
  </si>
  <si>
    <t>NSE:CUB</t>
  </si>
  <si>
    <t>NSE:SAMMAANCAP</t>
  </si>
  <si>
    <t>NSE:BALKRISIND</t>
  </si>
  <si>
    <t>NSE:KIMS</t>
  </si>
  <si>
    <t>NSE:SAPPHIRE</t>
  </si>
  <si>
    <t>NSE:CHAMBLFERT</t>
  </si>
  <si>
    <t>NSE:LINDEINDIA</t>
  </si>
  <si>
    <t>NSE:ELGIEQUIP</t>
  </si>
  <si>
    <t>NSE:IGIL</t>
  </si>
  <si>
    <t>NSE:BSOFT</t>
  </si>
  <si>
    <t>NSE:NUVAMA</t>
  </si>
  <si>
    <t>NSE:JUSTDIAL</t>
  </si>
  <si>
    <t>NSE:CENTURYPLY</t>
  </si>
  <si>
    <t>NSE:IOB</t>
  </si>
  <si>
    <t>NSE:LALPATHLAB</t>
  </si>
  <si>
    <t>NSE:SOBHA</t>
  </si>
  <si>
    <t>NSE:MASTEK</t>
  </si>
  <si>
    <t>NSE:INOXINDIA</t>
  </si>
  <si>
    <t>NSE:NAM-INDIA</t>
  </si>
  <si>
    <t>NSE:FIVESTAR</t>
  </si>
  <si>
    <t>NSE:LLOYDSME</t>
  </si>
  <si>
    <t>NSE:GNFC</t>
  </si>
  <si>
    <t>NSE:JUBLINGREA</t>
  </si>
  <si>
    <t>NSE:J&amp;KBANK</t>
  </si>
  <si>
    <t>NSE:RBLBANK</t>
  </si>
  <si>
    <t>NSE:JUBLPHARMA</t>
  </si>
  <si>
    <t>NSE:ELECON</t>
  </si>
  <si>
    <t>NSE:MINDACORP</t>
  </si>
  <si>
    <t>NSE:WELSPUNLIV</t>
  </si>
  <si>
    <t>NSE:HONAUT</t>
  </si>
  <si>
    <t>NSE:CGCL</t>
  </si>
  <si>
    <t>NSE:IDBI</t>
  </si>
  <si>
    <t>NSE:UCOBANK</t>
  </si>
  <si>
    <t>NSE:GRSE</t>
  </si>
  <si>
    <t>NSE:NH</t>
  </si>
  <si>
    <t>NSE:EIHOTEL</t>
  </si>
  <si>
    <t>NSE:GRANULES</t>
  </si>
  <si>
    <t>NSE:UTIAMC</t>
  </si>
  <si>
    <t>NSE:NETWORK18</t>
  </si>
  <si>
    <t>NSE:DBREALTY</t>
  </si>
  <si>
    <t>NSE:GODFRYPHLP</t>
  </si>
  <si>
    <t>NSE:RRKABEL</t>
  </si>
  <si>
    <t>NSE:SARDAEN</t>
  </si>
  <si>
    <t>NSE:METROPOLIS</t>
  </si>
  <si>
    <t>NSE:HOMEFIRST</t>
  </si>
  <si>
    <t>NSE:CDSL</t>
  </si>
  <si>
    <t>NSE:CONCORDBIO</t>
  </si>
  <si>
    <t>NSE:MANAPPURAM</t>
  </si>
  <si>
    <t>NSE:GILLETTE</t>
  </si>
  <si>
    <t>NSE:ASAHIINDIA</t>
  </si>
  <si>
    <t>NSE:JKCEMENT</t>
  </si>
  <si>
    <t>NSE:IKS</t>
  </si>
  <si>
    <t>NSE:LAURUSLABS</t>
  </si>
  <si>
    <t>NSE:POONAWALLA</t>
  </si>
  <si>
    <t>NSE:CARBORUNIV</t>
  </si>
  <si>
    <t>NSE:AKUMS</t>
  </si>
  <si>
    <t>NSE:GODREJIND</t>
  </si>
  <si>
    <t>NSE:LTTS</t>
  </si>
  <si>
    <t>NSE:INOXWIND</t>
  </si>
  <si>
    <t>NSE:ZENTEC</t>
  </si>
  <si>
    <t>NSE:NEWGEN</t>
  </si>
  <si>
    <t>NSE:NATCOPHARM</t>
  </si>
  <si>
    <t>NSE:SHYAMMETL</t>
  </si>
  <si>
    <t>NSE:AARTIIND</t>
  </si>
  <si>
    <t>NSE:IIFL</t>
  </si>
  <si>
    <t>NSE:USHAMART</t>
  </si>
  <si>
    <t>NSE:BLUESTARCO</t>
  </si>
  <si>
    <t>NSE:JKTYRE</t>
  </si>
  <si>
    <t>NSE:CAMS</t>
  </si>
  <si>
    <t>NSE:SUNDRMFAST</t>
  </si>
  <si>
    <t>NSE:ATUL</t>
  </si>
  <si>
    <t>NSE:PNCINFRA</t>
  </si>
  <si>
    <t>NSE:PNBHOUSING</t>
  </si>
  <si>
    <t>NSE:SUMICHEM</t>
  </si>
  <si>
    <t>NSE:NLCINDIA</t>
  </si>
  <si>
    <t>NSE:APLLTD</t>
  </si>
  <si>
    <t>NSE:HSCL</t>
  </si>
  <si>
    <t>NSE:CRISIL</t>
  </si>
  <si>
    <t>NSE:SYNGENE</t>
  </si>
  <si>
    <t>NSE:RITES</t>
  </si>
  <si>
    <t>NSE:GODREJAGRO</t>
  </si>
  <si>
    <t>NSE:CHALET</t>
  </si>
  <si>
    <t>NSE:FACT</t>
  </si>
  <si>
    <t>NSE:GUJGASLTD</t>
  </si>
  <si>
    <t>NSE:ZEEL</t>
  </si>
  <si>
    <t>NSE:IEX</t>
  </si>
  <si>
    <t>NSE:BBTC</t>
  </si>
  <si>
    <t>NSE:TRIVENI</t>
  </si>
  <si>
    <t>NSE:GLAXO</t>
  </si>
  <si>
    <t>NSE:KPIL</t>
  </si>
  <si>
    <t>NSE:KEC</t>
  </si>
  <si>
    <t>NSE:BALRAMCHIN</t>
  </si>
  <si>
    <t>NSE:PFIZER</t>
  </si>
  <si>
    <t>NSE:AJANTPHARM</t>
  </si>
  <si>
    <t>NSE:VGUARD</t>
  </si>
  <si>
    <t>NSE:RAINBOW</t>
  </si>
  <si>
    <t>NSE:SCHNEIDER</t>
  </si>
  <si>
    <t>NSE:DEEPAKNTR</t>
  </si>
  <si>
    <t>NSE:KIRLOSENG</t>
  </si>
  <si>
    <t>NSE:RCF</t>
  </si>
  <si>
    <t>NSE:KAJARIACER</t>
  </si>
  <si>
    <t>NSE:JSWINFRA</t>
  </si>
  <si>
    <t>NSE:WHIRLPOOL</t>
  </si>
  <si>
    <t>NSE:PRAJIND</t>
  </si>
  <si>
    <t>NSE:TEJASNET</t>
  </si>
  <si>
    <t>NSE:MGL</t>
  </si>
  <si>
    <t>NSE:RKFORGE</t>
  </si>
  <si>
    <t>NSE:CREDITACC</t>
  </si>
  <si>
    <t>NSE:BIKAJI</t>
  </si>
  <si>
    <t>NSE:FLUOROCHEM</t>
  </si>
  <si>
    <t>NSE:TITAGARH</t>
  </si>
  <si>
    <t>NSE:FORTIS</t>
  </si>
  <si>
    <t>NSE:PPLPHARMA</t>
  </si>
  <si>
    <t>NSE:TECHNOE</t>
  </si>
  <si>
    <t>NSE:MAPMYINDIA</t>
  </si>
  <si>
    <t>NSE:CAMPUS</t>
  </si>
  <si>
    <t>NSE:DEVYANI</t>
  </si>
  <si>
    <t>NSE:3MINDIA</t>
  </si>
  <si>
    <t>NSE:AAVAS</t>
  </si>
  <si>
    <t>NSE:ITI</t>
  </si>
  <si>
    <t>NSE:KANSAINER</t>
  </si>
  <si>
    <t>NSE:PCBL</t>
  </si>
  <si>
    <t>NSE:RADICO</t>
  </si>
  <si>
    <t>NSE:NCC</t>
  </si>
  <si>
    <t>NSE:DCMSHRIRAM</t>
  </si>
  <si>
    <t>NSE:TIMKEN</t>
  </si>
  <si>
    <t>NSE:TTML</t>
  </si>
  <si>
    <t>NSE:CASTROLIND</t>
  </si>
  <si>
    <t>NSE:MANYAVAR</t>
  </si>
  <si>
    <t>NSE:SAILIFE</t>
  </si>
  <si>
    <t>NSE:CHENNPETRO</t>
  </si>
  <si>
    <t>NSE:SUNTV</t>
  </si>
  <si>
    <t>NSE:KEI</t>
  </si>
  <si>
    <t>NSE:DOMS</t>
  </si>
  <si>
    <t>NSE:RAYMONDLSL</t>
  </si>
  <si>
    <t>NSE:NBCC</t>
  </si>
  <si>
    <t>NSE:BASF</t>
  </si>
  <si>
    <t>NSE:SYRMA</t>
  </si>
  <si>
    <t>NSE:JWL</t>
  </si>
  <si>
    <t>NSE:NEULANDLAB</t>
  </si>
  <si>
    <t>NSE:CANFINHOME</t>
  </si>
  <si>
    <t>NSE:ENGINERSIN</t>
  </si>
  <si>
    <t>NSE:AFCONS</t>
  </si>
  <si>
    <t>NSE:CERA</t>
  </si>
  <si>
    <t>NSE:GODIGIT</t>
  </si>
  <si>
    <t>NSE:CEATLTD</t>
  </si>
  <si>
    <t>NSE:VTL</t>
  </si>
  <si>
    <t>NSE:WELCORP</t>
  </si>
  <si>
    <t>NSE:INDIAMART</t>
  </si>
  <si>
    <t>NSE:BRIGADE</t>
  </si>
  <si>
    <t>NSE:ROUTE</t>
  </si>
  <si>
    <t>NSE:INDGN</t>
  </si>
  <si>
    <t>NSE:JSWHL</t>
  </si>
  <si>
    <t>NSE:RTNINDIA</t>
  </si>
  <si>
    <t>NSE:ASTRAZEN</t>
  </si>
  <si>
    <t>NSE:IRCON</t>
  </si>
  <si>
    <t>NSE:HAPPSTMNDS</t>
  </si>
  <si>
    <t>NSE:ECLERX</t>
  </si>
  <si>
    <t>NSE:ALOKINDS</t>
  </si>
  <si>
    <t>NSE:SCHAEFFLER</t>
  </si>
  <si>
    <t>NSE:ERIS</t>
  </si>
  <si>
    <t>NSE:APTUS</t>
  </si>
  <si>
    <t>NSE:DATAPATTNS</t>
  </si>
  <si>
    <t>NSE:MAHSEAMLES</t>
  </si>
  <si>
    <t>NSE:NAVA</t>
  </si>
  <si>
    <t>NSE:NETWEB</t>
  </si>
  <si>
    <t>NSE:CRAFTSMAN</t>
  </si>
  <si>
    <t>NSE:REDINGTON</t>
  </si>
  <si>
    <t>NSE:SIGNATURE</t>
  </si>
  <si>
    <t>NSE:ABBOTINDIA</t>
  </si>
  <si>
    <t>NSE:KIRLOSBROS</t>
  </si>
  <si>
    <t>NSE:NAVINFLUOR</t>
  </si>
  <si>
    <t>NSE:ACMESOLAR</t>
  </si>
  <si>
    <t>NSE:POWERINDIA</t>
  </si>
  <si>
    <t>NSE:COROMANDEL</t>
  </si>
  <si>
    <t>NSE:SWSOLAR</t>
  </si>
  <si>
    <t>NSE:CCL</t>
  </si>
  <si>
    <t>NSE:GLAND</t>
  </si>
  <si>
    <t>NSE:ZFCVINDIA</t>
  </si>
  <si>
    <t>NSE:PTCIL</t>
  </si>
  <si>
    <t>NSE:RAILTEL</t>
  </si>
  <si>
    <t>NSE:CHOLAHLDNG</t>
  </si>
  <si>
    <t>NSE:EMAMILTD</t>
  </si>
  <si>
    <t>NSE:THERMAX</t>
  </si>
  <si>
    <t>NSE:POLYMED</t>
  </si>
  <si>
    <t>NSE:WESTLIFE</t>
  </si>
  <si>
    <t>NSE:BAYERCROP</t>
  </si>
  <si>
    <t>NSE:ANANTRAJ</t>
  </si>
  <si>
    <t>NSE:RHIM</t>
  </si>
  <si>
    <t>NSE:TRIDENT</t>
  </si>
  <si>
    <t>NSE:BERGEPAINT</t>
  </si>
  <si>
    <t>NSE:UNOMINDA</t>
  </si>
  <si>
    <t>NSE:SAGILITY</t>
  </si>
  <si>
    <t>NSE:VIJAYA</t>
  </si>
  <si>
    <t>NSE:GSPL</t>
  </si>
  <si>
    <t>NSE:AMBER</t>
  </si>
  <si>
    <t>NSE:KNRCON</t>
  </si>
  <si>
    <t>NSE:ASTERDM</t>
  </si>
  <si>
    <t>NSE:JMFINANCIL</t>
  </si>
  <si>
    <t>NSE:DEEPAKFERT</t>
  </si>
  <si>
    <t>NSE:INTELLECT</t>
  </si>
  <si>
    <t>NSE:KPRMILL</t>
  </si>
  <si>
    <t>NSE:RAYMOND</t>
  </si>
  <si>
    <t>NSE:AEGISLOG</t>
  </si>
  <si>
    <t>NSE:CAPLIPOINT</t>
  </si>
  <si>
    <t>NSE:GRAVITA</t>
  </si>
  <si>
    <t>Index Name</t>
  </si>
  <si>
    <t>NIFTY_50</t>
  </si>
  <si>
    <t>NIFTY_BANK</t>
  </si>
  <si>
    <t>Sharegenius Ratio of Nifty Technical Valuation SRNTV</t>
  </si>
  <si>
    <t>124 SMA</t>
  </si>
  <si>
    <t>SRNTV</t>
  </si>
  <si>
    <t>How to use SRNTV? watch these videos for more details:-</t>
  </si>
  <si>
    <t>Hindi Video Link:-</t>
  </si>
  <si>
    <t>SRNTV Hindi Video Mahesh Kaushik</t>
  </si>
  <si>
    <t>Read "Miracle of SIP" ebook for more details of SRNTV and other SRNTV like methods:-</t>
  </si>
  <si>
    <t>Google Play Store Link for ebook</t>
  </si>
  <si>
    <t>https://play.google.com/store/books/details?id=Qy8zEAAAQBAJ</t>
  </si>
  <si>
    <t>Amazon Link for Kindle ebook</t>
  </si>
  <si>
    <t>https://amzn.to/2SwXAOT</t>
  </si>
  <si>
    <t>My blog</t>
  </si>
  <si>
    <t>Rules for using this sheet:-</t>
  </si>
  <si>
    <t>1. Do not use this sheet during market hours, sheet is designed for AMO ( After market orders) and always check the sheet after market closing and before market opening</t>
  </si>
  <si>
    <t>2. Do not use this sheet for intraday  trading, sheet is designed for BTST and Swing trading.</t>
  </si>
  <si>
    <t>3. For more details watch this video:-</t>
  </si>
  <si>
    <t>Automated Sheet Video Part 1</t>
  </si>
  <si>
    <t>4. For target and stop loss watch this part 2 video</t>
  </si>
  <si>
    <t>Automated Sheet Video Part 2</t>
  </si>
  <si>
    <t>NSE:ITDC</t>
  </si>
  <si>
    <t>NSE:MIDHANI</t>
  </si>
  <si>
    <t>NSE:BALMLAWRIE</t>
  </si>
  <si>
    <t>NSE:MOIL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</si>
</sst>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dd/MM/yyyy"/>
    <numFmt numFmtId="166" formatCode="0.0"/>
  </numFmts>
  <fonts count="46">
    <font>
      <sz val="10.0"/>
      <color rgb="FF000000"/>
      <name val="Arial"/>
      <scheme val="minor"/>
    </font>
    <font>
      <b/>
      <color rgb="FFFF0000"/>
      <name val="Arial"/>
      <scheme val="minor"/>
    </font>
    <font>
      <b/>
      <i/>
      <color rgb="FFFF00FF"/>
      <name val="Arial"/>
      <scheme val="minor"/>
    </font>
    <font>
      <b/>
      <i/>
      <color rgb="FFFFFFFF"/>
      <name val="Arial"/>
      <scheme val="minor"/>
    </font>
    <font>
      <b/>
      <color theme="1"/>
      <name val="Arial"/>
      <scheme val="minor"/>
    </font>
    <font>
      <b/>
      <color theme="1"/>
      <name val="Roboto"/>
    </font>
    <font>
      <b/>
      <color rgb="FF6AA84F"/>
      <name val="Arial"/>
      <scheme val="minor"/>
    </font>
    <font>
      <color theme="1"/>
      <name val="Arial"/>
      <scheme val="minor"/>
    </font>
    <font>
      <b/>
      <sz val="11.0"/>
      <color rgb="FF38761D"/>
      <name val="Roboto"/>
    </font>
    <font>
      <color rgb="FFFF0000"/>
      <name val="Arial"/>
    </font>
    <font>
      <b/>
      <sz val="11.0"/>
      <color rgb="FF38761D"/>
      <name val="Arial"/>
      <scheme val="minor"/>
    </font>
    <font>
      <b/>
      <sz val="11.0"/>
      <color rgb="FF38761D"/>
      <name val="Arial"/>
    </font>
    <font>
      <b/>
      <color rgb="FF000000"/>
      <name val="Arial"/>
    </font>
    <font>
      <b/>
      <u/>
      <sz val="11.0"/>
      <color rgb="FF1155CC"/>
      <name val="Arial"/>
    </font>
    <font>
      <b/>
      <sz val="12.0"/>
      <color rgb="FFFF0000"/>
      <name val="Roboto"/>
    </font>
    <font/>
    <font>
      <b/>
      <sz val="11.0"/>
      <color theme="1"/>
      <name val="Arial"/>
      <scheme val="minor"/>
    </font>
    <font>
      <b/>
      <color rgb="FF3C78D8"/>
      <name val="Arial"/>
    </font>
    <font>
      <b/>
      <sz val="11.0"/>
      <color rgb="FF0000FF"/>
      <name val="Calibri"/>
    </font>
    <font>
      <color rgb="FF242729"/>
      <name val="Consolas"/>
    </font>
    <font>
      <sz val="11.0"/>
      <color rgb="FF3C4043"/>
      <name val="Roboto"/>
    </font>
    <font>
      <color theme="1"/>
      <name val="Arial"/>
    </font>
    <font>
      <sz val="11.0"/>
      <color rgb="FF3C4043"/>
      <name val="Monospace"/>
    </font>
    <font>
      <sz val="11.0"/>
      <color rgb="FF000000"/>
      <name val="Inconsolata"/>
    </font>
    <font>
      <u/>
      <color rgb="FF1155CC"/>
    </font>
    <font>
      <b/>
      <color rgb="FF38761D"/>
      <name val="Arial"/>
      <scheme val="minor"/>
    </font>
    <font>
      <u/>
      <color rgb="FF1155CC"/>
      <name val="Arial"/>
      <scheme val="minor"/>
    </font>
    <font>
      <u/>
      <color rgb="FF0000FF"/>
    </font>
    <font>
      <u/>
      <color rgb="FF0000FF"/>
    </font>
    <font>
      <sz val="11.0"/>
      <color rgb="FF000000"/>
      <name val="Calibri"/>
    </font>
    <font>
      <b/>
      <color rgb="FFFF0000"/>
      <name val="Consolas"/>
    </font>
    <font>
      <b/>
      <color rgb="FF6AA84F"/>
      <name val="Consolas"/>
    </font>
    <font>
      <b/>
      <u/>
      <color rgb="FF1155CC"/>
      <name val="Consolas"/>
    </font>
    <font>
      <u/>
      <color rgb="FF0000FF"/>
    </font>
    <font>
      <b/>
      <color rgb="FF38761D"/>
      <name val="Roboto"/>
    </font>
    <font>
      <u/>
      <color rgb="FF1155CC"/>
    </font>
    <font>
      <b/>
      <color rgb="FFFF00FF"/>
      <name val="Arial"/>
      <scheme val="minor"/>
    </font>
    <font>
      <u/>
      <color rgb="FF0000FF"/>
    </font>
    <font>
      <b/>
      <color rgb="FF0000FF"/>
      <name val="Arial"/>
      <scheme val="minor"/>
    </font>
    <font>
      <u/>
      <color rgb="FF1155CC"/>
    </font>
    <font>
      <color rgb="FF38761D"/>
      <name val="Arial"/>
      <scheme val="minor"/>
    </font>
    <font>
      <color rgb="FFFF00FF"/>
      <name val="Arial"/>
      <scheme val="minor"/>
    </font>
    <font>
      <b/>
      <sz val="14.0"/>
      <color theme="1"/>
      <name val="Arial"/>
      <scheme val="minor"/>
    </font>
    <font>
      <u/>
      <sz val="14.0"/>
      <color rgb="FF1155CC"/>
    </font>
    <font>
      <sz val="14.0"/>
      <color theme="1"/>
      <name val="Arial"/>
      <scheme val="minor"/>
    </font>
    <font>
      <b/>
      <color rgb="FF46BDC6"/>
      <name val="Arial"/>
    </font>
  </fonts>
  <fills count="12">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D9D2E9"/>
        <bgColor rgb="FFD9D2E9"/>
      </patternFill>
    </fill>
    <fill>
      <patternFill patternType="solid">
        <fgColor rgb="FF6FA8DC"/>
        <bgColor rgb="FF6FA8DC"/>
      </patternFill>
    </fill>
    <fill>
      <patternFill patternType="solid">
        <fgColor rgb="FFFFE599"/>
        <bgColor rgb="FFFFE599"/>
      </patternFill>
    </fill>
    <fill>
      <patternFill patternType="solid">
        <fgColor rgb="FFB6D7A8"/>
        <bgColor rgb="FFB6D7A8"/>
      </patternFill>
    </fill>
    <fill>
      <patternFill patternType="solid">
        <fgColor rgb="FF8E7CC3"/>
        <bgColor rgb="FF8E7CC3"/>
      </patternFill>
    </fill>
    <fill>
      <patternFill patternType="solid">
        <fgColor rgb="FFE6B8AF"/>
        <bgColor rgb="FFE6B8AF"/>
      </patternFill>
    </fill>
    <fill>
      <patternFill patternType="solid">
        <fgColor rgb="FFFFFFFF"/>
        <bgColor rgb="FFFFFFFF"/>
      </patternFill>
    </fill>
    <fill>
      <patternFill patternType="solid">
        <fgColor rgb="FFF3F3F3"/>
        <bgColor rgb="FFF3F3F3"/>
      </patternFill>
    </fill>
  </fills>
  <borders count="11">
    <border/>
    <border>
      <left style="thin">
        <color rgb="FF000000"/>
      </left>
      <right style="thin">
        <color rgb="FF000000"/>
      </right>
      <top style="thin">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
      <left style="thin">
        <color rgb="FF990000"/>
      </left>
      <right style="thin">
        <color rgb="FF990000"/>
      </right>
      <top style="thin">
        <color rgb="FF990000"/>
      </top>
      <bottom style="thin">
        <color rgb="FF99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horizontal="left" readingOrder="0" shrinkToFit="0" vertical="center" wrapText="1"/>
    </xf>
    <xf borderId="0" fillId="0" fontId="2" numFmtId="164" xfId="0" applyAlignment="1" applyFont="1" applyNumberFormat="1">
      <alignment horizontal="left" shrinkToFit="0" vertical="center" wrapText="1"/>
    </xf>
    <xf borderId="0" fillId="0" fontId="3" numFmtId="0" xfId="0" applyAlignment="1" applyFont="1">
      <alignment horizontal="left" readingOrder="0" shrinkToFit="0" vertical="center" wrapText="1"/>
    </xf>
    <xf borderId="0" fillId="3" fontId="4" numFmtId="0" xfId="0" applyAlignment="1" applyFill="1" applyFont="1">
      <alignment readingOrder="0" vertical="center"/>
    </xf>
    <xf borderId="0" fillId="0" fontId="5" numFmtId="0" xfId="0" applyAlignment="1" applyFont="1">
      <alignment horizontal="center" readingOrder="0" vertical="center"/>
    </xf>
    <xf borderId="0" fillId="4" fontId="4" numFmtId="0" xfId="0" applyAlignment="1" applyFill="1" applyFont="1">
      <alignment readingOrder="0" vertical="center"/>
    </xf>
    <xf borderId="0" fillId="5" fontId="4" numFmtId="0" xfId="0" applyAlignment="1" applyFill="1" applyFont="1">
      <alignment readingOrder="0" vertical="center"/>
    </xf>
    <xf borderId="0" fillId="6" fontId="4" numFmtId="0" xfId="0" applyAlignment="1" applyFill="1" applyFont="1">
      <alignment readingOrder="0" vertical="center"/>
    </xf>
    <xf borderId="0" fillId="7" fontId="4" numFmtId="0" xfId="0" applyAlignment="1" applyFill="1" applyFont="1">
      <alignment readingOrder="0" vertical="center"/>
    </xf>
    <xf borderId="0" fillId="8" fontId="4" numFmtId="0" xfId="0" applyAlignment="1" applyFill="1" applyFont="1">
      <alignment readingOrder="0" vertical="center"/>
    </xf>
    <xf borderId="0" fillId="9" fontId="4" numFmtId="0" xfId="0" applyAlignment="1" applyFill="1" applyFont="1">
      <alignment readingOrder="0" vertical="center"/>
    </xf>
    <xf borderId="0" fillId="2" fontId="4" numFmtId="0" xfId="0" applyAlignment="1" applyFont="1">
      <alignment readingOrder="0" vertical="center"/>
    </xf>
    <xf borderId="0" fillId="0" fontId="4" numFmtId="0" xfId="0" applyAlignment="1" applyFont="1">
      <alignment readingOrder="0" vertical="center"/>
    </xf>
    <xf borderId="0" fillId="0" fontId="6" numFmtId="0" xfId="0" applyAlignment="1" applyFont="1">
      <alignment readingOrder="0" vertical="center"/>
    </xf>
    <xf borderId="0" fillId="0" fontId="7" numFmtId="0" xfId="0" applyAlignment="1" applyFont="1">
      <alignment vertical="center"/>
    </xf>
    <xf borderId="1" fillId="0" fontId="8" numFmtId="0" xfId="0" applyBorder="1" applyFont="1"/>
    <xf borderId="0" fillId="10" fontId="9" numFmtId="0" xfId="0" applyAlignment="1" applyFill="1" applyFont="1">
      <alignment horizontal="left" readingOrder="0" shrinkToFit="0" vertical="top" wrapText="1"/>
    </xf>
    <xf borderId="1" fillId="0" fontId="10" numFmtId="0" xfId="0" applyBorder="1" applyFont="1"/>
    <xf borderId="1" fillId="10" fontId="11" numFmtId="0" xfId="0" applyAlignment="1" applyBorder="1" applyFont="1">
      <alignment horizontal="left" readingOrder="0" shrinkToFit="0" vertical="top" wrapText="1"/>
    </xf>
    <xf borderId="1" fillId="0" fontId="10" numFmtId="0" xfId="0" applyAlignment="1" applyBorder="1" applyFont="1">
      <alignment readingOrder="0"/>
    </xf>
    <xf borderId="0" fillId="0" fontId="4" numFmtId="0" xfId="0" applyAlignment="1" applyFont="1">
      <alignment readingOrder="0"/>
    </xf>
    <xf borderId="1" fillId="10" fontId="11" numFmtId="0" xfId="0" applyAlignment="1" applyBorder="1" applyFont="1">
      <alignment readingOrder="0" shrinkToFit="0" wrapText="1"/>
    </xf>
    <xf borderId="0" fillId="10" fontId="12" numFmtId="0" xfId="0" applyAlignment="1" applyFont="1">
      <alignment readingOrder="0" shrinkToFit="0" wrapText="1"/>
    </xf>
    <xf borderId="1" fillId="0" fontId="11" numFmtId="0" xfId="0" applyAlignment="1" applyBorder="1" applyFont="1">
      <alignment readingOrder="0" shrinkToFit="0" vertical="bottom" wrapText="0"/>
    </xf>
    <xf borderId="1" fillId="0" fontId="13" numFmtId="0" xfId="0" applyAlignment="1" applyBorder="1" applyFont="1">
      <alignment readingOrder="0" shrinkToFit="0" vertical="bottom" wrapText="0"/>
    </xf>
    <xf borderId="1" fillId="0" fontId="10" numFmtId="0" xfId="0" applyAlignment="1" applyBorder="1" applyFont="1">
      <alignment readingOrder="0" shrinkToFit="0" wrapText="1"/>
    </xf>
    <xf borderId="0" fillId="0" fontId="7" numFmtId="0" xfId="0" applyAlignment="1" applyFont="1">
      <alignment readingOrder="0" shrinkToFit="0" wrapText="1"/>
    </xf>
    <xf borderId="0" fillId="10" fontId="14" numFmtId="0" xfId="0" applyAlignment="1" applyFont="1">
      <alignment horizontal="left" readingOrder="0" shrinkToFit="0" vertical="center" wrapText="1"/>
    </xf>
    <xf borderId="2" fillId="0" fontId="15" numFmtId="0" xfId="0" applyBorder="1" applyFont="1"/>
    <xf borderId="3" fillId="0" fontId="15" numFmtId="0" xfId="0" applyBorder="1" applyFont="1"/>
    <xf borderId="4" fillId="0" fontId="15" numFmtId="0" xfId="0" applyBorder="1" applyFont="1"/>
    <xf borderId="1" fillId="0" fontId="16" numFmtId="0" xfId="0" applyBorder="1" applyFont="1"/>
    <xf borderId="5" fillId="0" fontId="7" numFmtId="0" xfId="0" applyAlignment="1" applyBorder="1" applyFont="1">
      <alignment readingOrder="0" shrinkToFit="0" wrapText="1"/>
    </xf>
    <xf borderId="1" fillId="11" fontId="17" numFmtId="0" xfId="0" applyAlignment="1" applyBorder="1" applyFill="1" applyFont="1">
      <alignment shrinkToFit="0" vertical="bottom" wrapText="1"/>
    </xf>
    <xf borderId="1" fillId="11" fontId="17" numFmtId="165" xfId="0" applyAlignment="1" applyBorder="1" applyFont="1" applyNumberFormat="1">
      <alignment shrinkToFit="0" vertical="bottom" wrapText="1"/>
    </xf>
    <xf borderId="0" fillId="0" fontId="1" numFmtId="0" xfId="0" applyAlignment="1" applyFont="1">
      <alignment readingOrder="0"/>
    </xf>
    <xf borderId="0" fillId="0" fontId="7" numFmtId="0" xfId="0" applyAlignment="1" applyFont="1">
      <alignment shrinkToFit="0" wrapText="1"/>
    </xf>
    <xf borderId="1" fillId="0" fontId="18" numFmtId="0" xfId="0" applyAlignment="1" applyBorder="1" applyFont="1">
      <alignment vertical="bottom"/>
    </xf>
    <xf borderId="5" fillId="0" fontId="19" numFmtId="0" xfId="0" applyAlignment="1" applyBorder="1" applyFont="1">
      <alignment horizontal="left" readingOrder="0"/>
    </xf>
    <xf borderId="5" fillId="0" fontId="7" numFmtId="0" xfId="0" applyBorder="1" applyFont="1"/>
    <xf borderId="5" fillId="10" fontId="20" numFmtId="0" xfId="0" applyAlignment="1" applyBorder="1" applyFont="1">
      <alignment horizontal="left"/>
    </xf>
    <xf borderId="5" fillId="0" fontId="21" numFmtId="166" xfId="0" applyAlignment="1" applyBorder="1" applyFont="1" applyNumberFormat="1">
      <alignment horizontal="right" vertical="bottom"/>
    </xf>
    <xf borderId="1" fillId="0" fontId="21" numFmtId="4" xfId="0" applyAlignment="1" applyBorder="1" applyFont="1" applyNumberFormat="1">
      <alignment horizontal="right" shrinkToFit="0" vertical="bottom" wrapText="1"/>
    </xf>
    <xf borderId="1" fillId="10" fontId="22" numFmtId="165" xfId="0" applyAlignment="1" applyBorder="1" applyFont="1" applyNumberFormat="1">
      <alignment horizontal="center" vertical="bottom"/>
    </xf>
    <xf borderId="5" fillId="0" fontId="23" numFmtId="0" xfId="0" applyBorder="1" applyFont="1"/>
    <xf borderId="0" fillId="0" fontId="24" numFmtId="0" xfId="0" applyAlignment="1" applyFont="1">
      <alignment readingOrder="0" shrinkToFit="0" vertical="center" wrapText="1"/>
    </xf>
    <xf borderId="0" fillId="0" fontId="2" numFmtId="0" xfId="0" applyAlignment="1" applyFont="1">
      <alignment horizontal="right" readingOrder="0" shrinkToFit="0" vertical="center" wrapText="1"/>
    </xf>
    <xf borderId="0" fillId="0" fontId="2" numFmtId="0" xfId="0" applyAlignment="1" applyFont="1">
      <alignment horizontal="left" shrinkToFit="0" vertical="center" wrapText="1"/>
    </xf>
    <xf borderId="0" fillId="0" fontId="25" numFmtId="0" xfId="0" applyAlignment="1" applyFont="1">
      <alignment horizontal="center" readingOrder="0" shrinkToFit="0" vertical="center" wrapText="1"/>
    </xf>
    <xf borderId="0" fillId="0" fontId="26" numFmtId="0" xfId="0" applyAlignment="1" applyFont="1">
      <alignment readingOrder="0"/>
    </xf>
    <xf borderId="0" fillId="0" fontId="4" numFmtId="0" xfId="0" applyAlignment="1" applyFont="1">
      <alignment horizontal="center" readingOrder="0" vertical="center"/>
    </xf>
    <xf borderId="0" fillId="0" fontId="27" numFmtId="0" xfId="0" applyAlignment="1" applyFont="1">
      <alignment readingOrder="0"/>
    </xf>
    <xf borderId="0" fillId="0" fontId="7" numFmtId="0" xfId="0" applyAlignment="1" applyFont="1">
      <alignment readingOrder="0"/>
    </xf>
    <xf borderId="0" fillId="0" fontId="28" numFmtId="0" xfId="0" applyAlignment="1" applyFont="1">
      <alignment readingOrder="0"/>
    </xf>
    <xf borderId="1" fillId="0" fontId="18" numFmtId="0" xfId="0" applyAlignment="1" applyBorder="1" applyFont="1">
      <alignment vertical="bottom"/>
    </xf>
    <xf borderId="1" fillId="0" fontId="7" numFmtId="0" xfId="0" applyAlignment="1" applyBorder="1" applyFont="1">
      <alignment readingOrder="0" shrinkToFit="0" wrapText="1"/>
    </xf>
    <xf borderId="1" fillId="0" fontId="29" numFmtId="0" xfId="0" applyAlignment="1" applyBorder="1" applyFont="1">
      <alignment readingOrder="0" shrinkToFit="0" vertical="bottom" wrapText="0"/>
    </xf>
    <xf borderId="1" fillId="0" fontId="19" numFmtId="0" xfId="0" applyAlignment="1" applyBorder="1" applyFont="1">
      <alignment horizontal="left" readingOrder="0"/>
    </xf>
    <xf borderId="1" fillId="0" fontId="7" numFmtId="0" xfId="0" applyBorder="1" applyFont="1"/>
    <xf borderId="1" fillId="10" fontId="20" numFmtId="0" xfId="0" applyAlignment="1" applyBorder="1" applyFont="1">
      <alignment horizontal="left"/>
    </xf>
    <xf borderId="1" fillId="0" fontId="21" numFmtId="166" xfId="0" applyAlignment="1" applyBorder="1" applyFont="1" applyNumberFormat="1">
      <alignment horizontal="right" vertical="bottom"/>
    </xf>
    <xf borderId="6" fillId="0" fontId="30" numFmtId="0" xfId="0" applyAlignment="1" applyBorder="1" applyFont="1">
      <alignment horizontal="center" readingOrder="0" shrinkToFit="0" vertical="center" wrapText="1"/>
    </xf>
    <xf borderId="7" fillId="0" fontId="15" numFmtId="0" xfId="0" applyBorder="1" applyFont="1"/>
    <xf borderId="8" fillId="0" fontId="15" numFmtId="0" xfId="0" applyBorder="1" applyFont="1"/>
    <xf borderId="9" fillId="0" fontId="15" numFmtId="0" xfId="0" applyBorder="1" applyFont="1"/>
    <xf borderId="10" fillId="0" fontId="15" numFmtId="0" xfId="0" applyBorder="1" applyFont="1"/>
    <xf borderId="6" fillId="0" fontId="31" numFmtId="0" xfId="0" applyAlignment="1" applyBorder="1" applyFont="1">
      <alignment horizontal="center" readingOrder="0" shrinkToFit="0" vertical="center" wrapText="1"/>
    </xf>
    <xf borderId="9" fillId="0" fontId="32" numFmtId="0" xfId="0" applyAlignment="1" applyBorder="1" applyFont="1">
      <alignment horizontal="center" readingOrder="0" shrinkToFit="0" vertical="center" wrapText="1"/>
    </xf>
    <xf borderId="0" fillId="0" fontId="33" numFmtId="0" xfId="0" applyAlignment="1" applyFont="1">
      <alignment horizontal="center" readingOrder="0" shrinkToFit="0" wrapText="1"/>
    </xf>
    <xf borderId="1" fillId="0" fontId="21" numFmtId="0" xfId="0" applyAlignment="1" applyBorder="1" applyFont="1">
      <alignment vertical="bottom"/>
    </xf>
    <xf borderId="1" fillId="0" fontId="21" numFmtId="0" xfId="0" applyAlignment="1" applyBorder="1" applyFont="1">
      <alignment vertical="bottom"/>
    </xf>
    <xf borderId="0" fillId="0" fontId="29" numFmtId="0" xfId="0" applyAlignment="1" applyFont="1">
      <alignment readingOrder="0" shrinkToFit="0" vertical="bottom" wrapText="0"/>
    </xf>
    <xf borderId="0" fillId="10" fontId="34" numFmtId="0" xfId="0" applyAlignment="1" applyFont="1">
      <alignment horizontal="center" readingOrder="0" vertical="center"/>
    </xf>
    <xf borderId="0" fillId="0" fontId="35" numFmtId="0" xfId="0" applyAlignment="1" applyFont="1">
      <alignment horizontal="center" readingOrder="0" vertical="center"/>
    </xf>
    <xf borderId="1" fillId="0" fontId="19" numFmtId="0" xfId="0" applyAlignment="1" applyBorder="1" applyFont="1">
      <alignment vertical="bottom"/>
    </xf>
    <xf borderId="1" fillId="0" fontId="21" numFmtId="0" xfId="0" applyAlignment="1" applyBorder="1" applyFont="1">
      <alignment horizontal="right" vertical="bottom"/>
    </xf>
    <xf borderId="0" fillId="0" fontId="36" numFmtId="0" xfId="0" applyAlignment="1" applyFont="1">
      <alignment horizontal="center" readingOrder="0" vertical="center"/>
    </xf>
    <xf borderId="0" fillId="0" fontId="37" numFmtId="0" xfId="0" applyAlignment="1" applyFont="1">
      <alignment horizontal="center" readingOrder="0" vertical="center"/>
    </xf>
    <xf borderId="1" fillId="0" fontId="7" numFmtId="0" xfId="0" applyAlignment="1" applyBorder="1" applyFont="1">
      <alignment readingOrder="0"/>
    </xf>
    <xf borderId="1" fillId="0" fontId="21" numFmtId="0" xfId="0" applyAlignment="1" applyBorder="1" applyFont="1">
      <alignment readingOrder="0" vertical="bottom"/>
    </xf>
    <xf borderId="1" fillId="0" fontId="23" numFmtId="0" xfId="0" applyAlignment="1" applyBorder="1" applyFont="1">
      <alignment vertical="bottom"/>
    </xf>
    <xf borderId="0" fillId="0" fontId="38" numFmtId="0" xfId="0" applyAlignment="1" applyFont="1">
      <alignment horizontal="center" readingOrder="0"/>
    </xf>
    <xf borderId="1" fillId="0" fontId="4" numFmtId="0" xfId="0" applyAlignment="1" applyBorder="1" applyFont="1">
      <alignment readingOrder="0"/>
    </xf>
    <xf borderId="1" fillId="0" fontId="4" numFmtId="2" xfId="0" applyBorder="1" applyFont="1" applyNumberFormat="1"/>
    <xf borderId="0" fillId="0" fontId="1" numFmtId="0" xfId="0" applyAlignment="1" applyFont="1">
      <alignment horizontal="center" readingOrder="0"/>
    </xf>
    <xf borderId="0" fillId="0" fontId="4" numFmtId="0" xfId="0" applyAlignment="1" applyFont="1">
      <alignment horizontal="center" readingOrder="0"/>
    </xf>
    <xf borderId="0" fillId="0" fontId="39" numFmtId="0" xfId="0" applyAlignment="1" applyFont="1">
      <alignment readingOrder="0"/>
    </xf>
    <xf borderId="0" fillId="0" fontId="40" numFmtId="0" xfId="0" applyAlignment="1" applyFont="1">
      <alignment readingOrder="0"/>
    </xf>
    <xf borderId="0" fillId="0" fontId="41" numFmtId="0" xfId="0" applyAlignment="1" applyFont="1">
      <alignment readingOrder="0"/>
    </xf>
    <xf borderId="0" fillId="0" fontId="42" numFmtId="0" xfId="0" applyAlignment="1" applyFont="1">
      <alignment readingOrder="0"/>
    </xf>
    <xf borderId="0" fillId="0" fontId="43" numFmtId="0" xfId="0" applyAlignment="1" applyFont="1">
      <alignment readingOrder="0"/>
    </xf>
    <xf borderId="0" fillId="0" fontId="44" numFmtId="0" xfId="0" applyFont="1"/>
    <xf borderId="0" fillId="0" fontId="6" numFmtId="0" xfId="0" applyAlignment="1" applyFont="1">
      <alignment readingOrder="0"/>
    </xf>
    <xf borderId="1" fillId="11" fontId="17" numFmtId="0" xfId="0" applyAlignment="1" applyBorder="1" applyFont="1">
      <alignment shrinkToFit="0" vertical="bottom" wrapText="1"/>
    </xf>
    <xf borderId="1" fillId="0" fontId="45" numFmtId="0" xfId="0" applyAlignment="1" applyBorder="1" applyFont="1">
      <alignment vertical="bottom"/>
    </xf>
  </cellXfs>
  <cellStyles count="1">
    <cellStyle xfId="0" name="Normal" builtinId="0"/>
  </cellStyles>
  <dxfs count="2">
    <dxf>
      <font/>
      <fill>
        <patternFill patternType="solid">
          <fgColor rgb="FFB7E1CD"/>
          <bgColor rgb="FFB7E1CD"/>
        </patternFill>
      </fill>
      <border/>
    </dxf>
    <dxf>
      <font>
        <b/>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e/2PACX-1vTkFWPSPwcTHLjQniTjAVzwv80WH-SzOkPPVC8joTrCWXAVxPmVOpkfzRDko8Xu9hYE8YyxsJtCk2o_/pubhtml" TargetMode="External"/><Relationship Id="rId2" Type="http://schemas.openxmlformats.org/officeDocument/2006/relationships/hyperlink" Target="https://www.youtube.com/watch?v=mdD8w_TR73k&amp;t=7s" TargetMode="External"/><Relationship Id="rId3" Type="http://schemas.openxmlformats.org/officeDocument/2006/relationships/hyperlink" Target="http://www.maheshkaushik.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I3ktby3qA_EAbcHIZxEVsMomy5Y5qkXO9ppEweNfJXQ/edit" TargetMode="External"/><Relationship Id="rId2" Type="http://schemas.openxmlformats.org/officeDocument/2006/relationships/hyperlink" Target="https://docs.google.com/spreadsheets/d/e/2PACX-1vTkFWPSPwcTHLjQniTjAVzwv80WH-SzOkPPVC8joTrCWXAVxPmVOpkfzRDko8Xu9hYE8YyxsJtCk2o_/pubhtml" TargetMode="External"/><Relationship Id="rId3" Type="http://schemas.openxmlformats.org/officeDocument/2006/relationships/hyperlink" Target="https://archives.nseindia.com/content/circulars/CML46146.pdf"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maheshchanderkaushi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mzn.to/2HPILR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youtube.com/watch?v=IE1QnCWrMiU" TargetMode="External"/><Relationship Id="rId2" Type="http://schemas.openxmlformats.org/officeDocument/2006/relationships/hyperlink" Target="https://www.youtube.com/redirect?event=backstage_event&amp;redir_token=QUFFLUhqbFY3emxGTDFnc0poUHhTaDdwVjRiRE1nN1NwQXxBQ3Jtc0ttQzVVWVhFS2FmWUE1ajIzS1kyOUtiQUpZTFp1Mzctektnc3dtOEIxcGFnSjd0azhfVkJFaTFnZ2QyOTQyWkhJN0ZDdVRNaTVfMUJwbG9oNldMZDhXWGx0RXdOV3ExYzhQUjdPOHhGblh5bFBVY0ZINA&amp;q=https%3A%2F%2Fplay.google.com%2Fstore%2Fbooks%2Fdetails%3Fid%3DQy8zEAAAQBAJ" TargetMode="External"/><Relationship Id="rId3" Type="http://schemas.openxmlformats.org/officeDocument/2006/relationships/hyperlink" Target="https://amzn.to/2SwXAOT"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maheshkaushik.com/" TargetMode="External"/><Relationship Id="rId2" Type="http://schemas.openxmlformats.org/officeDocument/2006/relationships/hyperlink" Target="https://www.youtube.com/watch?v=mdD8w_TR73k&amp;t=7s" TargetMode="External"/><Relationship Id="rId3" Type="http://schemas.openxmlformats.org/officeDocument/2006/relationships/hyperlink" Target="https://www.youtube.com/watch?v=9zr_JDrNrr0"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sheetPr>
  <sheetViews>
    <sheetView workbookViewId="0"/>
  </sheetViews>
  <sheetFormatPr customHeight="1" defaultColWidth="12.63" defaultRowHeight="15.75"/>
  <cols>
    <col customWidth="1" min="1" max="1" width="16.5"/>
    <col customWidth="1" min="2" max="2" width="18.75"/>
    <col customWidth="1" min="3" max="3" width="17.13"/>
    <col customWidth="1" min="4" max="4" width="17.5"/>
    <col customWidth="1" min="5" max="5" width="16.88"/>
    <col customWidth="1" min="6" max="6" width="19.75"/>
    <col customWidth="1" min="7" max="7" width="20.88"/>
    <col customWidth="1" min="8" max="8" width="16.5"/>
    <col customWidth="1" min="9" max="9" width="16.13"/>
    <col customWidth="1" min="11" max="11" width="15.38"/>
  </cols>
  <sheetData>
    <row r="1">
      <c r="A1" s="1" t="s">
        <v>0</v>
      </c>
      <c r="G1" s="2" t="s">
        <v>1</v>
      </c>
      <c r="H1" s="3">
        <f>IFERROR(__xludf.DUMMYFUNCTION("GOOGLEFINANCE(K1,""tradetime"")"),46169.46655092592)</f>
        <v>46169.46655</v>
      </c>
      <c r="K1" s="4" t="s">
        <v>2</v>
      </c>
    </row>
    <row r="2">
      <c r="A2" s="5" t="s">
        <v>3</v>
      </c>
      <c r="B2" s="6" t="s">
        <v>4</v>
      </c>
      <c r="C2" s="7" t="s">
        <v>5</v>
      </c>
      <c r="D2" s="8" t="s">
        <v>6</v>
      </c>
      <c r="E2" s="9" t="s">
        <v>7</v>
      </c>
      <c r="F2" s="10" t="s">
        <v>8</v>
      </c>
      <c r="G2" s="11" t="s">
        <v>9</v>
      </c>
      <c r="H2" s="12" t="s">
        <v>10</v>
      </c>
      <c r="I2" s="13" t="s">
        <v>11</v>
      </c>
      <c r="J2" s="14" t="s">
        <v>12</v>
      </c>
      <c r="K2" s="15" t="s">
        <v>13</v>
      </c>
      <c r="T2" s="16"/>
      <c r="U2" s="16"/>
      <c r="V2" s="16"/>
      <c r="W2" s="16"/>
      <c r="X2" s="16"/>
      <c r="Y2" s="16"/>
      <c r="Z2" s="16"/>
      <c r="AA2" s="16"/>
    </row>
    <row r="3">
      <c r="A3" s="17" t="str">
        <f>IFERROR(__xludf.DUMMYFUNCTION("iferror(filter('Nifty 50'!A:A,'Nifty 50'!J:J=""Buy Today""),"""")"),"")</f>
        <v/>
      </c>
      <c r="B3" s="17" t="str">
        <f>IFERROR(__xludf.DUMMYFUNCTION("iferror(filter('Nifty 200'!A:A,'Nifty 200'!J:J=""Buy Today""),"""")"),"")</f>
        <v/>
      </c>
      <c r="C3" s="17" t="str">
        <f>IFERROR(__xludf.DUMMYFUNCTION("iferror(filter('Bank Nifty'!A:A,'Bank Nifty'!J:J=""Buy Today""),"""")"),"")</f>
        <v/>
      </c>
      <c r="D3" s="17" t="str">
        <f>IFERROR(__xludf.DUMMYFUNCTION("iferror(filter(Index!A:A,Index!F:F=""Buy Today""),"""")"),"")</f>
        <v/>
      </c>
      <c r="E3" s="17" t="str">
        <f>IFERROR(__xludf.DUMMYFUNCTION("iferror(filter(ETF!A:A,ETF!J:J=""Buy Today""),"""")"),"")</f>
        <v/>
      </c>
      <c r="F3" s="17" t="str">
        <f>IFERROR(__xludf.DUMMYFUNCTION("iferror(filter('Nifty Mid Small Cap 400'!A:A,'Nifty Mid Small Cap 400'!J:J=""Buy Today""),"""")"),"NSE:RPOWER")</f>
        <v>NSE:RPOWER</v>
      </c>
      <c r="G3" s="17" t="str">
        <f>IFERROR(__xludf.DUMMYFUNCTION("iferror(filter('Nifty Next 50'!A:A,'Nifty Next 50'!J:J=""Buy Today""),"""")"),"")</f>
        <v/>
      </c>
      <c r="H3" s="17" t="str">
        <f>IFERROR(__xludf.DUMMYFUNCTION("iferror(filter('Nifty Midcap 50'!A:A,'Nifty Midcap 50'!J:J=""Buy Today""),"""")"),"")</f>
        <v/>
      </c>
      <c r="I3" s="17" t="str">
        <f>IFERROR(__xludf.DUMMYFUNCTION("iferror(filter('PSU Stocks'!A:A,'PSU Stocks'!J:J=""Buy Today""),"""")"),"NSE:NBCC")</f>
        <v>NSE:NBCC</v>
      </c>
      <c r="J3" s="18" t="s">
        <v>14</v>
      </c>
    </row>
    <row r="4">
      <c r="A4" s="19"/>
      <c r="B4" s="19"/>
      <c r="C4" s="19"/>
      <c r="D4" s="19"/>
      <c r="E4" s="19"/>
      <c r="F4" s="19" t="str">
        <f>IFERROR(__xludf.DUMMYFUNCTION("""COMPUTED_VALUE"""),"NSE:HOMEFIRST")</f>
        <v>NSE:HOMEFIRST</v>
      </c>
      <c r="G4" s="19"/>
      <c r="H4" s="19"/>
      <c r="I4" s="20"/>
    </row>
    <row r="5">
      <c r="A5" s="19"/>
      <c r="B5" s="19"/>
      <c r="C5" s="19"/>
      <c r="D5" s="19"/>
      <c r="E5" s="19"/>
      <c r="F5" s="19" t="str">
        <f>IFERROR(__xludf.DUMMYFUNCTION("""COMPUTED_VALUE"""),"NSE:PNCINFRA")</f>
        <v>NSE:PNCINFRA</v>
      </c>
      <c r="G5" s="19"/>
      <c r="H5" s="19"/>
      <c r="I5" s="20"/>
    </row>
    <row r="6">
      <c r="A6" s="19"/>
      <c r="B6" s="19"/>
      <c r="C6" s="19"/>
      <c r="D6" s="19"/>
      <c r="E6" s="19"/>
      <c r="F6" s="19" t="str">
        <f>IFERROR(__xludf.DUMMYFUNCTION("""COMPUTED_VALUE"""),"NSE:NBCC")</f>
        <v>NSE:NBCC</v>
      </c>
      <c r="G6" s="19"/>
      <c r="H6" s="19"/>
      <c r="I6" s="20"/>
    </row>
    <row r="7">
      <c r="A7" s="19"/>
      <c r="B7" s="19"/>
      <c r="C7" s="19"/>
      <c r="D7" s="19"/>
      <c r="E7" s="19"/>
      <c r="F7" s="19" t="str">
        <f>IFERROR(__xludf.DUMMYFUNCTION("""COMPUTED_VALUE"""),"NSE:RHIM")</f>
        <v>NSE:RHIM</v>
      </c>
      <c r="G7" s="19"/>
      <c r="H7" s="19"/>
      <c r="I7" s="20"/>
    </row>
    <row r="8">
      <c r="A8" s="19"/>
      <c r="B8" s="19"/>
      <c r="C8" s="19"/>
      <c r="D8" s="19"/>
      <c r="E8" s="19"/>
      <c r="F8" s="19"/>
      <c r="G8" s="19"/>
      <c r="H8" s="19"/>
      <c r="I8" s="20"/>
    </row>
    <row r="9">
      <c r="A9" s="19"/>
      <c r="B9" s="19"/>
      <c r="C9" s="19"/>
      <c r="D9" s="19"/>
      <c r="E9" s="19"/>
      <c r="F9" s="19"/>
      <c r="G9" s="19"/>
      <c r="H9" s="19"/>
      <c r="I9" s="21"/>
      <c r="J9" s="22" t="s">
        <v>15</v>
      </c>
    </row>
    <row r="10">
      <c r="A10" s="19"/>
      <c r="B10" s="19"/>
      <c r="C10" s="19"/>
      <c r="D10" s="19"/>
      <c r="E10" s="19"/>
      <c r="F10" s="19"/>
      <c r="G10" s="19"/>
      <c r="H10" s="19"/>
      <c r="I10" s="23"/>
      <c r="J10" s="24" t="s">
        <v>16</v>
      </c>
    </row>
    <row r="11">
      <c r="A11" s="19"/>
      <c r="B11" s="19"/>
      <c r="C11" s="19"/>
      <c r="D11" s="19"/>
      <c r="E11" s="19"/>
      <c r="F11" s="19"/>
      <c r="G11" s="19"/>
      <c r="H11" s="19"/>
      <c r="I11" s="23"/>
    </row>
    <row r="12">
      <c r="A12" s="19"/>
      <c r="B12" s="19"/>
      <c r="C12" s="19"/>
      <c r="D12" s="19"/>
      <c r="E12" s="19"/>
      <c r="F12" s="19"/>
      <c r="G12" s="19"/>
      <c r="H12" s="19"/>
      <c r="I12" s="23"/>
    </row>
    <row r="13">
      <c r="A13" s="19"/>
      <c r="B13" s="19"/>
      <c r="C13" s="19"/>
      <c r="D13" s="19"/>
      <c r="E13" s="19"/>
      <c r="F13" s="19"/>
      <c r="G13" s="19"/>
      <c r="H13" s="19"/>
      <c r="I13" s="23"/>
    </row>
    <row r="14">
      <c r="A14" s="25"/>
      <c r="B14" s="19"/>
      <c r="C14" s="19"/>
      <c r="D14" s="19"/>
      <c r="E14" s="19"/>
      <c r="F14" s="19"/>
      <c r="G14" s="19"/>
      <c r="H14" s="19"/>
      <c r="I14" s="21"/>
      <c r="J14" s="22" t="s">
        <v>17</v>
      </c>
    </row>
    <row r="15">
      <c r="A15" s="26"/>
      <c r="B15" s="19"/>
      <c r="C15" s="19"/>
      <c r="D15" s="19"/>
      <c r="E15" s="19"/>
      <c r="F15" s="19"/>
      <c r="G15" s="19"/>
      <c r="H15" s="19"/>
      <c r="I15" s="27"/>
      <c r="J15" s="28" t="s">
        <v>18</v>
      </c>
    </row>
    <row r="16">
      <c r="A16" s="21"/>
      <c r="B16" s="19"/>
      <c r="C16" s="19"/>
      <c r="D16" s="19"/>
      <c r="E16" s="19"/>
      <c r="F16" s="19"/>
      <c r="G16" s="19"/>
      <c r="H16" s="19"/>
      <c r="I16" s="27"/>
    </row>
    <row r="17">
      <c r="A17" s="29" t="s">
        <v>19</v>
      </c>
      <c r="E17" s="30"/>
      <c r="F17" s="19"/>
      <c r="G17" s="19"/>
      <c r="H17" s="19"/>
      <c r="I17" s="19"/>
    </row>
    <row r="18">
      <c r="E18" s="30"/>
      <c r="F18" s="19"/>
      <c r="G18" s="19"/>
      <c r="H18" s="19"/>
      <c r="I18" s="19"/>
    </row>
    <row r="19">
      <c r="E19" s="30"/>
      <c r="F19" s="19"/>
      <c r="G19" s="19"/>
      <c r="H19" s="19"/>
      <c r="I19" s="19"/>
    </row>
    <row r="20">
      <c r="A20" s="31"/>
      <c r="B20" s="31"/>
      <c r="C20" s="31"/>
      <c r="D20" s="31"/>
      <c r="E20" s="32"/>
      <c r="F20" s="19"/>
      <c r="G20" s="19"/>
      <c r="H20" s="19"/>
      <c r="I20" s="19"/>
    </row>
    <row r="21">
      <c r="A21" s="19"/>
      <c r="B21" s="19"/>
      <c r="C21" s="19"/>
      <c r="D21" s="19"/>
      <c r="E21" s="19"/>
      <c r="F21" s="19"/>
      <c r="G21" s="19"/>
      <c r="H21" s="19"/>
      <c r="I21" s="19"/>
    </row>
    <row r="22">
      <c r="A22" s="19"/>
      <c r="B22" s="19"/>
      <c r="C22" s="19"/>
      <c r="D22" s="19"/>
      <c r="E22" s="19"/>
      <c r="F22" s="19"/>
      <c r="G22" s="19"/>
      <c r="H22" s="19"/>
      <c r="I22" s="19"/>
    </row>
    <row r="23">
      <c r="A23" s="19"/>
      <c r="B23" s="19"/>
      <c r="C23" s="19"/>
      <c r="D23" s="19"/>
      <c r="E23" s="19"/>
      <c r="F23" s="19"/>
      <c r="G23" s="19"/>
      <c r="H23" s="19"/>
      <c r="I23" s="19"/>
    </row>
    <row r="24">
      <c r="A24" s="19"/>
      <c r="B24" s="19"/>
      <c r="C24" s="19"/>
      <c r="D24" s="19"/>
      <c r="E24" s="19"/>
      <c r="F24" s="19"/>
      <c r="G24" s="19"/>
      <c r="H24" s="19"/>
      <c r="I24" s="19"/>
    </row>
    <row r="25">
      <c r="A25" s="19"/>
      <c r="B25" s="19"/>
      <c r="C25" s="19"/>
      <c r="D25" s="19"/>
      <c r="E25" s="19"/>
      <c r="F25" s="19"/>
      <c r="G25" s="19"/>
      <c r="H25" s="19"/>
      <c r="I25" s="33"/>
    </row>
    <row r="26">
      <c r="A26" s="19"/>
      <c r="B26" s="19"/>
      <c r="C26" s="19"/>
      <c r="D26" s="19"/>
      <c r="E26" s="19"/>
      <c r="F26" s="19"/>
      <c r="G26" s="19"/>
      <c r="H26" s="19"/>
      <c r="I26" s="33"/>
    </row>
    <row r="27">
      <c r="A27" s="19"/>
      <c r="B27" s="19"/>
      <c r="C27" s="19"/>
      <c r="D27" s="19"/>
      <c r="E27" s="19"/>
      <c r="F27" s="19"/>
      <c r="G27" s="19"/>
      <c r="H27" s="19"/>
      <c r="I27" s="33"/>
    </row>
    <row r="28">
      <c r="A28" s="19"/>
      <c r="B28" s="19"/>
      <c r="C28" s="19"/>
      <c r="D28" s="19"/>
      <c r="E28" s="19"/>
      <c r="F28" s="19"/>
      <c r="G28" s="19"/>
      <c r="H28" s="19"/>
      <c r="I28" s="33"/>
    </row>
    <row r="29">
      <c r="A29" s="19"/>
      <c r="B29" s="19"/>
      <c r="C29" s="19"/>
      <c r="D29" s="19"/>
      <c r="E29" s="19"/>
      <c r="F29" s="19"/>
      <c r="G29" s="19"/>
      <c r="H29" s="19"/>
      <c r="I29" s="33"/>
    </row>
    <row r="30">
      <c r="A30" s="19"/>
      <c r="B30" s="19"/>
      <c r="C30" s="19"/>
      <c r="D30" s="19"/>
      <c r="E30" s="19"/>
      <c r="F30" s="19"/>
      <c r="G30" s="19"/>
      <c r="H30" s="19"/>
      <c r="I30" s="33"/>
    </row>
    <row r="31">
      <c r="A31" s="19"/>
      <c r="B31" s="19"/>
      <c r="C31" s="19"/>
      <c r="D31" s="19"/>
      <c r="E31" s="19"/>
      <c r="F31" s="19"/>
      <c r="G31" s="19"/>
      <c r="H31" s="19"/>
      <c r="I31" s="33"/>
    </row>
    <row r="32">
      <c r="A32" s="19"/>
      <c r="B32" s="19"/>
      <c r="C32" s="19"/>
      <c r="D32" s="19"/>
      <c r="E32" s="19"/>
      <c r="F32" s="19"/>
      <c r="G32" s="19"/>
      <c r="H32" s="19"/>
      <c r="I32" s="33"/>
    </row>
    <row r="33">
      <c r="A33" s="19"/>
      <c r="B33" s="19"/>
      <c r="C33" s="19"/>
      <c r="D33" s="19"/>
      <c r="E33" s="19"/>
      <c r="F33" s="19"/>
      <c r="G33" s="19"/>
      <c r="H33" s="19"/>
      <c r="I33" s="33"/>
    </row>
    <row r="34">
      <c r="A34" s="19"/>
      <c r="B34" s="19"/>
      <c r="C34" s="19"/>
      <c r="D34" s="19"/>
      <c r="E34" s="19"/>
      <c r="F34" s="19"/>
      <c r="G34" s="19"/>
      <c r="H34" s="19"/>
      <c r="I34" s="33"/>
    </row>
    <row r="35">
      <c r="A35" s="19"/>
      <c r="B35" s="19"/>
      <c r="C35" s="19"/>
      <c r="D35" s="19"/>
      <c r="E35" s="19"/>
      <c r="F35" s="19"/>
      <c r="G35" s="19"/>
      <c r="H35" s="19"/>
      <c r="I35" s="33"/>
    </row>
    <row r="36">
      <c r="A36" s="19"/>
      <c r="B36" s="19"/>
      <c r="C36" s="19"/>
      <c r="D36" s="19"/>
      <c r="E36" s="19"/>
      <c r="F36" s="19"/>
      <c r="G36" s="19"/>
      <c r="H36" s="19"/>
      <c r="I36" s="33"/>
    </row>
    <row r="37">
      <c r="A37" s="19"/>
      <c r="B37" s="19"/>
      <c r="C37" s="19"/>
      <c r="D37" s="19"/>
      <c r="E37" s="19"/>
      <c r="F37" s="19"/>
      <c r="G37" s="19"/>
      <c r="H37" s="19"/>
      <c r="I37" s="33"/>
    </row>
    <row r="38">
      <c r="A38" s="19"/>
      <c r="B38" s="19"/>
      <c r="C38" s="19"/>
      <c r="D38" s="19"/>
      <c r="E38" s="19"/>
      <c r="F38" s="19"/>
      <c r="G38" s="19"/>
      <c r="H38" s="19"/>
      <c r="I38" s="33"/>
    </row>
    <row r="39">
      <c r="A39" s="19"/>
      <c r="B39" s="19"/>
      <c r="C39" s="19"/>
      <c r="D39" s="19"/>
      <c r="E39" s="19"/>
      <c r="F39" s="19"/>
      <c r="G39" s="19"/>
      <c r="H39" s="19"/>
      <c r="I39" s="33"/>
    </row>
    <row r="40">
      <c r="A40" s="19"/>
      <c r="B40" s="19"/>
      <c r="C40" s="19"/>
      <c r="D40" s="19"/>
      <c r="E40" s="19"/>
      <c r="F40" s="19"/>
      <c r="G40" s="19"/>
      <c r="H40" s="19"/>
      <c r="I40" s="33"/>
    </row>
  </sheetData>
  <mergeCells count="8">
    <mergeCell ref="A1:F1"/>
    <mergeCell ref="H1:J1"/>
    <mergeCell ref="K2:S2"/>
    <mergeCell ref="J3:S8"/>
    <mergeCell ref="J10:S13"/>
    <mergeCell ref="J14:K14"/>
    <mergeCell ref="J15:S16"/>
    <mergeCell ref="A17:E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4" max="4" width="15.0"/>
    <col customWidth="1" min="10" max="10" width="15.75"/>
  </cols>
  <sheetData>
    <row r="1">
      <c r="A1" s="34" t="s">
        <v>20</v>
      </c>
      <c r="B1" s="34" t="s">
        <v>21</v>
      </c>
      <c r="C1" s="34" t="s">
        <v>22</v>
      </c>
      <c r="D1" s="34" t="s">
        <v>23</v>
      </c>
      <c r="E1" s="34" t="s">
        <v>24</v>
      </c>
      <c r="F1" s="35" t="s">
        <v>25</v>
      </c>
      <c r="G1" s="36" t="s">
        <v>26</v>
      </c>
      <c r="H1" s="35" t="s">
        <v>27</v>
      </c>
      <c r="I1" s="35" t="s">
        <v>28</v>
      </c>
      <c r="J1" s="34" t="s">
        <v>29</v>
      </c>
      <c r="K1" s="37" t="s">
        <v>30</v>
      </c>
      <c r="O1" s="38"/>
      <c r="P1" s="38"/>
      <c r="Q1" s="38"/>
      <c r="R1" s="38"/>
      <c r="S1" s="38"/>
      <c r="T1" s="38"/>
      <c r="U1" s="38"/>
      <c r="V1" s="38"/>
      <c r="W1" s="38"/>
      <c r="X1" s="38"/>
      <c r="Y1" s="38"/>
      <c r="Z1" s="38"/>
      <c r="AA1" s="38"/>
      <c r="AB1" s="38"/>
      <c r="AC1" s="38"/>
    </row>
    <row r="2">
      <c r="A2" s="39" t="s">
        <v>31</v>
      </c>
      <c r="B2" s="40">
        <f>IFERROR(__xludf.DUMMYFUNCTION("GOOGLEFINANCE(A2,""price"")"),31.4)</f>
        <v>31.4</v>
      </c>
      <c r="C2" s="41">
        <f>IFERROR(__xludf.DUMMYFUNCTION("GOOGLEFINANCE(A2,""closeyest"")"),31.26)</f>
        <v>31.26</v>
      </c>
      <c r="D2" s="42">
        <f>IFERROR(__xludf.DUMMYFUNCTION("MIN(index(GOOGLEFINANCE(A2,""ALL"",TODAY()-180,TODAY()),0,5))*1.2"),33.12)</f>
        <v>33.12</v>
      </c>
      <c r="E2" s="43">
        <f>IFERROR(__xludf.DUMMYFUNCTION("AVERAGE(QUERY(SORT(GOOGLEFINANCE(A2,""price"",TODAY()-320,TODAY()),1,0),""select Col2 limit 100""))"),30.891899999999985)</f>
        <v>30.8919</v>
      </c>
      <c r="F2" s="44">
        <f>IFERROR(__xludf.DUMMYFUNCTION("GOOGLEFINANCE(A2,""high52"")"),33.61)</f>
        <v>33.61</v>
      </c>
      <c r="G2" s="45">
        <f>IFERROR(__xludf.DUMMYFUNCTION("to_date(index(sort(GOOGLEFINANCE(A2, ""high"", today()-52*7, today(), ""DAILY""),2,0),2,1))"),45834.64583333333)</f>
        <v>45834.64583</v>
      </c>
      <c r="H2" s="44">
        <f>IFERROR(__xludf.DUMMYFUNCTION("GOOGLEFINANCE(A2,""low52"")"),26.0)</f>
        <v>26</v>
      </c>
      <c r="I2" s="45">
        <f>IFERROR(__xludf.DUMMYFUNCTION("to_date(index(sort(GOOGLEFINANCE(A2, ""low"", today()-52*7, today(), ""DAILY""),2,1),1,1))"),46073.64583333333)</f>
        <v>46073.64583</v>
      </c>
      <c r="J2" s="46" t="str">
        <f t="shared" ref="J2:J67" si="1">if(AND(B2&gt;E2,B2&gt;D2,C2&lt;E2, I2&gt;G2),"Buy Today","Do Not Buy Today")</f>
        <v>Do Not Buy Today</v>
      </c>
      <c r="K2" s="47" t="s">
        <v>32</v>
      </c>
    </row>
    <row r="3">
      <c r="A3" s="39" t="s">
        <v>33</v>
      </c>
      <c r="B3" s="40">
        <f>IFERROR(__xludf.DUMMYFUNCTION("GOOGLEFINANCE(A3,""price"")"),21.2)</f>
        <v>21.2</v>
      </c>
      <c r="C3" s="41">
        <f>IFERROR(__xludf.DUMMYFUNCTION("GOOGLEFINANCE(A3,""closeyest"")"),21.14)</f>
        <v>21.14</v>
      </c>
      <c r="D3" s="42">
        <f>IFERROR(__xludf.DUMMYFUNCTION("MIN(index(GOOGLEFINANCE(A3,""ALL"",TODAY()-180,TODAY()),0,5))*1.2"),22.836000000000002)</f>
        <v>22.836</v>
      </c>
      <c r="E3" s="43">
        <f>IFERROR(__xludf.DUMMYFUNCTION("AVERAGE(QUERY(SORT(GOOGLEFINANCE(A3,""price"",TODAY()-320,TODAY()),1,0),""select Col2 limit 100""))"),21.138399999999997)</f>
        <v>21.1384</v>
      </c>
      <c r="F3" s="44">
        <f>IFERROR(__xludf.DUMMYFUNCTION("GOOGLEFINANCE(A3,""high52"")"),23.03)</f>
        <v>23.03</v>
      </c>
      <c r="G3" s="45">
        <f>IFERROR(__xludf.DUMMYFUNCTION("to_date(index(sort(GOOGLEFINANCE(A3, ""high"", today()-52*7, today(), ""DAILY""),2,0),2,1))"),46030.64583333333)</f>
        <v>46030.64583</v>
      </c>
      <c r="H3" s="44">
        <f>IFERROR(__xludf.DUMMYFUNCTION("GOOGLEFINANCE(A3,""low52"")"),18.95)</f>
        <v>18.95</v>
      </c>
      <c r="I3" s="45">
        <f>IFERROR(__xludf.DUMMYFUNCTION("to_date(index(sort(GOOGLEFINANCE(A3, ""low"", today()-52*7, today(), ""DAILY""),2,1),1,1))"),46114.64583333333)</f>
        <v>46114.64583</v>
      </c>
      <c r="J3" s="46" t="str">
        <f t="shared" si="1"/>
        <v>Do Not Buy Today</v>
      </c>
    </row>
    <row r="4">
      <c r="A4" s="39" t="s">
        <v>34</v>
      </c>
      <c r="B4" s="40">
        <f>IFERROR(__xludf.DUMMYFUNCTION("GOOGLEFINANCE(A4,""price"")"),16.0)</f>
        <v>16</v>
      </c>
      <c r="C4" s="41">
        <f>IFERROR(__xludf.DUMMYFUNCTION("GOOGLEFINANCE(A4,""closeyest"")"),15.96)</f>
        <v>15.96</v>
      </c>
      <c r="D4" s="42">
        <f>IFERROR(__xludf.DUMMYFUNCTION("MIN(index(GOOGLEFINANCE(A4,""ALL"",TODAY()-180,TODAY()),0,5))*1.2"),16.848)</f>
        <v>16.848</v>
      </c>
      <c r="E4" s="43">
        <f>IFERROR(__xludf.DUMMYFUNCTION("AVERAGE(QUERY(SORT(GOOGLEFINANCE(A4,""price"",TODAY()-320,TODAY()),1,0),""select Col2 limit 100""))"),15.521699999999992)</f>
        <v>15.5217</v>
      </c>
      <c r="F4" s="44">
        <f>IFERROR(__xludf.DUMMYFUNCTION("GOOGLEFINANCE(A4,""high52"")"),17.7)</f>
        <v>17.7</v>
      </c>
      <c r="G4" s="45">
        <f>IFERROR(__xludf.DUMMYFUNCTION("to_date(index(sort(GOOGLEFINANCE(A4, ""high"", today()-52*7, today(), ""DAILY""),2,0),2,1))"),46078.64583333333)</f>
        <v>46078.64583</v>
      </c>
      <c r="H4" s="44">
        <f>IFERROR(__xludf.DUMMYFUNCTION("GOOGLEFINANCE(A4,""low52"")"),12.27)</f>
        <v>12.27</v>
      </c>
      <c r="I4" s="45">
        <f>IFERROR(__xludf.DUMMYFUNCTION("to_date(index(sort(GOOGLEFINANCE(A4, ""low"", today()-52*7, today(), ""DAILY""),2,1),1,1))"),45901.64583333333)</f>
        <v>45901.64583</v>
      </c>
      <c r="J4" s="46" t="str">
        <f t="shared" si="1"/>
        <v>Do Not Buy Today</v>
      </c>
    </row>
    <row r="5">
      <c r="A5" s="39" t="s">
        <v>35</v>
      </c>
      <c r="B5" s="40">
        <f>IFERROR(__xludf.DUMMYFUNCTION("GOOGLEFINANCE(A5,""price"")"),10.8)</f>
        <v>10.8</v>
      </c>
      <c r="C5" s="41">
        <f>IFERROR(__xludf.DUMMYFUNCTION("GOOGLEFINANCE(A5,""closeyest"")"),10.83)</f>
        <v>10.83</v>
      </c>
      <c r="D5" s="42">
        <f>IFERROR(__xludf.DUMMYFUNCTION("MIN(index(GOOGLEFINANCE(A5,""ALL"",TODAY()-180,TODAY()),0,5))*1.2"),11.652000000000001)</f>
        <v>11.652</v>
      </c>
      <c r="E5" s="43">
        <f>IFERROR(__xludf.DUMMYFUNCTION("AVERAGE(QUERY(SORT(GOOGLEFINANCE(A5,""price"",TODAY()-320,TODAY()),1,0),""select Col2 limit 100""))"),10.5492)</f>
        <v>10.5492</v>
      </c>
      <c r="F5" s="44">
        <f>IFERROR(__xludf.DUMMYFUNCTION("GOOGLEFINANCE(A5,""high52"")"),11.6)</f>
        <v>11.6</v>
      </c>
      <c r="G5" s="45">
        <f>IFERROR(__xludf.DUMMYFUNCTION("to_date(index(sort(GOOGLEFINANCE(A5, ""high"", today()-52*7, today(), ""DAILY""),2,0),2,1))"),46086.64583333333)</f>
        <v>46086.64583</v>
      </c>
      <c r="H5" s="44">
        <f>IFERROR(__xludf.DUMMYFUNCTION("GOOGLEFINANCE(A5,""low52"")"),9.21)</f>
        <v>9.21</v>
      </c>
      <c r="I5" s="45">
        <f>IFERROR(__xludf.DUMMYFUNCTION("to_date(index(sort(GOOGLEFINANCE(A5, ""low"", today()-52*7, today(), ""DAILY""),2,1),1,1))"),46085.64583333333)</f>
        <v>46085.64583</v>
      </c>
      <c r="J5" s="46" t="str">
        <f t="shared" si="1"/>
        <v>Do Not Buy Today</v>
      </c>
      <c r="K5" s="48" t="s">
        <v>1</v>
      </c>
      <c r="M5" s="49" t="str">
        <f>IFERROR(__xludf.DUMMYFUNCTION("GOOGLEFINANCE(A6,""tradetime"")"),"#N/A")</f>
        <v>#N/A</v>
      </c>
    </row>
    <row r="6">
      <c r="A6" s="39" t="s">
        <v>36</v>
      </c>
      <c r="B6" s="40" t="str">
        <f>IFERROR(__xludf.DUMMYFUNCTION("GOOGLEFINANCE(A6,""price"")"),"#N/A")</f>
        <v>#N/A</v>
      </c>
      <c r="C6" s="41" t="str">
        <f>IFERROR(__xludf.DUMMYFUNCTION("GOOGLEFINANCE(A6,""closeyest"")"),"#N/A")</f>
        <v>#N/A</v>
      </c>
      <c r="D6" s="42" t="str">
        <f>IFERROR(__xludf.DUMMYFUNCTION("MIN(index(GOOGLEFINANCE(A6,""ALL"",TODAY()-180,TODAY()),0,5))*1.2"),"#N/A")</f>
        <v>#N/A</v>
      </c>
      <c r="E6" s="43" t="str">
        <f>IFERROR(__xludf.DUMMYFUNCTION("AVERAGE(QUERY(SORT(GOOGLEFINANCE(A6,""price"",TODAY()-320,TODAY()),1,0),""select Col2 limit 100""))"),"#N/A")</f>
        <v>#N/A</v>
      </c>
      <c r="F6" s="44" t="str">
        <f>IFERROR(__xludf.DUMMYFUNCTION("GOOGLEFINANCE(A6,""high52"")"),"#N/A")</f>
        <v>#N/A</v>
      </c>
      <c r="G6" s="45" t="str">
        <f>IFERROR(__xludf.DUMMYFUNCTION("to_date(index(sort(GOOGLEFINANCE(A6, ""high"", today()-52*7, today(), ""DAILY""),2,0),2,1))"),"#N/A")</f>
        <v>#N/A</v>
      </c>
      <c r="H6" s="44" t="str">
        <f>IFERROR(__xludf.DUMMYFUNCTION("GOOGLEFINANCE(A6,""low52"")"),"#N/A")</f>
        <v>#N/A</v>
      </c>
      <c r="I6" s="45" t="str">
        <f>IFERROR(__xludf.DUMMYFUNCTION("to_date(index(sort(GOOGLEFINANCE(A6, ""low"", today()-52*7, today(), ""DAILY""),2,1),1,1))"),"#N/A")</f>
        <v>#N/A</v>
      </c>
      <c r="J6" s="46" t="str">
        <f t="shared" si="1"/>
        <v>#N/A</v>
      </c>
      <c r="K6" s="50"/>
    </row>
    <row r="7">
      <c r="A7" s="39" t="s">
        <v>37</v>
      </c>
      <c r="B7" s="40">
        <f>IFERROR(__xludf.DUMMYFUNCTION("GOOGLEFINANCE(A7,""price"")"),103.35)</f>
        <v>103.35</v>
      </c>
      <c r="C7" s="41">
        <f>IFERROR(__xludf.DUMMYFUNCTION("GOOGLEFINANCE(A7,""closeyest"")"),103.58)</f>
        <v>103.58</v>
      </c>
      <c r="D7" s="42">
        <f>IFERROR(__xludf.DUMMYFUNCTION("MIN(index(GOOGLEFINANCE(A7,""ALL"",TODAY()-180,TODAY()),0,5))*1.2"),105.92399999999999)</f>
        <v>105.924</v>
      </c>
      <c r="E7" s="43">
        <f>IFERROR(__xludf.DUMMYFUNCTION("AVERAGE(QUERY(SORT(GOOGLEFINANCE(A7,""price"",TODAY()-320,TODAY()),1,0),""select Col2 limit 100""))"),100.87809999999998)</f>
        <v>100.8781</v>
      </c>
      <c r="F7" s="44">
        <f>IFERROR(__xludf.DUMMYFUNCTION("GOOGLEFINANCE(A7,""high52"")"),110.5)</f>
        <v>110.5</v>
      </c>
      <c r="G7" s="45">
        <f>IFERROR(__xludf.DUMMYFUNCTION("to_date(index(sort(GOOGLEFINANCE(A7, ""high"", today()-52*7, today(), ""DAILY""),2,0),2,1))"),46146.64583333333)</f>
        <v>46146.64583</v>
      </c>
      <c r="H7" s="44">
        <f>IFERROR(__xludf.DUMMYFUNCTION("GOOGLEFINANCE(A7,""low52"")"),85.67)</f>
        <v>85.67</v>
      </c>
      <c r="I7" s="45">
        <f>IFERROR(__xludf.DUMMYFUNCTION("to_date(index(sort(GOOGLEFINANCE(A7, ""low"", today()-52*7, today(), ""DAILY""),2,1),1,1))"),45898.64583333333)</f>
        <v>45898.64583</v>
      </c>
      <c r="J7" s="46" t="str">
        <f t="shared" si="1"/>
        <v>Do Not Buy Today</v>
      </c>
    </row>
    <row r="8">
      <c r="A8" s="39" t="s">
        <v>2</v>
      </c>
      <c r="B8" s="40">
        <f>IFERROR(__xludf.DUMMYFUNCTION("GOOGLEFINANCE(A8,""price"")"),129.62)</f>
        <v>129.62</v>
      </c>
      <c r="C8" s="41">
        <f>IFERROR(__xludf.DUMMYFUNCTION("GOOGLEFINANCE(A8,""closeyest"")"),129.58)</f>
        <v>129.58</v>
      </c>
      <c r="D8" s="42">
        <f>IFERROR(__xludf.DUMMYFUNCTION("MIN(index(GOOGLEFINANCE(A8,""ALL"",TODAY()-180,TODAY()),0,5))*1.2"),125.544)</f>
        <v>125.544</v>
      </c>
      <c r="E8" s="43">
        <f>IFERROR(__xludf.DUMMYFUNCTION("AVERAGE(QUERY(SORT(GOOGLEFINANCE(A8,""price"",TODAY()-320,TODAY()),1,0),""select Col2 limit 100""))"),124.80880000000006)</f>
        <v>124.8088</v>
      </c>
      <c r="F8" s="44">
        <f>IFERROR(__xludf.DUMMYFUNCTION("GOOGLEFINANCE(A8,""high52"")"),148.14)</f>
        <v>148.14</v>
      </c>
      <c r="G8" s="45">
        <f>IFERROR(__xludf.DUMMYFUNCTION("to_date(index(sort(GOOGLEFINANCE(A8, ""high"", today()-52*7, today(), ""DAILY""),2,0),2,1))"),46051.64583333333)</f>
        <v>46051.64583</v>
      </c>
      <c r="H8" s="44">
        <f>IFERROR(__xludf.DUMMYFUNCTION("GOOGLEFINANCE(A8,""low52"")"),77.38)</f>
        <v>77.38</v>
      </c>
      <c r="I8" s="45">
        <f>IFERROR(__xludf.DUMMYFUNCTION("to_date(index(sort(GOOGLEFINANCE(A8, ""low"", today()-52*7, today(), ""DAILY""),2,1),1,1))"),45807.64583333333)</f>
        <v>45807.64583</v>
      </c>
      <c r="J8" s="46" t="str">
        <f t="shared" si="1"/>
        <v>Do Not Buy Today</v>
      </c>
      <c r="K8" s="51"/>
    </row>
    <row r="9">
      <c r="A9" s="39" t="s">
        <v>38</v>
      </c>
      <c r="B9" s="40">
        <f>IFERROR(__xludf.DUMMYFUNCTION("GOOGLEFINANCE(A9,""price"")"),524.98)</f>
        <v>524.98</v>
      </c>
      <c r="C9" s="41">
        <f>IFERROR(__xludf.DUMMYFUNCTION("GOOGLEFINANCE(A9,""closeyest"")"),529.18)</f>
        <v>529.18</v>
      </c>
      <c r="D9" s="42">
        <f>IFERROR(__xludf.DUMMYFUNCTION("MIN(index(GOOGLEFINANCE(A9,""ALL"",TODAY()-180,TODAY()),0,5))*1.2"),540.96)</f>
        <v>540.96</v>
      </c>
      <c r="E9" s="43">
        <f>IFERROR(__xludf.DUMMYFUNCTION("AVERAGE(QUERY(SORT(GOOGLEFINANCE(A9,""price"",TODAY()-320,TODAY()),1,0),""select Col2 limit 100""))"),523.3109)</f>
        <v>523.3109</v>
      </c>
      <c r="F9" s="44">
        <f>IFERROR(__xludf.DUMMYFUNCTION("GOOGLEFINANCE(A9,""high52"")"),579.92)</f>
        <v>579.92</v>
      </c>
      <c r="G9" s="45">
        <f>IFERROR(__xludf.DUMMYFUNCTION("to_date(index(sort(GOOGLEFINANCE(A9, ""high"", today()-52*7, today(), ""DAILY""),2,0),2,1))"),45936.64583333333)</f>
        <v>45936.64583</v>
      </c>
      <c r="H9" s="44">
        <f>IFERROR(__xludf.DUMMYFUNCTION("GOOGLEFINANCE(A9,""low52"")"),375.05)</f>
        <v>375.05</v>
      </c>
      <c r="I9" s="45">
        <f>IFERROR(__xludf.DUMMYFUNCTION("to_date(index(sort(GOOGLEFINANCE(A9, ""low"", today()-52*7, today(), ""DAILY""),2,1),1,1))"),45831.64583333333)</f>
        <v>45831.64583</v>
      </c>
      <c r="J9" s="46" t="str">
        <f t="shared" si="1"/>
        <v>Do Not Buy Today</v>
      </c>
      <c r="K9" s="52" t="s">
        <v>39</v>
      </c>
    </row>
    <row r="10">
      <c r="A10" s="39" t="s">
        <v>40</v>
      </c>
      <c r="B10" s="40">
        <f>IFERROR(__xludf.DUMMYFUNCTION("GOOGLEFINANCE(A10,""price"")"),23.91)</f>
        <v>23.91</v>
      </c>
      <c r="C10" s="41">
        <f>IFERROR(__xludf.DUMMYFUNCTION("GOOGLEFINANCE(A10,""closeyest"")"),23.91)</f>
        <v>23.91</v>
      </c>
      <c r="D10" s="42">
        <f>IFERROR(__xludf.DUMMYFUNCTION("MIN(index(GOOGLEFINANCE(A10,""ALL"",TODAY()-180,TODAY()),0,5))*1.2"),25.992)</f>
        <v>25.992</v>
      </c>
      <c r="E10" s="43">
        <f>IFERROR(__xludf.DUMMYFUNCTION("AVERAGE(QUERY(SORT(GOOGLEFINANCE(A10,""price"",TODAY()-320,TODAY()),1,0),""select Col2 limit 100""))"),24.501299999999997)</f>
        <v>24.5013</v>
      </c>
      <c r="F10" s="44">
        <f>IFERROR(__xludf.DUMMYFUNCTION("GOOGLEFINANCE(A10,""high52"")"),35.59)</f>
        <v>35.59</v>
      </c>
      <c r="G10" s="45">
        <f>IFERROR(__xludf.DUMMYFUNCTION("to_date(index(sort(GOOGLEFINANCE(A10, ""high"", today()-52*7, today(), ""DAILY""),2,0),2,1))"),45936.64583333333)</f>
        <v>45936.64583</v>
      </c>
      <c r="H10" s="44">
        <f>IFERROR(__xludf.DUMMYFUNCTION("GOOGLEFINANCE(A10,""low52"")"),20.51)</f>
        <v>20.51</v>
      </c>
      <c r="I10" s="45">
        <f>IFERROR(__xludf.DUMMYFUNCTION("to_date(index(sort(GOOGLEFINANCE(A10, ""low"", today()-52*7, today(), ""DAILY""),2,1),1,1))"),45832.64583333333)</f>
        <v>45832.64583</v>
      </c>
      <c r="J10" s="46" t="str">
        <f t="shared" si="1"/>
        <v>Do Not Buy Today</v>
      </c>
    </row>
    <row r="11">
      <c r="A11" s="39" t="s">
        <v>41</v>
      </c>
      <c r="B11" s="40">
        <f>IFERROR(__xludf.DUMMYFUNCTION("GOOGLEFINANCE(A11,""price"")"),113.69)</f>
        <v>113.69</v>
      </c>
      <c r="C11" s="41">
        <f>IFERROR(__xludf.DUMMYFUNCTION("GOOGLEFINANCE(A11,""closeyest"")"),113.69)</f>
        <v>113.69</v>
      </c>
      <c r="D11" s="42">
        <f>IFERROR(__xludf.DUMMYFUNCTION("MIN(index(GOOGLEFINANCE(A11,""ALL"",TODAY()-180,TODAY()),0,5))*1.2"),130.452)</f>
        <v>130.452</v>
      </c>
      <c r="E11" s="43">
        <f>IFERROR(__xludf.DUMMYFUNCTION("AVERAGE(QUERY(SORT(GOOGLEFINANCE(A11,""price"",TODAY()-320,TODAY()),1,0),""select Col2 limit 100""))"),119.34890000000001)</f>
        <v>119.3489</v>
      </c>
      <c r="F11" s="44">
        <f>IFERROR(__xludf.DUMMYFUNCTION("GOOGLEFINANCE(A11,""high52"")"),133.3)</f>
        <v>133.3</v>
      </c>
      <c r="G11" s="45">
        <f>IFERROR(__xludf.DUMMYFUNCTION("to_date(index(sort(GOOGLEFINANCE(A11, ""high"", today()-52*7, today(), ""DAILY""),2,0),2,1))"),46029.64583333333)</f>
        <v>46029.64583</v>
      </c>
      <c r="H11" s="44">
        <f>IFERROR(__xludf.DUMMYFUNCTION("GOOGLEFINANCE(A11,""low52"")"),107.86)</f>
        <v>107.86</v>
      </c>
      <c r="I11" s="45">
        <f>IFERROR(__xludf.DUMMYFUNCTION("to_date(index(sort(GOOGLEFINANCE(A11, ""low"", today()-52*7, today(), ""DAILY""),2,1),1,1))"),46114.64583333333)</f>
        <v>46114.64583</v>
      </c>
      <c r="J11" s="46" t="str">
        <f t="shared" si="1"/>
        <v>Do Not Buy Today</v>
      </c>
      <c r="K11" s="53" t="s">
        <v>42</v>
      </c>
    </row>
    <row r="12">
      <c r="A12" s="39" t="s">
        <v>43</v>
      </c>
      <c r="B12" s="40">
        <f>IFERROR(__xludf.DUMMYFUNCTION("GOOGLEFINANCE(A12,""price"")"),21.69)</f>
        <v>21.69</v>
      </c>
      <c r="C12" s="41">
        <f>IFERROR(__xludf.DUMMYFUNCTION("GOOGLEFINANCE(A12,""closeyest"")"),21.64)</f>
        <v>21.64</v>
      </c>
      <c r="D12" s="42">
        <f>IFERROR(__xludf.DUMMYFUNCTION("MIN(index(GOOGLEFINANCE(A12,""ALL"",TODAY()-180,TODAY()),0,5))*1.2"),24.204)</f>
        <v>24.204</v>
      </c>
      <c r="E12" s="43">
        <f>IFERROR(__xludf.DUMMYFUNCTION("AVERAGE(QUERY(SORT(GOOGLEFINANCE(A12,""price"",TODAY()-320,TODAY()),1,0),""select Col2 limit 100""))"),22.027699999999996)</f>
        <v>22.0277</v>
      </c>
      <c r="F12" s="44">
        <f>IFERROR(__xludf.DUMMYFUNCTION("GOOGLEFINANCE(A12,""high52"")"),26.81)</f>
        <v>26.81</v>
      </c>
      <c r="G12" s="45">
        <f>IFERROR(__xludf.DUMMYFUNCTION("to_date(index(sort(GOOGLEFINANCE(A12, ""high"", today()-52*7, today(), ""DAILY""),2,0),2,1))"),46049.64583333333)</f>
        <v>46049.64583</v>
      </c>
      <c r="H12" s="44">
        <f>IFERROR(__xludf.DUMMYFUNCTION("GOOGLEFINANCE(A12,""low52"")"),19.84)</f>
        <v>19.84</v>
      </c>
      <c r="I12" s="45">
        <f>IFERROR(__xludf.DUMMYFUNCTION("to_date(index(sort(GOOGLEFINANCE(A12, ""low"", today()-52*7, today(), ""DAILY""),2,1),1,1))"),46114.64583333333)</f>
        <v>46114.64583</v>
      </c>
      <c r="J12" s="46" t="str">
        <f t="shared" si="1"/>
        <v>Do Not Buy Today</v>
      </c>
      <c r="K12" s="54" t="s">
        <v>44</v>
      </c>
    </row>
    <row r="13">
      <c r="A13" s="39" t="s">
        <v>45</v>
      </c>
      <c r="B13" s="40">
        <f>IFERROR(__xludf.DUMMYFUNCTION("GOOGLEFINANCE(A13,""price"")"),57.69)</f>
        <v>57.69</v>
      </c>
      <c r="C13" s="41">
        <f>IFERROR(__xludf.DUMMYFUNCTION("GOOGLEFINANCE(A13,""closeyest"")"),57.69)</f>
        <v>57.69</v>
      </c>
      <c r="D13" s="42">
        <f>IFERROR(__xludf.DUMMYFUNCTION("MIN(index(GOOGLEFINANCE(A13,""ALL"",TODAY()-180,TODAY()),0,5))*1.2"),62.472)</f>
        <v>62.472</v>
      </c>
      <c r="E13" s="43">
        <f>IFERROR(__xludf.DUMMYFUNCTION("AVERAGE(QUERY(SORT(GOOGLEFINANCE(A13,""price"",TODAY()-320,TODAY()),1,0),""select Col2 limit 100""))"),57.68770000000001)</f>
        <v>57.6877</v>
      </c>
      <c r="F13" s="44">
        <f>IFERROR(__xludf.DUMMYFUNCTION("GOOGLEFINANCE(A13,""high52"")"),61.87)</f>
        <v>61.87</v>
      </c>
      <c r="G13" s="45">
        <f>IFERROR(__xludf.DUMMYFUNCTION("to_date(index(sort(GOOGLEFINANCE(A13, ""high"", today()-52*7, today(), ""DAILY""),2,0),2,1))"),46049.64583333333)</f>
        <v>46049.64583</v>
      </c>
      <c r="H13" s="44">
        <f>IFERROR(__xludf.DUMMYFUNCTION("GOOGLEFINANCE(A13,""low52"")"),51.91)</f>
        <v>51.91</v>
      </c>
      <c r="I13" s="45">
        <f>IFERROR(__xludf.DUMMYFUNCTION("to_date(index(sort(GOOGLEFINANCE(A13, ""low"", today()-52*7, today(), ""DAILY""),2,1),1,1))"),46111.64583333333)</f>
        <v>46111.64583</v>
      </c>
      <c r="J13" s="46" t="str">
        <f t="shared" si="1"/>
        <v>Do Not Buy Today</v>
      </c>
      <c r="K13" s="55" t="s">
        <v>46</v>
      </c>
    </row>
    <row r="14">
      <c r="A14" s="39" t="s">
        <v>47</v>
      </c>
      <c r="B14" s="40">
        <f>IFERROR(__xludf.DUMMYFUNCTION("GOOGLEFINANCE(A14,""price"")"),38.8)</f>
        <v>38.8</v>
      </c>
      <c r="C14" s="41">
        <f>IFERROR(__xludf.DUMMYFUNCTION("GOOGLEFINANCE(A14,""closeyest"")"),38.57)</f>
        <v>38.57</v>
      </c>
      <c r="D14" s="42">
        <f>IFERROR(__xludf.DUMMYFUNCTION("MIN(index(GOOGLEFINANCE(A14,""ALL"",TODAY()-180,TODAY()),0,5))*1.2"),41.59199999999999)</f>
        <v>41.592</v>
      </c>
      <c r="E14" s="43">
        <f>IFERROR(__xludf.DUMMYFUNCTION("AVERAGE(QUERY(SORT(GOOGLEFINANCE(A14,""price"",TODAY()-320,TODAY()),1,0),""select Col2 limit 100""))"),38.47290000000001)</f>
        <v>38.4729</v>
      </c>
      <c r="F14" s="44">
        <f>IFERROR(__xludf.DUMMYFUNCTION("GOOGLEFINANCE(A14,""high52"")"),41.64)</f>
        <v>41.64</v>
      </c>
      <c r="G14" s="45">
        <f>IFERROR(__xludf.DUMMYFUNCTION("to_date(index(sort(GOOGLEFINANCE(A14, ""high"", today()-52*7, today(), ""DAILY""),2,0),2,1))"),46028.64583333333)</f>
        <v>46028.64583</v>
      </c>
      <c r="H14" s="44">
        <f>IFERROR(__xludf.DUMMYFUNCTION("GOOGLEFINANCE(A14,""low52"")"),34.5)</f>
        <v>34.5</v>
      </c>
      <c r="I14" s="45">
        <f>IFERROR(__xludf.DUMMYFUNCTION("to_date(index(sort(GOOGLEFINANCE(A14, ""low"", today()-52*7, today(), ""DAILY""),2,1),1,1))"),46114.64583333333)</f>
        <v>46114.64583</v>
      </c>
      <c r="J14" s="46" t="str">
        <f t="shared" si="1"/>
        <v>Do Not Buy Today</v>
      </c>
    </row>
    <row r="15">
      <c r="A15" s="39" t="s">
        <v>48</v>
      </c>
      <c r="B15" s="40">
        <f>IFERROR(__xludf.DUMMYFUNCTION("GOOGLEFINANCE(A15,""price"")"),106.92)</f>
        <v>106.92</v>
      </c>
      <c r="C15" s="41">
        <f>IFERROR(__xludf.DUMMYFUNCTION("GOOGLEFINANCE(A15,""closeyest"")"),107.19)</f>
        <v>107.19</v>
      </c>
      <c r="D15" s="42">
        <f>IFERROR(__xludf.DUMMYFUNCTION("MIN(index(GOOGLEFINANCE(A15,""ALL"",TODAY()-180,TODAY()),0,5))*1.2"),110.196)</f>
        <v>110.196</v>
      </c>
      <c r="E15" s="43">
        <f>IFERROR(__xludf.DUMMYFUNCTION("AVERAGE(QUERY(SORT(GOOGLEFINANCE(A15,""price"",TODAY()-320,TODAY()),1,0),""select Col2 limit 100""))"),99.43960000000001)</f>
        <v>99.4396</v>
      </c>
      <c r="F15" s="44">
        <f>IFERROR(__xludf.DUMMYFUNCTION("GOOGLEFINANCE(A15,""high52"")"),109.2)</f>
        <v>109.2</v>
      </c>
      <c r="G15" s="45">
        <f>IFERROR(__xludf.DUMMYFUNCTION("to_date(index(sort(GOOGLEFINANCE(A15, ""high"", today()-52*7, today(), ""DAILY""),2,0),2,1))"),46168.64583333333)</f>
        <v>46168.64583</v>
      </c>
      <c r="H15" s="44">
        <f>IFERROR(__xludf.DUMMYFUNCTION("GOOGLEFINANCE(A15,""low52"")"),85.55)</f>
        <v>85.55</v>
      </c>
      <c r="I15" s="45">
        <f>IFERROR(__xludf.DUMMYFUNCTION("to_date(index(sort(GOOGLEFINANCE(A15, ""low"", today()-52*7, today(), ""DAILY""),2,1),1,1))"),45812.64583333333)</f>
        <v>45812.64583</v>
      </c>
      <c r="J15" s="46" t="str">
        <f t="shared" si="1"/>
        <v>Do Not Buy Today</v>
      </c>
    </row>
    <row r="16">
      <c r="A16" s="39" t="s">
        <v>49</v>
      </c>
      <c r="B16" s="40">
        <f>IFERROR(__xludf.DUMMYFUNCTION("GOOGLEFINANCE(A16,""price"")"),32.6)</f>
        <v>32.6</v>
      </c>
      <c r="C16" s="41">
        <f>IFERROR(__xludf.DUMMYFUNCTION("GOOGLEFINANCE(A16,""closeyest"")"),32.65)</f>
        <v>32.65</v>
      </c>
      <c r="D16" s="42">
        <f>IFERROR(__xludf.DUMMYFUNCTION("MIN(index(GOOGLEFINANCE(A16,""ALL"",TODAY()-180,TODAY()),0,5))*1.2"),33.12)</f>
        <v>33.12</v>
      </c>
      <c r="E16" s="43">
        <f>IFERROR(__xludf.DUMMYFUNCTION("AVERAGE(QUERY(SORT(GOOGLEFINANCE(A16,""price"",TODAY()-320,TODAY()),1,0),""select Col2 limit 100""))"),31.53430000000001)</f>
        <v>31.5343</v>
      </c>
      <c r="F16" s="44">
        <f>IFERROR(__xludf.DUMMYFUNCTION("GOOGLEFINANCE(A16,""high52"")"),33.82)</f>
        <v>33.82</v>
      </c>
      <c r="G16" s="45">
        <f>IFERROR(__xludf.DUMMYFUNCTION("to_date(index(sort(GOOGLEFINANCE(A16, ""high"", today()-52*7, today(), ""DAILY""),2,0),2,1))"),46150.64583333333)</f>
        <v>46150.64583</v>
      </c>
      <c r="H16" s="44">
        <f>IFERROR(__xludf.DUMMYFUNCTION("GOOGLEFINANCE(A16,""low52"")"),27.4)</f>
        <v>27.4</v>
      </c>
      <c r="I16" s="45">
        <f>IFERROR(__xludf.DUMMYFUNCTION("to_date(index(sort(GOOGLEFINANCE(A16, ""low"", today()-52*7, today(), ""DAILY""),2,1),1,1))"),46114.64583333333)</f>
        <v>46114.64583</v>
      </c>
      <c r="J16" s="46" t="str">
        <f t="shared" si="1"/>
        <v>Do Not Buy Today</v>
      </c>
    </row>
    <row r="17">
      <c r="A17" s="39" t="s">
        <v>50</v>
      </c>
      <c r="B17" s="40">
        <f>IFERROR(__xludf.DUMMYFUNCTION("GOOGLEFINANCE(A17,""price"")"),97.09)</f>
        <v>97.09</v>
      </c>
      <c r="C17" s="41">
        <f>IFERROR(__xludf.DUMMYFUNCTION("GOOGLEFINANCE(A17,""closeyest"")"),96.54)</f>
        <v>96.54</v>
      </c>
      <c r="D17" s="42">
        <f>IFERROR(__xludf.DUMMYFUNCTION("MIN(index(GOOGLEFINANCE(A17,""ALL"",TODAY()-180,TODAY()),0,5))*1.2"),105.564)</f>
        <v>105.564</v>
      </c>
      <c r="E17" s="43">
        <f>IFERROR(__xludf.DUMMYFUNCTION("AVERAGE(QUERY(SORT(GOOGLEFINANCE(A17,""price"",TODAY()-320,TODAY()),1,0),""select Col2 limit 100""))"),95.29060000000007)</f>
        <v>95.2906</v>
      </c>
      <c r="F17" s="44">
        <f>IFERROR(__xludf.DUMMYFUNCTION("GOOGLEFINANCE(A17,""high52"")"),101.0)</f>
        <v>101</v>
      </c>
      <c r="G17" s="45">
        <f>IFERROR(__xludf.DUMMYFUNCTION("to_date(index(sort(GOOGLEFINANCE(A17, ""high"", today()-52*7, today(), ""DAILY""),2,0),2,1))"),46010.64583333333)</f>
        <v>46010.64583</v>
      </c>
      <c r="H17" s="44">
        <f>IFERROR(__xludf.DUMMYFUNCTION("GOOGLEFINANCE(A17,""low52"")"),86.8)</f>
        <v>86.8</v>
      </c>
      <c r="I17" s="45">
        <f>IFERROR(__xludf.DUMMYFUNCTION("to_date(index(sort(GOOGLEFINANCE(A17, ""low"", today()-52*7, today(), ""DAILY""),2,1),1,1))"),46114.64583333333)</f>
        <v>46114.64583</v>
      </c>
      <c r="J17" s="46" t="str">
        <f t="shared" si="1"/>
        <v>Do Not Buy Today</v>
      </c>
    </row>
    <row r="18">
      <c r="A18" s="39" t="s">
        <v>51</v>
      </c>
      <c r="B18" s="40">
        <f>IFERROR(__xludf.DUMMYFUNCTION("GOOGLEFINANCE(A18,""price"")"),33.27)</f>
        <v>33.27</v>
      </c>
      <c r="C18" s="41">
        <f>IFERROR(__xludf.DUMMYFUNCTION("GOOGLEFINANCE(A18,""closeyest"")"),33.04)</f>
        <v>33.04</v>
      </c>
      <c r="D18" s="42">
        <f>IFERROR(__xludf.DUMMYFUNCTION("MIN(index(GOOGLEFINANCE(A18,""ALL"",TODAY()-180,TODAY()),0,5))*1.2"),33.708)</f>
        <v>33.708</v>
      </c>
      <c r="E18" s="43">
        <f>IFERROR(__xludf.DUMMYFUNCTION("AVERAGE(QUERY(SORT(GOOGLEFINANCE(A18,""price"",TODAY()-320,TODAY()),1,0),""select Col2 limit 100""))"),31.533800000000006)</f>
        <v>31.5338</v>
      </c>
      <c r="F18" s="44">
        <f>IFERROR(__xludf.DUMMYFUNCTION("GOOGLEFINANCE(A18,""high52"")"),35.54)</f>
        <v>35.54</v>
      </c>
      <c r="G18" s="45">
        <f>IFERROR(__xludf.DUMMYFUNCTION("to_date(index(sort(GOOGLEFINANCE(A18, ""high"", today()-52*7, today(), ""DAILY""),2,0),2,1))"),46149.64583333333)</f>
        <v>46149.64583</v>
      </c>
      <c r="H18" s="44">
        <f>IFERROR(__xludf.DUMMYFUNCTION("GOOGLEFINANCE(A18,""low52"")"),27.83)</f>
        <v>27.83</v>
      </c>
      <c r="I18" s="45">
        <f>IFERROR(__xludf.DUMMYFUNCTION("to_date(index(sort(GOOGLEFINANCE(A18, ""low"", today()-52*7, today(), ""DAILY""),2,1),1,1))"),46111.64583333333)</f>
        <v>46111.64583</v>
      </c>
      <c r="J18" s="46" t="str">
        <f t="shared" si="1"/>
        <v>Do Not Buy Today</v>
      </c>
    </row>
    <row r="19">
      <c r="A19" s="39" t="s">
        <v>52</v>
      </c>
      <c r="B19" s="40">
        <f>IFERROR(__xludf.DUMMYFUNCTION("GOOGLEFINANCE(A19,""price"")"),26.24)</f>
        <v>26.24</v>
      </c>
      <c r="C19" s="41">
        <f>IFERROR(__xludf.DUMMYFUNCTION("GOOGLEFINANCE(A19,""closeyest"")"),26.16)</f>
        <v>26.16</v>
      </c>
      <c r="D19" s="42">
        <f>IFERROR(__xludf.DUMMYFUNCTION("MIN(index(GOOGLEFINANCE(A19,""ALL"",TODAY()-180,TODAY()),0,5))*1.2"),26.376)</f>
        <v>26.376</v>
      </c>
      <c r="E19" s="43">
        <f>IFERROR(__xludf.DUMMYFUNCTION("AVERAGE(QUERY(SORT(GOOGLEFINANCE(A19,""price"",TODAY()-320,TODAY()),1,0),""select Col2 limit 100""))"),24.774599999999992)</f>
        <v>24.7746</v>
      </c>
      <c r="F19" s="44">
        <f>IFERROR(__xludf.DUMMYFUNCTION("GOOGLEFINANCE(A19,""high52"")"),26.53)</f>
        <v>26.53</v>
      </c>
      <c r="G19" s="45">
        <f>IFERROR(__xludf.DUMMYFUNCTION("to_date(index(sort(GOOGLEFINANCE(A19, ""high"", today()-52*7, today(), ""DAILY""),2,0),2,1))"),45989.64583333333)</f>
        <v>45989.64583</v>
      </c>
      <c r="H19" s="44">
        <f>IFERROR(__xludf.DUMMYFUNCTION("GOOGLEFINANCE(A19,""low52"")"),21.8)</f>
        <v>21.8</v>
      </c>
      <c r="I19" s="45">
        <f>IFERROR(__xludf.DUMMYFUNCTION("to_date(index(sort(GOOGLEFINANCE(A19, ""low"", today()-52*7, today(), ""DAILY""),2,1),1,1))"),46114.64583333333)</f>
        <v>46114.64583</v>
      </c>
      <c r="J19" s="46" t="str">
        <f t="shared" si="1"/>
        <v>Do Not Buy Today</v>
      </c>
    </row>
    <row r="20">
      <c r="A20" s="39" t="s">
        <v>53</v>
      </c>
      <c r="B20" s="40">
        <f>IFERROR(__xludf.DUMMYFUNCTION("GOOGLEFINANCE(A20,""price"")"),51.6)</f>
        <v>51.6</v>
      </c>
      <c r="C20" s="41">
        <f>IFERROR(__xludf.DUMMYFUNCTION("GOOGLEFINANCE(A20,""closeyest"")"),51.39)</f>
        <v>51.39</v>
      </c>
      <c r="D20" s="42">
        <f>IFERROR(__xludf.DUMMYFUNCTION("MIN(index(GOOGLEFINANCE(A20,""ALL"",TODAY()-180,TODAY()),0,5))*1.2"),51.144)</f>
        <v>51.144</v>
      </c>
      <c r="E20" s="43">
        <f>IFERROR(__xludf.DUMMYFUNCTION("AVERAGE(QUERY(SORT(GOOGLEFINANCE(A20,""price"",TODAY()-320,TODAY()),1,0),""select Col2 limit 100""))"),47.55979999999999)</f>
        <v>47.5598</v>
      </c>
      <c r="F20" s="44">
        <f>IFERROR(__xludf.DUMMYFUNCTION("GOOGLEFINANCE(A20,""high52"")"),52.62)</f>
        <v>52.62</v>
      </c>
      <c r="G20" s="45">
        <f>IFERROR(__xludf.DUMMYFUNCTION("to_date(index(sort(GOOGLEFINANCE(A20, ""high"", today()-52*7, today(), ""DAILY""),2,0),2,1))"),45840.64583333333)</f>
        <v>45840.64583</v>
      </c>
      <c r="H20" s="44">
        <f>IFERROR(__xludf.DUMMYFUNCTION("GOOGLEFINANCE(A20,""low52"")"),42.41)</f>
        <v>42.41</v>
      </c>
      <c r="I20" s="45">
        <f>IFERROR(__xludf.DUMMYFUNCTION("to_date(index(sort(GOOGLEFINANCE(A20, ""low"", today()-52*7, today(), ""DAILY""),2,1),1,1))"),46104.64583333333)</f>
        <v>46104.64583</v>
      </c>
      <c r="J20" s="46" t="str">
        <f t="shared" si="1"/>
        <v>Do Not Buy Today</v>
      </c>
    </row>
    <row r="21">
      <c r="A21" s="39" t="s">
        <v>54</v>
      </c>
      <c r="B21" s="40">
        <f>IFERROR(__xludf.DUMMYFUNCTION("GOOGLEFINANCE(A21,""price"")"),45.68)</f>
        <v>45.68</v>
      </c>
      <c r="C21" s="41">
        <f>IFERROR(__xludf.DUMMYFUNCTION("GOOGLEFINANCE(A21,""closeyest"")"),45.49)</f>
        <v>45.49</v>
      </c>
      <c r="D21" s="42">
        <f>IFERROR(__xludf.DUMMYFUNCTION("MIN(index(GOOGLEFINANCE(A21,""ALL"",TODAY()-180,TODAY()),0,5))*1.2"),45.059999999999995)</f>
        <v>45.06</v>
      </c>
      <c r="E21" s="43">
        <f>IFERROR(__xludf.DUMMYFUNCTION("AVERAGE(QUERY(SORT(GOOGLEFINANCE(A21,""price"",TODAY()-320,TODAY()),1,0),""select Col2 limit 100""))"),42.43899999999999)</f>
        <v>42.439</v>
      </c>
      <c r="F21" s="44">
        <f>IFERROR(__xludf.DUMMYFUNCTION("GOOGLEFINANCE(A21,""high52"")"),54.5)</f>
        <v>54.5</v>
      </c>
      <c r="G21" s="45">
        <f>IFERROR(__xludf.DUMMYFUNCTION("to_date(index(sort(GOOGLEFINANCE(A21, ""high"", today()-52*7, today(), ""DAILY""),2,0),2,1))"),45953.64583333333)</f>
        <v>45953.64583</v>
      </c>
      <c r="H21" s="44">
        <f>IFERROR(__xludf.DUMMYFUNCTION("GOOGLEFINANCE(A21,""low52"")"),37.34)</f>
        <v>37.34</v>
      </c>
      <c r="I21" s="45">
        <f>IFERROR(__xludf.DUMMYFUNCTION("to_date(index(sort(GOOGLEFINANCE(A21, ""low"", today()-52*7, today(), ""DAILY""),2,1),1,1))"),46104.64583333333)</f>
        <v>46104.64583</v>
      </c>
      <c r="J21" s="46" t="str">
        <f t="shared" si="1"/>
        <v>Do Not Buy Today</v>
      </c>
    </row>
    <row r="22">
      <c r="A22" s="39" t="s">
        <v>55</v>
      </c>
      <c r="B22" s="40">
        <f>IFERROR(__xludf.DUMMYFUNCTION("GOOGLEFINANCE(A22,""price"")"),23.4)</f>
        <v>23.4</v>
      </c>
      <c r="C22" s="41">
        <f>IFERROR(__xludf.DUMMYFUNCTION("GOOGLEFINANCE(A22,""closeyest"")"),23.37)</f>
        <v>23.37</v>
      </c>
      <c r="D22" s="42">
        <f>IFERROR(__xludf.DUMMYFUNCTION("MIN(index(GOOGLEFINANCE(A22,""ALL"",TODAY()-180,TODAY()),0,5))*1.2"),25.128)</f>
        <v>25.128</v>
      </c>
      <c r="E22" s="43">
        <f>IFERROR(__xludf.DUMMYFUNCTION("AVERAGE(QUERY(SORT(GOOGLEFINANCE(A22,""price"",TODAY()-320,TODAY()),1,0),""select Col2 limit 100""))"),23.249000000000002)</f>
        <v>23.249</v>
      </c>
      <c r="F22" s="44">
        <f>IFERROR(__xludf.DUMMYFUNCTION("GOOGLEFINANCE(A22,""high52"")"),24.88)</f>
        <v>24.88</v>
      </c>
      <c r="G22" s="45">
        <f>IFERROR(__xludf.DUMMYFUNCTION("to_date(index(sort(GOOGLEFINANCE(A22, ""high"", today()-52*7, today(), ""DAILY""),2,0),2,1))"),46065.64583333333)</f>
        <v>46065.64583</v>
      </c>
      <c r="H22" s="44">
        <f>IFERROR(__xludf.DUMMYFUNCTION("GOOGLEFINANCE(A22,""low52"")"),20.75)</f>
        <v>20.75</v>
      </c>
      <c r="I22" s="45">
        <f>IFERROR(__xludf.DUMMYFUNCTION("to_date(index(sort(GOOGLEFINANCE(A22, ""low"", today()-52*7, today(), ""DAILY""),2,1),1,1))"),46111.64583333333)</f>
        <v>46111.64583</v>
      </c>
      <c r="J22" s="46" t="str">
        <f t="shared" si="1"/>
        <v>Do Not Buy Today</v>
      </c>
    </row>
    <row r="23">
      <c r="A23" s="39" t="s">
        <v>56</v>
      </c>
      <c r="B23" s="40">
        <f>IFERROR(__xludf.DUMMYFUNCTION("GOOGLEFINANCE(A23,""price"")"),78.75)</f>
        <v>78.75</v>
      </c>
      <c r="C23" s="41">
        <f>IFERROR(__xludf.DUMMYFUNCTION("GOOGLEFINANCE(A23,""closeyest"")"),78.02)</f>
        <v>78.02</v>
      </c>
      <c r="D23" s="42">
        <f>IFERROR(__xludf.DUMMYFUNCTION("MIN(index(GOOGLEFINANCE(A23,""ALL"",TODAY()-180,TODAY()),0,5))*1.2"),77.904)</f>
        <v>77.904</v>
      </c>
      <c r="E23" s="43">
        <f>IFERROR(__xludf.DUMMYFUNCTION("AVERAGE(QUERY(SORT(GOOGLEFINANCE(A23,""price"",TODAY()-320,TODAY()),1,0),""select Col2 limit 100""))"),78.7542)</f>
        <v>78.7542</v>
      </c>
      <c r="F23" s="44">
        <f>IFERROR(__xludf.DUMMYFUNCTION("GOOGLEFINANCE(A23,""high52"")"),107.02)</f>
        <v>107.02</v>
      </c>
      <c r="G23" s="45">
        <f>IFERROR(__xludf.DUMMYFUNCTION("to_date(index(sort(GOOGLEFINANCE(A23, ""high"", today()-52*7, today(), ""DAILY""),2,0),2,1))"),45817.64583333333)</f>
        <v>45817.64583</v>
      </c>
      <c r="H23" s="44">
        <f>IFERROR(__xludf.DUMMYFUNCTION("GOOGLEFINANCE(A23,""low52"")"),64.0)</f>
        <v>64</v>
      </c>
      <c r="I23" s="45">
        <f>IFERROR(__xludf.DUMMYFUNCTION("to_date(index(sort(GOOGLEFINANCE(A23, ""low"", today()-52*7, today(), ""DAILY""),2,1),1,1))"),46114.64583333333)</f>
        <v>46114.64583</v>
      </c>
      <c r="J23" s="46" t="str">
        <f t="shared" si="1"/>
        <v>Do Not Buy Today</v>
      </c>
    </row>
    <row r="24">
      <c r="A24" s="39" t="s">
        <v>57</v>
      </c>
      <c r="B24" s="40">
        <f>IFERROR(__xludf.DUMMYFUNCTION("GOOGLEFINANCE(A24,""price"")"),17.16)</f>
        <v>17.16</v>
      </c>
      <c r="C24" s="41">
        <f>IFERROR(__xludf.DUMMYFUNCTION("GOOGLEFINANCE(A24,""closeyest"")"),17.08)</f>
        <v>17.08</v>
      </c>
      <c r="D24" s="42">
        <f>IFERROR(__xludf.DUMMYFUNCTION("MIN(index(GOOGLEFINANCE(A24,""ALL"",TODAY()-180,TODAY()),0,5))*1.2"),17.148)</f>
        <v>17.148</v>
      </c>
      <c r="E24" s="43">
        <f>IFERROR(__xludf.DUMMYFUNCTION("AVERAGE(QUERY(SORT(GOOGLEFINANCE(A24,""price"",TODAY()-320,TODAY()),1,0),""select Col2 limit 100""))"),16.079599999999992)</f>
        <v>16.0796</v>
      </c>
      <c r="F24" s="44">
        <f>IFERROR(__xludf.DUMMYFUNCTION("GOOGLEFINANCE(A24,""high52"")"),19.38)</f>
        <v>19.38</v>
      </c>
      <c r="G24" s="45">
        <f>IFERROR(__xludf.DUMMYFUNCTION("to_date(index(sort(GOOGLEFINANCE(A24, ""high"", today()-52*7, today(), ""DAILY""),2,0),2,1))"),46059.64583333333)</f>
        <v>46059.64583</v>
      </c>
      <c r="H24" s="44">
        <f>IFERROR(__xludf.DUMMYFUNCTION("GOOGLEFINANCE(A24,""low52"")"),14.22)</f>
        <v>14.22</v>
      </c>
      <c r="I24" s="45">
        <f>IFERROR(__xludf.DUMMYFUNCTION("to_date(index(sort(GOOGLEFINANCE(A24, ""low"", today()-52*7, today(), ""DAILY""),2,1),1,1))"),46111.64583333333)</f>
        <v>46111.64583</v>
      </c>
      <c r="J24" s="46" t="str">
        <f t="shared" si="1"/>
        <v>Do Not Buy Today</v>
      </c>
    </row>
    <row r="25">
      <c r="A25" s="56" t="s">
        <v>58</v>
      </c>
      <c r="B25" s="40">
        <f>IFERROR(__xludf.DUMMYFUNCTION("GOOGLEFINANCE(A25,""price"")"),115.16)</f>
        <v>115.16</v>
      </c>
      <c r="C25" s="41" t="str">
        <f>IFERROR(__xludf.DUMMYFUNCTION("GOOGLEFINANCE(A25,""closeyest"")"),"#N/A")</f>
        <v>#N/A</v>
      </c>
      <c r="D25" s="42">
        <f>IFERROR(__xludf.DUMMYFUNCTION("MIN(index(GOOGLEFINANCE(A25,""ALL"",TODAY()-180,TODAY()),0,5))*1.2"),126.768)</f>
        <v>126.768</v>
      </c>
      <c r="E25" s="43">
        <f>IFERROR(__xludf.DUMMYFUNCTION("AVERAGE(QUERY(SORT(GOOGLEFINANCE(A25,""price"",TODAY()-320,TODAY()),1,0),""select Col2 limit 100""))"),117.56490000000004)</f>
        <v>117.5649</v>
      </c>
      <c r="F25" s="44">
        <f>IFERROR(__xludf.DUMMYFUNCTION("GOOGLEFINANCE(A25,""high52"")"),128.04)</f>
        <v>128.04</v>
      </c>
      <c r="G25" s="45">
        <f>IFERROR(__xludf.DUMMYFUNCTION("to_date(index(sort(GOOGLEFINANCE(A25, ""high"", today()-52*7, today(), ""DAILY""),2,0),2,1))"),46079.64583333333)</f>
        <v>46079.64583</v>
      </c>
      <c r="H25" s="44">
        <f>IFERROR(__xludf.DUMMYFUNCTION("GOOGLEFINANCE(A25,""low52"")"),86.11)</f>
        <v>86.11</v>
      </c>
      <c r="I25" s="45">
        <f>IFERROR(__xludf.DUMMYFUNCTION("to_date(index(sort(GOOGLEFINANCE(A25, ""low"", today()-52*7, today(), ""DAILY""),2,1),1,1))"),45898.64583333333)</f>
        <v>45898.64583</v>
      </c>
      <c r="J25" s="46" t="str">
        <f t="shared" si="1"/>
        <v>#N/A</v>
      </c>
    </row>
    <row r="26">
      <c r="A26" s="56" t="s">
        <v>59</v>
      </c>
      <c r="B26" s="40">
        <f>IFERROR(__xludf.DUMMYFUNCTION("GOOGLEFINANCE(A26,""price"")"),137.96)</f>
        <v>137.96</v>
      </c>
      <c r="C26" s="41">
        <f>IFERROR(__xludf.DUMMYFUNCTION("GOOGLEFINANCE(A26,""closeyest"")"),138.63)</f>
        <v>138.63</v>
      </c>
      <c r="D26" s="42">
        <f>IFERROR(__xludf.DUMMYFUNCTION("MIN(index(GOOGLEFINANCE(A26,""ALL"",TODAY()-180,TODAY()),0,5))*1.2"),111.372)</f>
        <v>111.372</v>
      </c>
      <c r="E26" s="43">
        <f>IFERROR(__xludf.DUMMYFUNCTION("AVERAGE(QUERY(SORT(GOOGLEFINANCE(A26,""price"",TODAY()-320,TODAY()),1,0),""select Col2 limit 100""))"),108.2101)</f>
        <v>108.2101</v>
      </c>
      <c r="F26" s="44">
        <f>IFERROR(__xludf.DUMMYFUNCTION("GOOGLEFINANCE(A26,""high52"")"),137.96)</f>
        <v>137.96</v>
      </c>
      <c r="G26" s="45">
        <f>IFERROR(__xludf.DUMMYFUNCTION("to_date(index(sort(GOOGLEFINANCE(A26, ""high"", today()-52*7, today(), ""DAILY""),2,0),2,1))"),46168.64583333333)</f>
        <v>46168.64583</v>
      </c>
      <c r="H26" s="44">
        <f>IFERROR(__xludf.DUMMYFUNCTION("GOOGLEFINANCE(A26,""low52"")"),71.26)</f>
        <v>71.26</v>
      </c>
      <c r="I26" s="45">
        <f>IFERROR(__xludf.DUMMYFUNCTION("to_date(index(sort(GOOGLEFINANCE(A26, ""low"", today()-52*7, today(), ""DAILY""),2,1),1,1))"),45810.64583333333)</f>
        <v>45810.64583</v>
      </c>
      <c r="J26" s="46" t="str">
        <f t="shared" si="1"/>
        <v>Do Not Buy Today</v>
      </c>
    </row>
    <row r="27">
      <c r="A27" s="56" t="s">
        <v>60</v>
      </c>
      <c r="B27" s="40">
        <f>IFERROR(__xludf.DUMMYFUNCTION("GOOGLEFINANCE(A27,""price"")"),328.74)</f>
        <v>328.74</v>
      </c>
      <c r="C27" s="41">
        <f>IFERROR(__xludf.DUMMYFUNCTION("GOOGLEFINANCE(A27,""closeyest"")"),330.34)</f>
        <v>330.34</v>
      </c>
      <c r="D27" s="42">
        <f>IFERROR(__xludf.DUMMYFUNCTION("MIN(index(GOOGLEFINANCE(A27,""ALL"",TODAY()-180,TODAY()),0,5))*1.2"),261.228)</f>
        <v>261.228</v>
      </c>
      <c r="E27" s="43">
        <f>IFERROR(__xludf.DUMMYFUNCTION("AVERAGE(QUERY(SORT(GOOGLEFINANCE(A27,""price"",TODAY()-320,TODAY()),1,0),""select Col2 limit 100""))"),253.28760000000005)</f>
        <v>253.2876</v>
      </c>
      <c r="F27" s="44">
        <f>IFERROR(__xludf.DUMMYFUNCTION("GOOGLEFINANCE(A27,""high52"")"),332.13)</f>
        <v>332.13</v>
      </c>
      <c r="G27" s="45">
        <f>IFERROR(__xludf.DUMMYFUNCTION("to_date(index(sort(GOOGLEFINANCE(A27, ""high"", today()-52*7, today(), ""DAILY""),2,0),2,1))"),46164.64583333333)</f>
        <v>46164.64583</v>
      </c>
      <c r="H27" s="44">
        <f>IFERROR(__xludf.DUMMYFUNCTION("GOOGLEFINANCE(A27,""low52"")"),176.11)</f>
        <v>176.11</v>
      </c>
      <c r="I27" s="45">
        <f>IFERROR(__xludf.DUMMYFUNCTION("to_date(index(sort(GOOGLEFINANCE(A27, ""low"", today()-52*7, today(), ""DAILY""),2,1),1,1))"),45805.64583333333)</f>
        <v>45805.64583</v>
      </c>
      <c r="J27" s="46" t="str">
        <f t="shared" si="1"/>
        <v>Do Not Buy Today</v>
      </c>
    </row>
    <row r="28">
      <c r="A28" s="56" t="s">
        <v>61</v>
      </c>
      <c r="B28" s="40">
        <f>IFERROR(__xludf.DUMMYFUNCTION("GOOGLEFINANCE(A28,""price"")"),10.44)</f>
        <v>10.44</v>
      </c>
      <c r="C28" s="41">
        <f>IFERROR(__xludf.DUMMYFUNCTION("GOOGLEFINANCE(A28,""closeyest"")"),10.39)</f>
        <v>10.39</v>
      </c>
      <c r="D28" s="42">
        <f>IFERROR(__xludf.DUMMYFUNCTION("MIN(index(GOOGLEFINANCE(A28,""ALL"",TODAY()-180,TODAY()),0,5))*1.2"),11.46)</f>
        <v>11.46</v>
      </c>
      <c r="E28" s="43">
        <f>IFERROR(__xludf.DUMMYFUNCTION("AVERAGE(QUERY(SORT(GOOGLEFINANCE(A28,""price"",TODAY()-320,TODAY()),1,0),""select Col2 limit 100""))"),10.571800000000003)</f>
        <v>10.5718</v>
      </c>
      <c r="F28" s="44">
        <f>IFERROR(__xludf.DUMMYFUNCTION("GOOGLEFINANCE(A28,""high52"")"),11.57)</f>
        <v>11.57</v>
      </c>
      <c r="G28" s="45">
        <f>IFERROR(__xludf.DUMMYFUNCTION("to_date(index(sort(GOOGLEFINANCE(A28, ""high"", today()-52*7, today(), ""DAILY""),2,0),2,1))"),46027.64583333333)</f>
        <v>46027.64583</v>
      </c>
      <c r="H28" s="44">
        <f>IFERROR(__xludf.DUMMYFUNCTION("GOOGLEFINANCE(A28,""low52"")"),9.48)</f>
        <v>9.48</v>
      </c>
      <c r="I28" s="45">
        <f>IFERROR(__xludf.DUMMYFUNCTION("to_date(index(sort(GOOGLEFINANCE(A28, ""low"", today()-52*7, today(), ""DAILY""),2,1),1,1))"),46114.64583333333)</f>
        <v>46114.64583</v>
      </c>
      <c r="J28" s="46" t="str">
        <f t="shared" si="1"/>
        <v>Do Not Buy Today</v>
      </c>
    </row>
    <row r="29">
      <c r="A29" s="56" t="s">
        <v>62</v>
      </c>
      <c r="B29" s="40">
        <f>IFERROR(__xludf.DUMMYFUNCTION("GOOGLEFINANCE(A29,""price"")"),271.37)</f>
        <v>271.37</v>
      </c>
      <c r="C29" s="41">
        <f>IFERROR(__xludf.DUMMYFUNCTION("GOOGLEFINANCE(A29,""closeyest"")"),270.83)</f>
        <v>270.83</v>
      </c>
      <c r="D29" s="42">
        <f>IFERROR(__xludf.DUMMYFUNCTION("MIN(index(GOOGLEFINANCE(A29,""ALL"",TODAY()-180,TODAY()),0,5))*1.2"),304.128)</f>
        <v>304.128</v>
      </c>
      <c r="E29" s="43">
        <f>IFERROR(__xludf.DUMMYFUNCTION("AVERAGE(QUERY(SORT(GOOGLEFINANCE(A29,""price"",TODAY()-320,TODAY()),1,0),""select Col2 limit 100""))"),278.81920000000014)</f>
        <v>278.8192</v>
      </c>
      <c r="F29" s="44">
        <f>IFERROR(__xludf.DUMMYFUNCTION("GOOGLEFINANCE(A29,""high52"")"),302.25)</f>
        <v>302.25</v>
      </c>
      <c r="G29" s="45">
        <f>IFERROR(__xludf.DUMMYFUNCTION("to_date(index(sort(GOOGLEFINANCE(A29, ""high"", today()-52*7, today(), ""DAILY""),2,0),2,1))"),46000.64583333333)</f>
        <v>46000.64583</v>
      </c>
      <c r="H29" s="44">
        <f>IFERROR(__xludf.DUMMYFUNCTION("GOOGLEFINANCE(A29,""low52"")"),251.7)</f>
        <v>251.7</v>
      </c>
      <c r="I29" s="45">
        <f>IFERROR(__xludf.DUMMYFUNCTION("to_date(index(sort(GOOGLEFINANCE(A29, ""low"", today()-52*7, today(), ""DAILY""),2,1),1,1))"),46114.64583333333)</f>
        <v>46114.64583</v>
      </c>
      <c r="J29" s="46" t="str">
        <f t="shared" si="1"/>
        <v>Do Not Buy Today</v>
      </c>
    </row>
    <row r="30">
      <c r="A30" s="56" t="s">
        <v>63</v>
      </c>
      <c r="B30" s="40">
        <f>IFERROR(__xludf.DUMMYFUNCTION("GOOGLEFINANCE(A30,""price"")"),53.26)</f>
        <v>53.26</v>
      </c>
      <c r="C30" s="41">
        <f>IFERROR(__xludf.DUMMYFUNCTION("GOOGLEFINANCE(A30,""closeyest"")"),53.06)</f>
        <v>53.06</v>
      </c>
      <c r="D30" s="42">
        <f>IFERROR(__xludf.DUMMYFUNCTION("MIN(index(GOOGLEFINANCE(A30,""ALL"",TODAY()-180,TODAY()),0,5))*1.2"),54.624)</f>
        <v>54.624</v>
      </c>
      <c r="E30" s="43">
        <f>IFERROR(__xludf.DUMMYFUNCTION("AVERAGE(QUERY(SORT(GOOGLEFINANCE(A30,""price"",TODAY()-320,TODAY()),1,0),""select Col2 limit 100""))"),50.860899999999994)</f>
        <v>50.8609</v>
      </c>
      <c r="F30" s="44">
        <f>IFERROR(__xludf.DUMMYFUNCTION("GOOGLEFINANCE(A30,""high52"")"),56.9)</f>
        <v>56.9</v>
      </c>
      <c r="G30" s="45">
        <f>IFERROR(__xludf.DUMMYFUNCTION("to_date(index(sort(GOOGLEFINANCE(A30, ""high"", today()-52*7, today(), ""DAILY""),2,0),2,1))"),45839.64583333333)</f>
        <v>45839.64583</v>
      </c>
      <c r="H30" s="44">
        <f>IFERROR(__xludf.DUMMYFUNCTION("GOOGLEFINANCE(A30,""low52"")"),44.96)</f>
        <v>44.96</v>
      </c>
      <c r="I30" s="45">
        <f>IFERROR(__xludf.DUMMYFUNCTION("to_date(index(sort(GOOGLEFINANCE(A30, ""low"", today()-52*7, today(), ""DAILY""),2,1),1,1))"),46105.64583333333)</f>
        <v>46105.64583</v>
      </c>
      <c r="J30" s="46" t="str">
        <f t="shared" si="1"/>
        <v>Do Not Buy Today</v>
      </c>
    </row>
    <row r="31">
      <c r="A31" s="56" t="s">
        <v>64</v>
      </c>
      <c r="B31" s="40">
        <f>IFERROR(__xludf.DUMMYFUNCTION("GOOGLEFINANCE(A31,""price"")"),51.11)</f>
        <v>51.11</v>
      </c>
      <c r="C31" s="41">
        <f>IFERROR(__xludf.DUMMYFUNCTION("GOOGLEFINANCE(A31,""closeyest"")"),50.85)</f>
        <v>50.85</v>
      </c>
      <c r="D31" s="42">
        <f>IFERROR(__xludf.DUMMYFUNCTION("MIN(index(GOOGLEFINANCE(A31,""ALL"",TODAY()-180,TODAY()),0,5))*1.2"),51.144)</f>
        <v>51.144</v>
      </c>
      <c r="E31" s="43">
        <f>IFERROR(__xludf.DUMMYFUNCTION("AVERAGE(QUERY(SORT(GOOGLEFINANCE(A31,""price"",TODAY()-320,TODAY()),1,0),""select Col2 limit 100""))"),47.703599999999994)</f>
        <v>47.7036</v>
      </c>
      <c r="F31" s="44">
        <f>IFERROR(__xludf.DUMMYFUNCTION("GOOGLEFINANCE(A31,""high52"")"),53.6)</f>
        <v>53.6</v>
      </c>
      <c r="G31" s="45">
        <f>IFERROR(__xludf.DUMMYFUNCTION("to_date(index(sort(GOOGLEFINANCE(A31, ""high"", today()-52*7, today(), ""DAILY""),2,0),2,1))"),46085.64583333333)</f>
        <v>46085.64583</v>
      </c>
      <c r="H31" s="44">
        <f>IFERROR(__xludf.DUMMYFUNCTION("GOOGLEFINANCE(A31,""low52"")"),42.0)</f>
        <v>42</v>
      </c>
      <c r="I31" s="45">
        <f>IFERROR(__xludf.DUMMYFUNCTION("to_date(index(sort(GOOGLEFINANCE(A31, ""low"", today()-52*7, today(), ""DAILY""),2,1),1,1))"),46111.64583333333)</f>
        <v>46111.64583</v>
      </c>
      <c r="J31" s="46" t="str">
        <f t="shared" si="1"/>
        <v>Do Not Buy Today</v>
      </c>
    </row>
    <row r="32">
      <c r="A32" s="56" t="s">
        <v>65</v>
      </c>
      <c r="B32" s="40">
        <f>IFERROR(__xludf.DUMMYFUNCTION("GOOGLEFINANCE(A32,""price"")"),26.9)</f>
        <v>26.9</v>
      </c>
      <c r="C32" s="41">
        <f>IFERROR(__xludf.DUMMYFUNCTION("GOOGLEFINANCE(A32,""closeyest"")"),26.84)</f>
        <v>26.84</v>
      </c>
      <c r="D32" s="42">
        <f>IFERROR(__xludf.DUMMYFUNCTION("MIN(index(GOOGLEFINANCE(A32,""ALL"",TODAY()-180,TODAY()),0,5))*1.2"),29.639999999999997)</f>
        <v>29.64</v>
      </c>
      <c r="E32" s="43">
        <f>IFERROR(__xludf.DUMMYFUNCTION("AVERAGE(QUERY(SORT(GOOGLEFINANCE(A32,""price"",TODAY()-320,TODAY()),1,0),""select Col2 limit 100""))"),27.007299999999997)</f>
        <v>27.0073</v>
      </c>
      <c r="F32" s="44">
        <f>IFERROR(__xludf.DUMMYFUNCTION("GOOGLEFINANCE(A32,""high52"")"),28.72)</f>
        <v>28.72</v>
      </c>
      <c r="G32" s="45">
        <f>IFERROR(__xludf.DUMMYFUNCTION("to_date(index(sort(GOOGLEFINANCE(A32, ""high"", today()-52*7, today(), ""DAILY""),2,0),2,1))"),45960.64583333333)</f>
        <v>45960.64583</v>
      </c>
      <c r="H32" s="44">
        <f>IFERROR(__xludf.DUMMYFUNCTION("GOOGLEFINANCE(A32,""low52"")"),24.35)</f>
        <v>24.35</v>
      </c>
      <c r="I32" s="45">
        <f>IFERROR(__xludf.DUMMYFUNCTION("to_date(index(sort(GOOGLEFINANCE(A32, ""low"", today()-52*7, today(), ""DAILY""),2,1),1,1))"),46114.64583333333)</f>
        <v>46114.64583</v>
      </c>
      <c r="J32" s="46" t="str">
        <f t="shared" si="1"/>
        <v>Do Not Buy Today</v>
      </c>
    </row>
    <row r="33">
      <c r="A33" s="56" t="s">
        <v>66</v>
      </c>
      <c r="B33" s="40">
        <f>IFERROR(__xludf.DUMMYFUNCTION("GOOGLEFINANCE(A33,""price"")"),27.4)</f>
        <v>27.4</v>
      </c>
      <c r="C33" s="41">
        <f>IFERROR(__xludf.DUMMYFUNCTION("GOOGLEFINANCE(A33,""closeyest"")"),27.26)</f>
        <v>27.26</v>
      </c>
      <c r="D33" s="42">
        <f>IFERROR(__xludf.DUMMYFUNCTION("MIN(index(GOOGLEFINANCE(A33,""ALL"",TODAY()-180,TODAY()),0,5))*1.2"),29.4)</f>
        <v>29.4</v>
      </c>
      <c r="E33" s="43">
        <f>IFERROR(__xludf.DUMMYFUNCTION("AVERAGE(QUERY(SORT(GOOGLEFINANCE(A33,""price"",TODAY()-320,TODAY()),1,0),""select Col2 limit 100""))"),27.4896)</f>
        <v>27.4896</v>
      </c>
      <c r="F33" s="44">
        <f>IFERROR(__xludf.DUMMYFUNCTION("GOOGLEFINANCE(A33,""high52"")"),30.5)</f>
        <v>30.5</v>
      </c>
      <c r="G33" s="45">
        <f>IFERROR(__xludf.DUMMYFUNCTION("to_date(index(sort(GOOGLEFINANCE(A33, ""high"", today()-52*7, today(), ""DAILY""),2,0),2,1))"),46029.64583333333)</f>
        <v>46029.64583</v>
      </c>
      <c r="H33" s="44">
        <f>IFERROR(__xludf.DUMMYFUNCTION("GOOGLEFINANCE(A33,""low52"")"),23.3)</f>
        <v>23.3</v>
      </c>
      <c r="I33" s="45">
        <f>IFERROR(__xludf.DUMMYFUNCTION("to_date(index(sort(GOOGLEFINANCE(A33, ""low"", today()-52*7, today(), ""DAILY""),2,1),1,1))"),45821.64583333333)</f>
        <v>45821.64583</v>
      </c>
      <c r="J33" s="46" t="str">
        <f t="shared" si="1"/>
        <v>Do Not Buy Today</v>
      </c>
    </row>
    <row r="34">
      <c r="A34" s="56" t="s">
        <v>67</v>
      </c>
      <c r="B34" s="40">
        <f>IFERROR(__xludf.DUMMYFUNCTION("GOOGLEFINANCE(A34,""price"")"),569.23)</f>
        <v>569.23</v>
      </c>
      <c r="C34" s="41">
        <f>IFERROR(__xludf.DUMMYFUNCTION("GOOGLEFINANCE(A34,""closeyest"")"),569.05)</f>
        <v>569.05</v>
      </c>
      <c r="D34" s="42">
        <f>IFERROR(__xludf.DUMMYFUNCTION("MIN(index(GOOGLEFINANCE(A34,""ALL"",TODAY()-180,TODAY()),0,5))*1.2"),625.0799999999999)</f>
        <v>625.08</v>
      </c>
      <c r="E34" s="43">
        <f>IFERROR(__xludf.DUMMYFUNCTION("AVERAGE(QUERY(SORT(GOOGLEFINANCE(A34,""price"",TODAY()-320,TODAY()),1,0),""select Col2 limit 100""))"),589.8045000000002)</f>
        <v>589.8045</v>
      </c>
      <c r="F34" s="44">
        <f>IFERROR(__xludf.DUMMYFUNCTION("GOOGLEFINANCE(A34,""high52"")"),638.99)</f>
        <v>638.99</v>
      </c>
      <c r="G34" s="45">
        <f>IFERROR(__xludf.DUMMYFUNCTION("to_date(index(sort(GOOGLEFINANCE(A34, ""high"", today()-52*7, today(), ""DAILY""),2,0),2,1))"),46072.64583333333)</f>
        <v>46072.64583</v>
      </c>
      <c r="H34" s="44">
        <f>IFERROR(__xludf.DUMMYFUNCTION("GOOGLEFINANCE(A34,""low52"")"),515.98)</f>
        <v>515.98</v>
      </c>
      <c r="I34" s="45">
        <f>IFERROR(__xludf.DUMMYFUNCTION("to_date(index(sort(GOOGLEFINANCE(A34, ""low"", today()-52*7, today(), ""DAILY""),2,1),1,1))"),46114.64583333333)</f>
        <v>46114.64583</v>
      </c>
      <c r="J34" s="46" t="str">
        <f t="shared" si="1"/>
        <v>Do Not Buy Today</v>
      </c>
    </row>
    <row r="35">
      <c r="A35" s="56" t="s">
        <v>68</v>
      </c>
      <c r="B35" s="40">
        <f>IFERROR(__xludf.DUMMYFUNCTION("GOOGLEFINANCE(A35,""price"")"),78.53)</f>
        <v>78.53</v>
      </c>
      <c r="C35" s="41">
        <f>IFERROR(__xludf.DUMMYFUNCTION("GOOGLEFINANCE(A35,""closeyest"")"),78.28)</f>
        <v>78.28</v>
      </c>
      <c r="D35" s="42">
        <f>IFERROR(__xludf.DUMMYFUNCTION("MIN(index(GOOGLEFINANCE(A35,""ALL"",TODAY()-180,TODAY()),0,5))*1.2"),89.232)</f>
        <v>89.232</v>
      </c>
      <c r="E35" s="43">
        <f>IFERROR(__xludf.DUMMYFUNCTION("AVERAGE(QUERY(SORT(GOOGLEFINANCE(A35,""price"",TODAY()-320,TODAY()),1,0),""select Col2 limit 100""))"),80.74239999999999)</f>
        <v>80.7424</v>
      </c>
      <c r="F35" s="44">
        <f>IFERROR(__xludf.DUMMYFUNCTION("GOOGLEFINANCE(A35,""high52"")"),87.09)</f>
        <v>87.09</v>
      </c>
      <c r="G35" s="45">
        <f>IFERROR(__xludf.DUMMYFUNCTION("to_date(index(sort(GOOGLEFINANCE(A35, ""high"", today()-52*7, today(), ""DAILY""),2,0),2,1))"),46064.64583333333)</f>
        <v>46064.64583</v>
      </c>
      <c r="H35" s="44">
        <f>IFERROR(__xludf.DUMMYFUNCTION("GOOGLEFINANCE(A35,""low52"")"),72.13)</f>
        <v>72.13</v>
      </c>
      <c r="I35" s="45">
        <f>IFERROR(__xludf.DUMMYFUNCTION("to_date(index(sort(GOOGLEFINANCE(A35, ""low"", today()-52*7, today(), ""DAILY""),2,1),1,1))"),46113.64583333333)</f>
        <v>46113.64583</v>
      </c>
      <c r="J35" s="46" t="str">
        <f t="shared" si="1"/>
        <v>Do Not Buy Today</v>
      </c>
    </row>
    <row r="36">
      <c r="A36" s="56" t="s">
        <v>69</v>
      </c>
      <c r="B36" s="40">
        <f>IFERROR(__xludf.DUMMYFUNCTION("GOOGLEFINANCE(A36,""price"")"),30.99)</f>
        <v>30.99</v>
      </c>
      <c r="C36" s="41">
        <f>IFERROR(__xludf.DUMMYFUNCTION("GOOGLEFINANCE(A36,""closeyest"")"),30.77)</f>
        <v>30.77</v>
      </c>
      <c r="D36" s="42">
        <f>IFERROR(__xludf.DUMMYFUNCTION("MIN(index(GOOGLEFINANCE(A36,""ALL"",TODAY()-180,TODAY()),0,5))*1.2"),31.679999999999996)</f>
        <v>31.68</v>
      </c>
      <c r="E36" s="43">
        <f>IFERROR(__xludf.DUMMYFUNCTION("AVERAGE(QUERY(SORT(GOOGLEFINANCE(A36,""price"",TODAY()-320,TODAY()),1,0),""select Col2 limit 100""))"),29.8825)</f>
        <v>29.8825</v>
      </c>
      <c r="F36" s="44">
        <f>IFERROR(__xludf.DUMMYFUNCTION("GOOGLEFINANCE(A36,""high52"")"),32.56)</f>
        <v>32.56</v>
      </c>
      <c r="G36" s="45">
        <f>IFERROR(__xludf.DUMMYFUNCTION("to_date(index(sort(GOOGLEFINANCE(A36, ""high"", today()-52*7, today(), ""DAILY""),2,0),2,1))"),46031.64583333333)</f>
        <v>46031.64583</v>
      </c>
      <c r="H36" s="44">
        <f>IFERROR(__xludf.DUMMYFUNCTION("GOOGLEFINANCE(A36,""low52"")"),26.2)</f>
        <v>26.2</v>
      </c>
      <c r="I36" s="45">
        <f>IFERROR(__xludf.DUMMYFUNCTION("to_date(index(sort(GOOGLEFINANCE(A36, ""low"", today()-52*7, today(), ""DAILY""),2,1),1,1))"),46111.64583333333)</f>
        <v>46111.64583</v>
      </c>
      <c r="J36" s="46" t="str">
        <f t="shared" si="1"/>
        <v>Do Not Buy Today</v>
      </c>
    </row>
    <row r="37">
      <c r="A37" s="56" t="s">
        <v>70</v>
      </c>
      <c r="B37" s="40">
        <f>IFERROR(__xludf.DUMMYFUNCTION("GOOGLEFINANCE(A37,""price"")"),26.8)</f>
        <v>26.8</v>
      </c>
      <c r="C37" s="41">
        <f>IFERROR(__xludf.DUMMYFUNCTION("GOOGLEFINANCE(A37,""closeyest"")"),26.85)</f>
        <v>26.85</v>
      </c>
      <c r="D37" s="42">
        <f>IFERROR(__xludf.DUMMYFUNCTION("MIN(index(GOOGLEFINANCE(A37,""ALL"",TODAY()-180,TODAY()),0,5))*1.2"),29.183999999999997)</f>
        <v>29.184</v>
      </c>
      <c r="E37" s="43">
        <f>IFERROR(__xludf.DUMMYFUNCTION("AVERAGE(QUERY(SORT(GOOGLEFINANCE(A37,""price"",TODAY()-320,TODAY()),1,0),""select Col2 limit 100""))"),27.479)</f>
        <v>27.479</v>
      </c>
      <c r="F37" s="44">
        <f>IFERROR(__xludf.DUMMYFUNCTION("GOOGLEFINANCE(A37,""high52"")"),29.94)</f>
        <v>29.94</v>
      </c>
      <c r="G37" s="45">
        <f>IFERROR(__xludf.DUMMYFUNCTION("to_date(index(sort(GOOGLEFINANCE(A37, ""high"", today()-52*7, today(), ""DAILY""),2,0),2,1))"),46069.64583333333)</f>
        <v>46069.64583</v>
      </c>
      <c r="H37" s="44">
        <f>IFERROR(__xludf.DUMMYFUNCTION("GOOGLEFINANCE(A37,""low52"")"),24.03)</f>
        <v>24.03</v>
      </c>
      <c r="I37" s="45">
        <f>IFERROR(__xludf.DUMMYFUNCTION("to_date(index(sort(GOOGLEFINANCE(A37, ""low"", today()-52*7, today(), ""DAILY""),2,1),1,1))"),46114.64583333333)</f>
        <v>46114.64583</v>
      </c>
      <c r="J37" s="46" t="str">
        <f t="shared" si="1"/>
        <v>Do Not Buy Today</v>
      </c>
    </row>
    <row r="38">
      <c r="A38" s="56" t="s">
        <v>71</v>
      </c>
      <c r="B38" s="40">
        <f>IFERROR(__xludf.DUMMYFUNCTION("GOOGLEFINANCE(A38,""price"")"),53.77)</f>
        <v>53.77</v>
      </c>
      <c r="C38" s="41">
        <f>IFERROR(__xludf.DUMMYFUNCTION("GOOGLEFINANCE(A38,""closeyest"")"),53.7)</f>
        <v>53.7</v>
      </c>
      <c r="D38" s="42">
        <f>IFERROR(__xludf.DUMMYFUNCTION("MIN(index(GOOGLEFINANCE(A38,""ALL"",TODAY()-180,TODAY()),0,5))*1.2"),58.403999999999996)</f>
        <v>58.404</v>
      </c>
      <c r="E38" s="43">
        <f>IFERROR(__xludf.DUMMYFUNCTION("AVERAGE(QUERY(SORT(GOOGLEFINANCE(A38,""price"",TODAY()-320,TODAY()),1,0),""select Col2 limit 100""))"),54.2299)</f>
        <v>54.2299</v>
      </c>
      <c r="F38" s="44">
        <f>IFERROR(__xludf.DUMMYFUNCTION("GOOGLEFINANCE(A38,""high52"")"),62.3)</f>
        <v>62.3</v>
      </c>
      <c r="G38" s="45">
        <f>IFERROR(__xludf.DUMMYFUNCTION("to_date(index(sort(GOOGLEFINANCE(A38, ""high"", today()-52*7, today(), ""DAILY""),2,0),2,1))"),45904.64583333333)</f>
        <v>45904.64583</v>
      </c>
      <c r="H38" s="44">
        <f>IFERROR(__xludf.DUMMYFUNCTION("GOOGLEFINANCE(A38,""low52"")"),48.55)</f>
        <v>48.55</v>
      </c>
      <c r="I38" s="45">
        <f>IFERROR(__xludf.DUMMYFUNCTION("to_date(index(sort(GOOGLEFINANCE(A38, ""low"", today()-52*7, today(), ""DAILY""),2,1),1,1))"),46111.64583333333)</f>
        <v>46111.64583</v>
      </c>
      <c r="J38" s="46" t="str">
        <f t="shared" si="1"/>
        <v>Do Not Buy Today</v>
      </c>
    </row>
    <row r="39">
      <c r="A39" s="56" t="s">
        <v>72</v>
      </c>
      <c r="B39" s="40">
        <f>IFERROR(__xludf.DUMMYFUNCTION("GOOGLEFINANCE(A39,""price"")"),16.05)</f>
        <v>16.05</v>
      </c>
      <c r="C39" s="41">
        <f>IFERROR(__xludf.DUMMYFUNCTION("GOOGLEFINANCE(A39,""closeyest"")"),16.1)</f>
        <v>16.1</v>
      </c>
      <c r="D39" s="42">
        <f>IFERROR(__xludf.DUMMYFUNCTION("MIN(index(GOOGLEFINANCE(A39,""ALL"",TODAY()-180,TODAY()),0,5))*1.2"),17.016)</f>
        <v>17.016</v>
      </c>
      <c r="E39" s="43">
        <f>IFERROR(__xludf.DUMMYFUNCTION("AVERAGE(QUERY(SORT(GOOGLEFINANCE(A39,""price"",TODAY()-320,TODAY()),1,0),""select Col2 limit 100""))"),15.054199999999998)</f>
        <v>15.0542</v>
      </c>
      <c r="F39" s="44">
        <f>IFERROR(__xludf.DUMMYFUNCTION("GOOGLEFINANCE(A39,""high52"")"),16.98)</f>
        <v>16.98</v>
      </c>
      <c r="G39" s="45">
        <f>IFERROR(__xludf.DUMMYFUNCTION("to_date(index(sort(GOOGLEFINANCE(A39, ""high"", today()-52*7, today(), ""DAILY""),2,0),2,1))"),46056.64583333333)</f>
        <v>46056.64583</v>
      </c>
      <c r="H39" s="44">
        <f>IFERROR(__xludf.DUMMYFUNCTION("GOOGLEFINANCE(A39,""low52"")"),13.58)</f>
        <v>13.58</v>
      </c>
      <c r="I39" s="45">
        <f>IFERROR(__xludf.DUMMYFUNCTION("to_date(index(sort(GOOGLEFINANCE(A39, ""low"", today()-52*7, today(), ""DAILY""),2,1),1,1))"),46066.64583333333)</f>
        <v>46066.64583</v>
      </c>
      <c r="J39" s="46" t="str">
        <f t="shared" si="1"/>
        <v>Do Not Buy Today</v>
      </c>
    </row>
    <row r="40">
      <c r="A40" s="56" t="s">
        <v>73</v>
      </c>
      <c r="B40" s="40">
        <f>IFERROR(__xludf.DUMMYFUNCTION("GOOGLEFINANCE(A40,""price"")"),48.07)</f>
        <v>48.07</v>
      </c>
      <c r="C40" s="41">
        <f>IFERROR(__xludf.DUMMYFUNCTION("GOOGLEFINANCE(A40,""closeyest"")"),47.94)</f>
        <v>47.94</v>
      </c>
      <c r="D40" s="42">
        <f>IFERROR(__xludf.DUMMYFUNCTION("MIN(index(GOOGLEFINANCE(A40,""ALL"",TODAY()-180,TODAY()),0,5))*1.2"),49.775999999999996)</f>
        <v>49.776</v>
      </c>
      <c r="E40" s="43">
        <f>IFERROR(__xludf.DUMMYFUNCTION("AVERAGE(QUERY(SORT(GOOGLEFINANCE(A40,""price"",TODAY()-320,TODAY()),1,0),""select Col2 limit 100""))"),44.14830000000002)</f>
        <v>44.1483</v>
      </c>
      <c r="F40" s="44">
        <f>IFERROR(__xludf.DUMMYFUNCTION("GOOGLEFINANCE(A40,""high52"")"),49.13)</f>
        <v>49.13</v>
      </c>
      <c r="G40" s="45">
        <f>IFERROR(__xludf.DUMMYFUNCTION("to_date(index(sort(GOOGLEFINANCE(A40, ""high"", today()-52*7, today(), ""DAILY""),2,0),2,1))"),46167.64583333333)</f>
        <v>46167.64583</v>
      </c>
      <c r="H40" s="44">
        <f>IFERROR(__xludf.DUMMYFUNCTION("GOOGLEFINANCE(A40,""low52"")"),40.79)</f>
        <v>40.79</v>
      </c>
      <c r="I40" s="45">
        <f>IFERROR(__xludf.DUMMYFUNCTION("to_date(index(sort(GOOGLEFINANCE(A40, ""low"", today()-52*7, today(), ""DAILY""),2,1),1,1))"),46114.64583333333)</f>
        <v>46114.64583</v>
      </c>
      <c r="J40" s="46" t="str">
        <f t="shared" si="1"/>
        <v>Do Not Buy Today</v>
      </c>
    </row>
    <row r="41">
      <c r="A41" s="56" t="s">
        <v>74</v>
      </c>
      <c r="B41" s="40">
        <f>IFERROR(__xludf.DUMMYFUNCTION("GOOGLEFINANCE(A41,""price"")"),126.99)</f>
        <v>126.99</v>
      </c>
      <c r="C41" s="41">
        <f>IFERROR(__xludf.DUMMYFUNCTION("GOOGLEFINANCE(A41,""closeyest"")"),126.35)</f>
        <v>126.35</v>
      </c>
      <c r="D41" s="42">
        <f>IFERROR(__xludf.DUMMYFUNCTION("MIN(index(GOOGLEFINANCE(A41,""ALL"",TODAY()-180,TODAY()),0,5))*1.2"),137.64)</f>
        <v>137.64</v>
      </c>
      <c r="E41" s="43">
        <f>IFERROR(__xludf.DUMMYFUNCTION("AVERAGE(QUERY(SORT(GOOGLEFINANCE(A41,""price"",TODAY()-320,TODAY()),1,0),""select Col2 limit 100""))"),127.21940000000001)</f>
        <v>127.2194</v>
      </c>
      <c r="F41" s="44">
        <f>IFERROR(__xludf.DUMMYFUNCTION("GOOGLEFINANCE(A41,""high52"")"),144.38)</f>
        <v>144.38</v>
      </c>
      <c r="G41" s="45">
        <f>IFERROR(__xludf.DUMMYFUNCTION("to_date(index(sort(GOOGLEFINANCE(A41, ""high"", today()-52*7, today(), ""DAILY""),2,0),2,1))"),45951.64583333333)</f>
        <v>45951.64583</v>
      </c>
      <c r="H41" s="44">
        <f>IFERROR(__xludf.DUMMYFUNCTION("GOOGLEFINANCE(A41,""low52"")"),114.0)</f>
        <v>114</v>
      </c>
      <c r="I41" s="45">
        <f>IFERROR(__xludf.DUMMYFUNCTION("to_date(index(sort(GOOGLEFINANCE(A41, ""low"", today()-52*7, today(), ""DAILY""),2,1),1,1))"),46111.64583333333)</f>
        <v>46111.64583</v>
      </c>
      <c r="J41" s="46" t="str">
        <f t="shared" si="1"/>
        <v>Do Not Buy Today</v>
      </c>
    </row>
    <row r="42">
      <c r="A42" s="56" t="s">
        <v>75</v>
      </c>
      <c r="B42" s="40">
        <f>IFERROR(__xludf.DUMMYFUNCTION("GOOGLEFINANCE(A42,""price"")"),101.91)</f>
        <v>101.91</v>
      </c>
      <c r="C42" s="41">
        <f>IFERROR(__xludf.DUMMYFUNCTION("GOOGLEFINANCE(A42,""closeyest"")"),101.44)</f>
        <v>101.44</v>
      </c>
      <c r="D42" s="42">
        <f>IFERROR(__xludf.DUMMYFUNCTION("MIN(index(GOOGLEFINANCE(A42,""ALL"",TODAY()-180,TODAY()),0,5))*1.2"),94.28399999999999)</f>
        <v>94.284</v>
      </c>
      <c r="E42" s="43">
        <f>IFERROR(__xludf.DUMMYFUNCTION("AVERAGE(QUERY(SORT(GOOGLEFINANCE(A42,""price"",TODAY()-320,TODAY()),1,0),""select Col2 limit 100""))"),90.4039)</f>
        <v>90.4039</v>
      </c>
      <c r="F42" s="44">
        <f>IFERROR(__xludf.DUMMYFUNCTION("GOOGLEFINANCE(A42,""high52"")"),104.44)</f>
        <v>104.44</v>
      </c>
      <c r="G42" s="45">
        <f>IFERROR(__xludf.DUMMYFUNCTION("to_date(index(sort(GOOGLEFINANCE(A42, ""high"", today()-52*7, today(), ""DAILY""),2,0),2,1))"),46150.64583333333)</f>
        <v>46150.64583</v>
      </c>
      <c r="H42" s="44">
        <f>IFERROR(__xludf.DUMMYFUNCTION("GOOGLEFINANCE(A42,""low52"")"),77.8)</f>
        <v>77.8</v>
      </c>
      <c r="I42" s="45">
        <f>IFERROR(__xludf.DUMMYFUNCTION("to_date(index(sort(GOOGLEFINANCE(A42, ""low"", today()-52*7, today(), ""DAILY""),2,1),1,1))"),46111.64583333333)</f>
        <v>46111.64583</v>
      </c>
      <c r="J42" s="46" t="str">
        <f t="shared" si="1"/>
        <v>Do Not Buy Today</v>
      </c>
    </row>
    <row r="43">
      <c r="A43" s="56" t="s">
        <v>76</v>
      </c>
      <c r="B43" s="40">
        <f>IFERROR(__xludf.DUMMYFUNCTION("GOOGLEFINANCE(A43,""price"")"),82.15)</f>
        <v>82.15</v>
      </c>
      <c r="C43" s="41">
        <f>IFERROR(__xludf.DUMMYFUNCTION("GOOGLEFINANCE(A43,""closeyest"")"),81.83)</f>
        <v>81.83</v>
      </c>
      <c r="D43" s="42">
        <f>IFERROR(__xludf.DUMMYFUNCTION("MIN(index(GOOGLEFINANCE(A43,""ALL"",TODAY()-180,TODAY()),0,5))*1.2"),89.94)</f>
        <v>89.94</v>
      </c>
      <c r="E43" s="43">
        <f>IFERROR(__xludf.DUMMYFUNCTION("AVERAGE(QUERY(SORT(GOOGLEFINANCE(A43,""price"",TODAY()-320,TODAY()),1,0),""select Col2 limit 100""))"),85.90889999999999)</f>
        <v>85.9089</v>
      </c>
      <c r="F43" s="44">
        <f>IFERROR(__xludf.DUMMYFUNCTION("GOOGLEFINANCE(A43,""high52"")"),103.26)</f>
        <v>103.26</v>
      </c>
      <c r="G43" s="45">
        <f>IFERROR(__xludf.DUMMYFUNCTION("to_date(index(sort(GOOGLEFINANCE(A43, ""high"", today()-52*7, today(), ""DAILY""),2,0),2,1))"),46014.64583333333)</f>
        <v>46014.64583</v>
      </c>
      <c r="H43" s="44">
        <f>IFERROR(__xludf.DUMMYFUNCTION("GOOGLEFINANCE(A43,""low52"")"),74.5)</f>
        <v>74.5</v>
      </c>
      <c r="I43" s="45">
        <f>IFERROR(__xludf.DUMMYFUNCTION("to_date(index(sort(GOOGLEFINANCE(A43, ""low"", today()-52*7, today(), ""DAILY""),2,1),1,1))"),46111.64583333333)</f>
        <v>46111.64583</v>
      </c>
      <c r="J43" s="46" t="str">
        <f t="shared" si="1"/>
        <v>Do Not Buy Today</v>
      </c>
    </row>
    <row r="44">
      <c r="A44" s="56" t="s">
        <v>77</v>
      </c>
      <c r="B44" s="40">
        <f>IFERROR(__xludf.DUMMYFUNCTION("GOOGLEFINANCE(A44,""price"")"),163.24)</f>
        <v>163.24</v>
      </c>
      <c r="C44" s="41">
        <f>IFERROR(__xludf.DUMMYFUNCTION("GOOGLEFINANCE(A44,""closeyest"")"),161.53)</f>
        <v>161.53</v>
      </c>
      <c r="D44" s="42">
        <f>IFERROR(__xludf.DUMMYFUNCTION("MIN(index(GOOGLEFINANCE(A44,""ALL"",TODAY()-180,TODAY()),0,5))*1.2"),170.88)</f>
        <v>170.88</v>
      </c>
      <c r="E44" s="43">
        <f>IFERROR(__xludf.DUMMYFUNCTION("AVERAGE(QUERY(SORT(GOOGLEFINANCE(A44,""price"",TODAY()-320,TODAY()),1,0),""select Col2 limit 100""))"),155.36390000000006)</f>
        <v>155.3639</v>
      </c>
      <c r="F44" s="44">
        <f>IFERROR(__xludf.DUMMYFUNCTION("GOOGLEFINANCE(A44,""high52"")"),167.77)</f>
        <v>167.77</v>
      </c>
      <c r="G44" s="45">
        <f>IFERROR(__xludf.DUMMYFUNCTION("to_date(index(sort(GOOGLEFINANCE(A44, ""high"", today()-52*7, today(), ""DAILY""),2,0),2,1))"),46150.64583333333)</f>
        <v>46150.64583</v>
      </c>
      <c r="H44" s="44">
        <f>IFERROR(__xludf.DUMMYFUNCTION("GOOGLEFINANCE(A44,""low52"")"),120.0)</f>
        <v>120</v>
      </c>
      <c r="I44" s="45">
        <f>IFERROR(__xludf.DUMMYFUNCTION("to_date(index(sort(GOOGLEFINANCE(A44, ""low"", today()-52*7, today(), ""DAILY""),2,1),1,1))"),45845.64583333333)</f>
        <v>45845.64583</v>
      </c>
      <c r="J44" s="46" t="str">
        <f t="shared" si="1"/>
        <v>Do Not Buy Today</v>
      </c>
    </row>
    <row r="45">
      <c r="A45" s="56" t="s">
        <v>78</v>
      </c>
      <c r="B45" s="40">
        <f>IFERROR(__xludf.DUMMYFUNCTION("GOOGLEFINANCE(A45,""price"")"),32.18)</f>
        <v>32.18</v>
      </c>
      <c r="C45" s="41">
        <f>IFERROR(__xludf.DUMMYFUNCTION("GOOGLEFINANCE(A45,""closeyest"")"),32.09)</f>
        <v>32.09</v>
      </c>
      <c r="D45" s="42">
        <f>IFERROR(__xludf.DUMMYFUNCTION("MIN(index(GOOGLEFINANCE(A45,""ALL"",TODAY()-180,TODAY()),0,5))*1.2"),36.36)</f>
        <v>36.36</v>
      </c>
      <c r="E45" s="43">
        <f>IFERROR(__xludf.DUMMYFUNCTION("AVERAGE(QUERY(SORT(GOOGLEFINANCE(A45,""price"",TODAY()-320,TODAY()),1,0),""select Col2 limit 100""))"),36.06490000000001)</f>
        <v>36.0649</v>
      </c>
      <c r="F45" s="44">
        <f>IFERROR(__xludf.DUMMYFUNCTION("GOOGLEFINANCE(A45,""high52"")"),44.27)</f>
        <v>44.27</v>
      </c>
      <c r="G45" s="45">
        <f>IFERROR(__xludf.DUMMYFUNCTION("to_date(index(sort(GOOGLEFINANCE(A45, ""high"", today()-52*7, today(), ""DAILY""),2,0),2,1))"),46056.64583333333)</f>
        <v>46056.64583</v>
      </c>
      <c r="H45" s="44">
        <f>IFERROR(__xludf.DUMMYFUNCTION("GOOGLEFINANCE(A45,""low52"")"),29.98)</f>
        <v>29.98</v>
      </c>
      <c r="I45" s="45">
        <f>IFERROR(__xludf.DUMMYFUNCTION("to_date(index(sort(GOOGLEFINANCE(A45, ""low"", today()-52*7, today(), ""DAILY""),2,1),1,1))"),46156.64583333333)</f>
        <v>46156.64583</v>
      </c>
      <c r="J45" s="46" t="str">
        <f t="shared" si="1"/>
        <v>Do Not Buy Today</v>
      </c>
    </row>
    <row r="46">
      <c r="A46" s="56" t="s">
        <v>79</v>
      </c>
      <c r="B46" s="40">
        <f>IFERROR(__xludf.DUMMYFUNCTION("GOOGLEFINANCE(A46,""price"")"),13.87)</f>
        <v>13.87</v>
      </c>
      <c r="C46" s="41">
        <f>IFERROR(__xludf.DUMMYFUNCTION("GOOGLEFINANCE(A46,""closeyest"")"),13.54)</f>
        <v>13.54</v>
      </c>
      <c r="D46" s="42">
        <f>IFERROR(__xludf.DUMMYFUNCTION("MIN(index(GOOGLEFINANCE(A46,""ALL"",TODAY()-180,TODAY()),0,5))*1.2"),12.18)</f>
        <v>12.18</v>
      </c>
      <c r="E46" s="43">
        <f>IFERROR(__xludf.DUMMYFUNCTION("AVERAGE(QUERY(SORT(GOOGLEFINANCE(A46,""price"",TODAY()-320,TODAY()),1,0),""select Col2 limit 100""))"),12.139799999999997)</f>
        <v>12.1398</v>
      </c>
      <c r="F46" s="44">
        <f>IFERROR(__xludf.DUMMYFUNCTION("GOOGLEFINANCE(A46,""high52"")"),13.99)</f>
        <v>13.99</v>
      </c>
      <c r="G46" s="45">
        <f>IFERROR(__xludf.DUMMYFUNCTION("to_date(index(sort(GOOGLEFINANCE(A46, ""high"", today()-52*7, today(), ""DAILY""),2,0),2,1))"),46157.64583333333)</f>
        <v>46157.64583</v>
      </c>
      <c r="H46" s="44">
        <f>IFERROR(__xludf.DUMMYFUNCTION("GOOGLEFINANCE(A46,""low52"")"),8.88)</f>
        <v>8.88</v>
      </c>
      <c r="I46" s="45">
        <f>IFERROR(__xludf.DUMMYFUNCTION("to_date(index(sort(GOOGLEFINANCE(A46, ""low"", today()-52*7, today(), ""DAILY""),2,1),1,1))"),45811.64583333333)</f>
        <v>45811.64583</v>
      </c>
      <c r="J46" s="46" t="str">
        <f t="shared" si="1"/>
        <v>Do Not Buy Today</v>
      </c>
    </row>
    <row r="47">
      <c r="A47" s="56" t="s">
        <v>80</v>
      </c>
      <c r="B47" s="40">
        <f>IFERROR(__xludf.DUMMYFUNCTION("GOOGLEFINANCE(A47,""price"")"),67.35)</f>
        <v>67.35</v>
      </c>
      <c r="C47" s="41">
        <f>IFERROR(__xludf.DUMMYFUNCTION("GOOGLEFINANCE(A47,""closeyest"")"),67.0)</f>
        <v>67</v>
      </c>
      <c r="D47" s="42">
        <f>IFERROR(__xludf.DUMMYFUNCTION("MIN(index(GOOGLEFINANCE(A47,""ALL"",TODAY()-180,TODAY()),0,5))*1.2"),68.124)</f>
        <v>68.124</v>
      </c>
      <c r="E47" s="43">
        <f>IFERROR(__xludf.DUMMYFUNCTION("AVERAGE(QUERY(SORT(GOOGLEFINANCE(A47,""price"",TODAY()-320,TODAY()),1,0),""select Col2 limit 100""))"),63.33109999999998)</f>
        <v>63.3311</v>
      </c>
      <c r="F47" s="44">
        <f>IFERROR(__xludf.DUMMYFUNCTION("GOOGLEFINANCE(A47,""high52"")"),69.2)</f>
        <v>69.2</v>
      </c>
      <c r="G47" s="45">
        <f>IFERROR(__xludf.DUMMYFUNCTION("to_date(index(sort(GOOGLEFINANCE(A47, ""high"", today()-52*7, today(), ""DAILY""),2,0),2,1))"),46090.64583333333)</f>
        <v>46090.64583</v>
      </c>
      <c r="H47" s="44">
        <f>IFERROR(__xludf.DUMMYFUNCTION("GOOGLEFINANCE(A47,""low52"")"),56.15)</f>
        <v>56.15</v>
      </c>
      <c r="I47" s="45">
        <f>IFERROR(__xludf.DUMMYFUNCTION("to_date(index(sort(GOOGLEFINANCE(A47, ""low"", today()-52*7, today(), ""DAILY""),2,1),1,1))"),46114.64583333333)</f>
        <v>46114.64583</v>
      </c>
      <c r="J47" s="46" t="str">
        <f t="shared" si="1"/>
        <v>Do Not Buy Today</v>
      </c>
    </row>
    <row r="48">
      <c r="A48" s="56" t="s">
        <v>81</v>
      </c>
      <c r="B48" s="40">
        <f>IFERROR(__xludf.DUMMYFUNCTION("GOOGLEFINANCE(A48,""price"")"),23.37)</f>
        <v>23.37</v>
      </c>
      <c r="C48" s="41">
        <f>IFERROR(__xludf.DUMMYFUNCTION("GOOGLEFINANCE(A48,""closeyest"")"),23.24)</f>
        <v>23.24</v>
      </c>
      <c r="D48" s="42">
        <f>IFERROR(__xludf.DUMMYFUNCTION("MIN(index(GOOGLEFINANCE(A48,""ALL"",TODAY()-180,TODAY()),0,5))*1.2"),23.784)</f>
        <v>23.784</v>
      </c>
      <c r="E48" s="43">
        <f>IFERROR(__xludf.DUMMYFUNCTION("AVERAGE(QUERY(SORT(GOOGLEFINANCE(A48,""price"",TODAY()-320,TODAY()),1,0),""select Col2 limit 100""))"),22.077)</f>
        <v>22.077</v>
      </c>
      <c r="F48" s="44">
        <f>IFERROR(__xludf.DUMMYFUNCTION("GOOGLEFINANCE(A48,""high52"")"),23.61)</f>
        <v>23.61</v>
      </c>
      <c r="G48" s="45">
        <f>IFERROR(__xludf.DUMMYFUNCTION("to_date(index(sort(GOOGLEFINANCE(A48, ""high"", today()-52*7, today(), ""DAILY""),2,0),2,1))"),46030.64583333333)</f>
        <v>46030.64583</v>
      </c>
      <c r="H48" s="44">
        <f>IFERROR(__xludf.DUMMYFUNCTION("GOOGLEFINANCE(A48,""low52"")"),19.6)</f>
        <v>19.6</v>
      </c>
      <c r="I48" s="45">
        <f>IFERROR(__xludf.DUMMYFUNCTION("to_date(index(sort(GOOGLEFINANCE(A48, ""low"", today()-52*7, today(), ""DAILY""),2,1),1,1))"),46114.64583333333)</f>
        <v>46114.64583</v>
      </c>
      <c r="J48" s="46" t="str">
        <f t="shared" si="1"/>
        <v>Do Not Buy Today</v>
      </c>
    </row>
    <row r="49">
      <c r="A49" s="56" t="s">
        <v>82</v>
      </c>
      <c r="B49" s="40">
        <f>IFERROR(__xludf.DUMMYFUNCTION("GOOGLEFINANCE(A49,""price"")"),247.2)</f>
        <v>247.2</v>
      </c>
      <c r="C49" s="41">
        <f>IFERROR(__xludf.DUMMYFUNCTION("GOOGLEFINANCE(A49,""closeyest"")"),245.18)</f>
        <v>245.18</v>
      </c>
      <c r="D49" s="42">
        <f>IFERROR(__xludf.DUMMYFUNCTION("MIN(index(GOOGLEFINANCE(A49,""ALL"",TODAY()-180,TODAY()),0,5))*1.2"),256.02)</f>
        <v>256.02</v>
      </c>
      <c r="E49" s="43">
        <f>IFERROR(__xludf.DUMMYFUNCTION("AVERAGE(QUERY(SORT(GOOGLEFINANCE(A49,""price"",TODAY()-320,TODAY()),1,0),""select Col2 limit 100""))"),237.81929999999994)</f>
        <v>237.8193</v>
      </c>
      <c r="F49" s="44">
        <f>IFERROR(__xludf.DUMMYFUNCTION("GOOGLEFINANCE(A49,""high52"")"),264.64)</f>
        <v>264.64</v>
      </c>
      <c r="G49" s="45">
        <f>IFERROR(__xludf.DUMMYFUNCTION("to_date(index(sort(GOOGLEFINANCE(A49, ""high"", today()-52*7, today(), ""DAILY""),2,0),2,1))"),45855.64583333333)</f>
        <v>45855.64583</v>
      </c>
      <c r="H49" s="44">
        <f>IFERROR(__xludf.DUMMYFUNCTION("GOOGLEFINANCE(A49,""low52"")"),209.98)</f>
        <v>209.98</v>
      </c>
      <c r="I49" s="45">
        <f>IFERROR(__xludf.DUMMYFUNCTION("to_date(index(sort(GOOGLEFINANCE(A49, ""low"", today()-52*7, today(), ""DAILY""),2,1),1,1))"),46111.64583333333)</f>
        <v>46111.64583</v>
      </c>
      <c r="J49" s="46" t="str">
        <f t="shared" si="1"/>
        <v>Do Not Buy Today</v>
      </c>
    </row>
    <row r="50">
      <c r="A50" s="56" t="s">
        <v>83</v>
      </c>
      <c r="B50" s="40">
        <f>IFERROR(__xludf.DUMMYFUNCTION("GOOGLEFINANCE(A50,""price"")"),18.16)</f>
        <v>18.16</v>
      </c>
      <c r="C50" s="41">
        <f>IFERROR(__xludf.DUMMYFUNCTION("GOOGLEFINANCE(A50,""closeyest"")"),18.05)</f>
        <v>18.05</v>
      </c>
      <c r="D50" s="42">
        <f>IFERROR(__xludf.DUMMYFUNCTION("MIN(index(GOOGLEFINANCE(A50,""ALL"",TODAY()-180,TODAY()),0,5))*1.2"),18.396)</f>
        <v>18.396</v>
      </c>
      <c r="E50" s="43">
        <f>IFERROR(__xludf.DUMMYFUNCTION("AVERAGE(QUERY(SORT(GOOGLEFINANCE(A50,""price"",TODAY()-320,TODAY()),1,0),""select Col2 limit 100""))"),17.093500000000002)</f>
        <v>17.0935</v>
      </c>
      <c r="F50" s="44">
        <f>IFERROR(__xludf.DUMMYFUNCTION("GOOGLEFINANCE(A50,""high52"")"),18.45)</f>
        <v>18.45</v>
      </c>
      <c r="G50" s="45">
        <f>IFERROR(__xludf.DUMMYFUNCTION("to_date(index(sort(GOOGLEFINANCE(A50, ""high"", today()-52*7, today(), ""DAILY""),2,0),2,1))"),46153.64583333333)</f>
        <v>46153.64583</v>
      </c>
      <c r="H50" s="44">
        <f>IFERROR(__xludf.DUMMYFUNCTION("GOOGLEFINANCE(A50,""low52"")"),15.12)</f>
        <v>15.12</v>
      </c>
      <c r="I50" s="45">
        <f>IFERROR(__xludf.DUMMYFUNCTION("to_date(index(sort(GOOGLEFINANCE(A50, ""low"", today()-52*7, today(), ""DAILY""),2,1),1,1))"),46111.64583333333)</f>
        <v>46111.64583</v>
      </c>
      <c r="J50" s="46" t="str">
        <f t="shared" si="1"/>
        <v>Do Not Buy Today</v>
      </c>
    </row>
    <row r="51">
      <c r="A51" s="56" t="s">
        <v>84</v>
      </c>
      <c r="B51" s="40">
        <f>IFERROR(__xludf.DUMMYFUNCTION("GOOGLEFINANCE(A51,""price"")"),75.33)</f>
        <v>75.33</v>
      </c>
      <c r="C51" s="41">
        <f>IFERROR(__xludf.DUMMYFUNCTION("GOOGLEFINANCE(A51,""closeyest"")"),74.81)</f>
        <v>74.81</v>
      </c>
      <c r="D51" s="42">
        <f>IFERROR(__xludf.DUMMYFUNCTION("MIN(index(GOOGLEFINANCE(A51,""ALL"",TODAY()-180,TODAY()),0,5))*1.2"),76.416)</f>
        <v>76.416</v>
      </c>
      <c r="E51" s="43">
        <f>IFERROR(__xludf.DUMMYFUNCTION("AVERAGE(QUERY(SORT(GOOGLEFINANCE(A51,""price"",TODAY()-320,TODAY()),1,0),""select Col2 limit 100""))"),71.80240000000002)</f>
        <v>71.8024</v>
      </c>
      <c r="F51" s="44">
        <f>IFERROR(__xludf.DUMMYFUNCTION("GOOGLEFINANCE(A51,""high52"")"),76.55)</f>
        <v>76.55</v>
      </c>
      <c r="G51" s="45">
        <f>IFERROR(__xludf.DUMMYFUNCTION("to_date(index(sort(GOOGLEFINANCE(A51, ""high"", today()-52*7, today(), ""DAILY""),2,0),2,1))"),46030.64583333333)</f>
        <v>46030.64583</v>
      </c>
      <c r="H51" s="44">
        <f>IFERROR(__xludf.DUMMYFUNCTION("GOOGLEFINANCE(A51,""low52"")"),62.6)</f>
        <v>62.6</v>
      </c>
      <c r="I51" s="45">
        <f>IFERROR(__xludf.DUMMYFUNCTION("to_date(index(sort(GOOGLEFINANCE(A51, ""low"", today()-52*7, today(), ""DAILY""),2,1),1,1))"),46111.64583333333)</f>
        <v>46111.64583</v>
      </c>
      <c r="J51" s="46" t="str">
        <f t="shared" si="1"/>
        <v>Do Not Buy Today</v>
      </c>
    </row>
    <row r="52">
      <c r="A52" s="56" t="s">
        <v>85</v>
      </c>
      <c r="B52" s="40">
        <f>IFERROR(__xludf.DUMMYFUNCTION("GOOGLEFINANCE(A52,""price"")"),11.62)</f>
        <v>11.62</v>
      </c>
      <c r="C52" s="41">
        <f>IFERROR(__xludf.DUMMYFUNCTION("GOOGLEFINANCE(A52,""closeyest"")"),11.65)</f>
        <v>11.65</v>
      </c>
      <c r="D52" s="42">
        <f>IFERROR(__xludf.DUMMYFUNCTION("MIN(index(GOOGLEFINANCE(A52,""ALL"",TODAY()-180,TODAY()),0,5))*1.2"),13.043999999999999)</f>
        <v>13.044</v>
      </c>
      <c r="E52" s="43">
        <f>IFERROR(__xludf.DUMMYFUNCTION("AVERAGE(QUERY(SORT(GOOGLEFINANCE(A52,""price"",TODAY()-320,TODAY()),1,0),""select Col2 limit 100""))"),11.751999999999999)</f>
        <v>11.752</v>
      </c>
      <c r="F52" s="44">
        <f>IFERROR(__xludf.DUMMYFUNCTION("GOOGLEFINANCE(A52,""high52"")"),14.0)</f>
        <v>14</v>
      </c>
      <c r="G52" s="45">
        <f>IFERROR(__xludf.DUMMYFUNCTION("to_date(index(sort(GOOGLEFINANCE(A52, ""high"", today()-52*7, today(), ""DAILY""),2,0),2,1))"),46083.64583333333)</f>
        <v>46083.64583</v>
      </c>
      <c r="H52" s="44">
        <f>IFERROR(__xludf.DUMMYFUNCTION("GOOGLEFINANCE(A52,""low52"")"),9.8)</f>
        <v>9.8</v>
      </c>
      <c r="I52" s="45">
        <f>IFERROR(__xludf.DUMMYFUNCTION("to_date(index(sort(GOOGLEFINANCE(A52, ""low"", today()-52*7, today(), ""DAILY""),2,1),1,1))"),46111.64583333333)</f>
        <v>46111.64583</v>
      </c>
      <c r="J52" s="46" t="str">
        <f t="shared" si="1"/>
        <v>Do Not Buy Today</v>
      </c>
    </row>
    <row r="53">
      <c r="A53" s="56" t="s">
        <v>86</v>
      </c>
      <c r="B53" s="40">
        <f>IFERROR(__xludf.DUMMYFUNCTION("GOOGLEFINANCE(A53,""price"")"),25.29)</f>
        <v>25.29</v>
      </c>
      <c r="C53" s="41">
        <f>IFERROR(__xludf.DUMMYFUNCTION("GOOGLEFINANCE(A53,""closeyest"")"),25.31)</f>
        <v>25.31</v>
      </c>
      <c r="D53" s="42">
        <f>IFERROR(__xludf.DUMMYFUNCTION("MIN(index(GOOGLEFINANCE(A53,""ALL"",TODAY()-180,TODAY()),0,5))*1.2"),26.496)</f>
        <v>26.496</v>
      </c>
      <c r="E53" s="43">
        <f>IFERROR(__xludf.DUMMYFUNCTION("AVERAGE(QUERY(SORT(GOOGLEFINANCE(A53,""price"",TODAY()-320,TODAY()),1,0),""select Col2 limit 100""))"),23.384000000000004)</f>
        <v>23.384</v>
      </c>
      <c r="F53" s="44">
        <f>IFERROR(__xludf.DUMMYFUNCTION("GOOGLEFINANCE(A53,""high52"")"),26.52)</f>
        <v>26.52</v>
      </c>
      <c r="G53" s="45">
        <f>IFERROR(__xludf.DUMMYFUNCTION("to_date(index(sort(GOOGLEFINANCE(A53, ""high"", today()-52*7, today(), ""DAILY""),2,0),2,1))"),46045.64583333333)</f>
        <v>46045.64583</v>
      </c>
      <c r="H53" s="44">
        <f>IFERROR(__xludf.DUMMYFUNCTION("GOOGLEFINANCE(A53,""low52"")"),21.11)</f>
        <v>21.11</v>
      </c>
      <c r="I53" s="45">
        <f>IFERROR(__xludf.DUMMYFUNCTION("to_date(index(sort(GOOGLEFINANCE(A53, ""low"", today()-52*7, today(), ""DAILY""),2,1),1,1))"),45824.64583333333)</f>
        <v>45824.64583</v>
      </c>
      <c r="J53" s="46" t="str">
        <f t="shared" si="1"/>
        <v>Do Not Buy Today</v>
      </c>
    </row>
    <row r="54">
      <c r="A54" s="56" t="s">
        <v>87</v>
      </c>
      <c r="B54" s="40">
        <f>IFERROR(__xludf.DUMMYFUNCTION("GOOGLEFINANCE(A54,""price"")"),26.98)</f>
        <v>26.98</v>
      </c>
      <c r="C54" s="41">
        <f>IFERROR(__xludf.DUMMYFUNCTION("GOOGLEFINANCE(A54,""closeyest"")"),26.96)</f>
        <v>26.96</v>
      </c>
      <c r="D54" s="42">
        <f>IFERROR(__xludf.DUMMYFUNCTION("MIN(index(GOOGLEFINANCE(A54,""ALL"",TODAY()-180,TODAY()),0,5))*1.2"),29.255999999999997)</f>
        <v>29.256</v>
      </c>
      <c r="E54" s="43">
        <f>IFERROR(__xludf.DUMMYFUNCTION("AVERAGE(QUERY(SORT(GOOGLEFINANCE(A54,""price"",TODAY()-320,TODAY()),1,0),""select Col2 limit 100""))"),27.58330000000002)</f>
        <v>27.5833</v>
      </c>
      <c r="F54" s="44">
        <f>IFERROR(__xludf.DUMMYFUNCTION("GOOGLEFINANCE(A54,""high52"")"),30.32)</f>
        <v>30.32</v>
      </c>
      <c r="G54" s="45">
        <f>IFERROR(__xludf.DUMMYFUNCTION("to_date(index(sort(GOOGLEFINANCE(A54, ""high"", today()-52*7, today(), ""DAILY""),2,0),2,1))"),46072.64583333333)</f>
        <v>46072.64583</v>
      </c>
      <c r="H54" s="44">
        <f>IFERROR(__xludf.DUMMYFUNCTION("GOOGLEFINANCE(A54,""low52"")"),24.18)</f>
        <v>24.18</v>
      </c>
      <c r="I54" s="45">
        <f>IFERROR(__xludf.DUMMYFUNCTION("to_date(index(sort(GOOGLEFINANCE(A54, ""low"", today()-52*7, today(), ""DAILY""),2,1),1,1))"),46114.64583333333)</f>
        <v>46114.64583</v>
      </c>
      <c r="J54" s="46" t="str">
        <f t="shared" si="1"/>
        <v>Do Not Buy Today</v>
      </c>
    </row>
    <row r="55">
      <c r="A55" s="56" t="s">
        <v>88</v>
      </c>
      <c r="B55" s="40">
        <f>IFERROR(__xludf.DUMMYFUNCTION("GOOGLEFINANCE(A55,""price"")"),92.0)</f>
        <v>92</v>
      </c>
      <c r="C55" s="41">
        <f>IFERROR(__xludf.DUMMYFUNCTION("GOOGLEFINANCE(A55,""closeyest"")"),91.88)</f>
        <v>91.88</v>
      </c>
      <c r="D55" s="42">
        <f>IFERROR(__xludf.DUMMYFUNCTION("MIN(index(GOOGLEFINANCE(A55,""ALL"",TODAY()-180,TODAY()),0,5))*1.2"),104.95199999999998)</f>
        <v>104.952</v>
      </c>
      <c r="E55" s="43">
        <f>IFERROR(__xludf.DUMMYFUNCTION("AVERAGE(QUERY(SORT(GOOGLEFINANCE(A55,""price"",TODAY()-320,TODAY()),1,0),""select Col2 limit 100""))"),97.43760000000002)</f>
        <v>97.4376</v>
      </c>
      <c r="F55" s="44">
        <f>IFERROR(__xludf.DUMMYFUNCTION("GOOGLEFINANCE(A55,""high52"")"),110.4)</f>
        <v>110.4</v>
      </c>
      <c r="G55" s="45">
        <f>IFERROR(__xludf.DUMMYFUNCTION("to_date(index(sort(GOOGLEFINANCE(A55, ""high"", today()-52*7, today(), ""DAILY""),2,0),2,1))"),46078.64583333333)</f>
        <v>46078.64583</v>
      </c>
      <c r="H55" s="44">
        <f>IFERROR(__xludf.DUMMYFUNCTION("GOOGLEFINANCE(A55,""low52"")"),73.82)</f>
        <v>73.82</v>
      </c>
      <c r="I55" s="45">
        <f>IFERROR(__xludf.DUMMYFUNCTION("to_date(index(sort(GOOGLEFINANCE(A55, ""low"", today()-52*7, today(), ""DAILY""),2,1),1,1))"),45873.64583333333)</f>
        <v>45873.64583</v>
      </c>
      <c r="J55" s="46" t="str">
        <f t="shared" si="1"/>
        <v>Do Not Buy Today</v>
      </c>
    </row>
    <row r="56">
      <c r="A56" s="56" t="s">
        <v>89</v>
      </c>
      <c r="B56" s="40">
        <f>IFERROR(__xludf.DUMMYFUNCTION("GOOGLEFINANCE(A56,""price"")"),87.56)</f>
        <v>87.56</v>
      </c>
      <c r="C56" s="41">
        <f>IFERROR(__xludf.DUMMYFUNCTION("GOOGLEFINANCE(A56,""closeyest"")"),87.55)</f>
        <v>87.55</v>
      </c>
      <c r="D56" s="42">
        <f>IFERROR(__xludf.DUMMYFUNCTION("MIN(index(GOOGLEFINANCE(A56,""ALL"",TODAY()-180,TODAY()),0,5))*1.2"),100.428)</f>
        <v>100.428</v>
      </c>
      <c r="E56" s="43">
        <f>IFERROR(__xludf.DUMMYFUNCTION("AVERAGE(QUERY(SORT(GOOGLEFINANCE(A56,""price"",TODAY()-320,TODAY()),1,0),""select Col2 limit 100""))"),92.40019999999998)</f>
        <v>92.4002</v>
      </c>
      <c r="F56" s="44">
        <f>IFERROR(__xludf.DUMMYFUNCTION("GOOGLEFINANCE(A56,""high52"")"),103.43)</f>
        <v>103.43</v>
      </c>
      <c r="G56" s="45">
        <f>IFERROR(__xludf.DUMMYFUNCTION("to_date(index(sort(GOOGLEFINANCE(A56, ""high"", today()-52*7, today(), ""DAILY""),2,0),2,1))"),45839.64583333333)</f>
        <v>45839.64583</v>
      </c>
      <c r="H56" s="44">
        <f>IFERROR(__xludf.DUMMYFUNCTION("GOOGLEFINANCE(A56,""low52"")"),83.05)</f>
        <v>83.05</v>
      </c>
      <c r="I56" s="45">
        <f>IFERROR(__xludf.DUMMYFUNCTION("to_date(index(sort(GOOGLEFINANCE(A56, ""low"", today()-52*7, today(), ""DAILY""),2,1),1,1))"),46114.64583333333)</f>
        <v>46114.64583</v>
      </c>
      <c r="J56" s="46" t="str">
        <f t="shared" si="1"/>
        <v>Do Not Buy Today</v>
      </c>
    </row>
    <row r="57">
      <c r="A57" s="56" t="s">
        <v>90</v>
      </c>
      <c r="B57" s="40">
        <f>IFERROR(__xludf.DUMMYFUNCTION("GOOGLEFINANCE(A57,""price"")"),41.07)</f>
        <v>41.07</v>
      </c>
      <c r="C57" s="41">
        <f>IFERROR(__xludf.DUMMYFUNCTION("GOOGLEFINANCE(A57,""closeyest"")"),40.87)</f>
        <v>40.87</v>
      </c>
      <c r="D57" s="42">
        <f>IFERROR(__xludf.DUMMYFUNCTION("MIN(index(GOOGLEFINANCE(A57,""ALL"",TODAY()-180,TODAY()),0,5))*1.2"),45.431999999999995)</f>
        <v>45.432</v>
      </c>
      <c r="E57" s="43">
        <f>IFERROR(__xludf.DUMMYFUNCTION("AVERAGE(QUERY(SORT(GOOGLEFINANCE(A57,""price"",TODAY()-320,TODAY()),1,0),""select Col2 limit 100""))"),41.82649999999999)</f>
        <v>41.8265</v>
      </c>
      <c r="F57" s="44">
        <f>IFERROR(__xludf.DUMMYFUNCTION("GOOGLEFINANCE(A57,""high52"")"),45.06)</f>
        <v>45.06</v>
      </c>
      <c r="G57" s="45">
        <f>IFERROR(__xludf.DUMMYFUNCTION("to_date(index(sort(GOOGLEFINANCE(A57, ""high"", today()-52*7, today(), ""DAILY""),2,0),2,1))"),46027.64583333333)</f>
        <v>46027.64583</v>
      </c>
      <c r="H57" s="44">
        <f>IFERROR(__xludf.DUMMYFUNCTION("GOOGLEFINANCE(A57,""low52"")"),37.52)</f>
        <v>37.52</v>
      </c>
      <c r="I57" s="45">
        <f>IFERROR(__xludf.DUMMYFUNCTION("to_date(index(sort(GOOGLEFINANCE(A57, ""low"", today()-52*7, today(), ""DAILY""),2,1),1,1))"),46118.64583333333)</f>
        <v>46118.64583</v>
      </c>
      <c r="J57" s="46" t="str">
        <f t="shared" si="1"/>
        <v>Do Not Buy Today</v>
      </c>
    </row>
    <row r="58">
      <c r="A58" s="56" t="s">
        <v>91</v>
      </c>
      <c r="B58" s="40">
        <f>IFERROR(__xludf.DUMMYFUNCTION("GOOGLEFINANCE(A58,""price"")"),13.9)</f>
        <v>13.9</v>
      </c>
      <c r="C58" s="41">
        <f>IFERROR(__xludf.DUMMYFUNCTION("GOOGLEFINANCE(A58,""closeyest"")"),13.82)</f>
        <v>13.82</v>
      </c>
      <c r="D58" s="42">
        <f>IFERROR(__xludf.DUMMYFUNCTION("MIN(index(GOOGLEFINANCE(A58,""ALL"",TODAY()-180,TODAY()),0,5))*1.2"),15.96)</f>
        <v>15.96</v>
      </c>
      <c r="E58" s="43">
        <f>IFERROR(__xludf.DUMMYFUNCTION("AVERAGE(QUERY(SORT(GOOGLEFINANCE(A58,""price"",TODAY()-320,TODAY()),1,0),""select Col2 limit 100""))"),14.4397)</f>
        <v>14.4397</v>
      </c>
      <c r="F58" s="44">
        <f>IFERROR(__xludf.DUMMYFUNCTION("GOOGLEFINANCE(A58,""high52"")"),16.0)</f>
        <v>16</v>
      </c>
      <c r="G58" s="45">
        <f>IFERROR(__xludf.DUMMYFUNCTION("to_date(index(sort(GOOGLEFINANCE(A58, ""high"", today()-52*7, today(), ""DAILY""),2,0),2,1))"),46043.64583333333)</f>
        <v>46043.64583</v>
      </c>
      <c r="H58" s="44">
        <f>IFERROR(__xludf.DUMMYFUNCTION("GOOGLEFINANCE(A58,""low52"")"),12.5)</f>
        <v>12.5</v>
      </c>
      <c r="I58" s="45">
        <f>IFERROR(__xludf.DUMMYFUNCTION("to_date(index(sort(GOOGLEFINANCE(A58, ""low"", today()-52*7, today(), ""DAILY""),2,1),1,1))"),46065.64583333333)</f>
        <v>46065.64583</v>
      </c>
      <c r="J58" s="46" t="str">
        <f t="shared" si="1"/>
        <v>Do Not Buy Today</v>
      </c>
    </row>
    <row r="59">
      <c r="A59" s="56" t="s">
        <v>92</v>
      </c>
      <c r="B59" s="40">
        <f>IFERROR(__xludf.DUMMYFUNCTION("GOOGLEFINANCE(A59,""price"")"),16.34)</f>
        <v>16.34</v>
      </c>
      <c r="C59" s="41">
        <f>IFERROR(__xludf.DUMMYFUNCTION("GOOGLEFINANCE(A59,""closeyest"")"),16.25)</f>
        <v>16.25</v>
      </c>
      <c r="D59" s="42">
        <f>IFERROR(__xludf.DUMMYFUNCTION("MIN(index(GOOGLEFINANCE(A59,""ALL"",TODAY()-180,TODAY()),0,5))*1.2"),17.172)</f>
        <v>17.172</v>
      </c>
      <c r="E59" s="43">
        <f>IFERROR(__xludf.DUMMYFUNCTION("AVERAGE(QUERY(SORT(GOOGLEFINANCE(A59,""price"",TODAY()-320,TODAY()),1,0),""select Col2 limit 100""))"),15.8949)</f>
        <v>15.8949</v>
      </c>
      <c r="F59" s="44">
        <f>IFERROR(__xludf.DUMMYFUNCTION("GOOGLEFINANCE(A59,""high52"")"),17.03)</f>
        <v>17.03</v>
      </c>
      <c r="G59" s="45">
        <f>IFERROR(__xludf.DUMMYFUNCTION("to_date(index(sort(GOOGLEFINANCE(A59, ""high"", today()-52*7, today(), ""DAILY""),2,0),2,1))"),45959.64583333333)</f>
        <v>45959.64583</v>
      </c>
      <c r="H59" s="44">
        <f>IFERROR(__xludf.DUMMYFUNCTION("GOOGLEFINANCE(A59,""low52"")"),14.2)</f>
        <v>14.2</v>
      </c>
      <c r="I59" s="45">
        <f>IFERROR(__xludf.DUMMYFUNCTION("to_date(index(sort(GOOGLEFINANCE(A59, ""low"", today()-52*7, today(), ""DAILY""),2,1),1,1))"),46114.64583333333)</f>
        <v>46114.64583</v>
      </c>
      <c r="J59" s="46" t="str">
        <f t="shared" si="1"/>
        <v>Do Not Buy Today</v>
      </c>
    </row>
    <row r="60">
      <c r="A60" s="56" t="s">
        <v>93</v>
      </c>
      <c r="B60" s="40">
        <f>IFERROR(__xludf.DUMMYFUNCTION("GOOGLEFINANCE(A60,""price"")"),43.36)</f>
        <v>43.36</v>
      </c>
      <c r="C60" s="41">
        <f>IFERROR(__xludf.DUMMYFUNCTION("GOOGLEFINANCE(A60,""closeyest"")"),43.1)</f>
        <v>43.1</v>
      </c>
      <c r="D60" s="42">
        <f>IFERROR(__xludf.DUMMYFUNCTION("MIN(index(GOOGLEFINANCE(A60,""ALL"",TODAY()-180,TODAY()),0,5))*1.2"),43.763999999999996)</f>
        <v>43.764</v>
      </c>
      <c r="E60" s="43">
        <f>IFERROR(__xludf.DUMMYFUNCTION("AVERAGE(QUERY(SORT(GOOGLEFINANCE(A60,""price"",TODAY()-320,TODAY()),1,0),""select Col2 limit 100""))"),40.83760000000001)</f>
        <v>40.8376</v>
      </c>
      <c r="F60" s="44">
        <f>IFERROR(__xludf.DUMMYFUNCTION("GOOGLEFINANCE(A60,""high52"")"),44.97)</f>
        <v>44.97</v>
      </c>
      <c r="G60" s="45">
        <f>IFERROR(__xludf.DUMMYFUNCTION("to_date(index(sort(GOOGLEFINANCE(A60, ""high"", today()-52*7, today(), ""DAILY""),2,0),2,1))"),45839.64583333333)</f>
        <v>45839.64583</v>
      </c>
      <c r="H60" s="44">
        <f>IFERROR(__xludf.DUMMYFUNCTION("GOOGLEFINANCE(A60,""low52"")"),36.25)</f>
        <v>36.25</v>
      </c>
      <c r="I60" s="45">
        <f>IFERROR(__xludf.DUMMYFUNCTION("to_date(index(sort(GOOGLEFINANCE(A60, ""low"", today()-52*7, today(), ""DAILY""),2,1),1,1))"),46104.64583333333)</f>
        <v>46104.64583</v>
      </c>
      <c r="J60" s="46" t="str">
        <f t="shared" si="1"/>
        <v>Do Not Buy Today</v>
      </c>
    </row>
    <row r="61">
      <c r="A61" s="56" t="s">
        <v>94</v>
      </c>
      <c r="B61" s="40">
        <f>IFERROR(__xludf.DUMMYFUNCTION("GOOGLEFINANCE(A61,""price"")"),194.66)</f>
        <v>194.66</v>
      </c>
      <c r="C61" s="41">
        <f>IFERROR(__xludf.DUMMYFUNCTION("GOOGLEFINANCE(A61,""closeyest"")"),194.66)</f>
        <v>194.66</v>
      </c>
      <c r="D61" s="42">
        <f>IFERROR(__xludf.DUMMYFUNCTION("MIN(index(GOOGLEFINANCE(A61,""ALL"",TODAY()-180,TODAY()),0,5))*1.2"),179.68800000000002)</f>
        <v>179.688</v>
      </c>
      <c r="E61" s="43">
        <f>IFERROR(__xludf.DUMMYFUNCTION("AVERAGE(QUERY(SORT(GOOGLEFINANCE(A61,""price"",TODAY()-320,TODAY()),1,0),""select Col2 limit 100""))"),167.81860000000003)</f>
        <v>167.8186</v>
      </c>
      <c r="F61" s="44">
        <f>IFERROR(__xludf.DUMMYFUNCTION("GOOGLEFINANCE(A61,""high52"")"),197.89)</f>
        <v>197.89</v>
      </c>
      <c r="G61" s="45">
        <f>IFERROR(__xludf.DUMMYFUNCTION("to_date(index(sort(GOOGLEFINANCE(A61, ""high"", today()-52*7, today(), ""DAILY""),2,0),2,1))"),46160.64583333333)</f>
        <v>46160.64583</v>
      </c>
      <c r="H61" s="44">
        <f>IFERROR(__xludf.DUMMYFUNCTION("GOOGLEFINANCE(A61,""low52"")"),129.58)</f>
        <v>129.58</v>
      </c>
      <c r="I61" s="45">
        <f>IFERROR(__xludf.DUMMYFUNCTION("to_date(index(sort(GOOGLEFINANCE(A61, ""low"", today()-52*7, today(), ""DAILY""),2,1),1,1))"),45832.64583333333)</f>
        <v>45832.64583</v>
      </c>
      <c r="J61" s="46" t="str">
        <f t="shared" si="1"/>
        <v>Do Not Buy Today</v>
      </c>
    </row>
    <row r="62">
      <c r="A62" s="56" t="s">
        <v>95</v>
      </c>
      <c r="B62" s="40">
        <f>IFERROR(__xludf.DUMMYFUNCTION("GOOGLEFINANCE(A62,""price"")"),82.0)</f>
        <v>82</v>
      </c>
      <c r="C62" s="41">
        <f>IFERROR(__xludf.DUMMYFUNCTION("GOOGLEFINANCE(A62,""closeyest"")"),82.0)</f>
        <v>82</v>
      </c>
      <c r="D62" s="42">
        <f>IFERROR(__xludf.DUMMYFUNCTION("MIN(index(GOOGLEFINANCE(A62,""ALL"",TODAY()-180,TODAY()),0,5))*1.2"),80.39999999999999)</f>
        <v>80.4</v>
      </c>
      <c r="E62" s="43">
        <f>IFERROR(__xludf.DUMMYFUNCTION("AVERAGE(QUERY(SORT(GOOGLEFINANCE(A62,""price"",TODAY()-320,TODAY()),1,0),""select Col2 limit 100""))"),72.5533)</f>
        <v>72.5533</v>
      </c>
      <c r="F62" s="44">
        <f>IFERROR(__xludf.DUMMYFUNCTION("GOOGLEFINANCE(A62,""high52"")"),82.78)</f>
        <v>82.78</v>
      </c>
      <c r="G62" s="45">
        <f>IFERROR(__xludf.DUMMYFUNCTION("to_date(index(sort(GOOGLEFINANCE(A62, ""high"", today()-52*7, today(), ""DAILY""),2,0),2,1))"),46164.64583333333)</f>
        <v>46164.64583</v>
      </c>
      <c r="H62" s="44">
        <f>IFERROR(__xludf.DUMMYFUNCTION("GOOGLEFINANCE(A62,""low52"")"),52.52)</f>
        <v>52.52</v>
      </c>
      <c r="I62" s="45">
        <f>IFERROR(__xludf.DUMMYFUNCTION("to_date(index(sort(GOOGLEFINANCE(A62, ""low"", today()-52*7, today(), ""DAILY""),2,1),1,1))"),45832.64583333333)</f>
        <v>45832.64583</v>
      </c>
      <c r="J62" s="46" t="str">
        <f t="shared" si="1"/>
        <v>Do Not Buy Today</v>
      </c>
    </row>
    <row r="63">
      <c r="A63" s="56" t="s">
        <v>96</v>
      </c>
      <c r="B63" s="40">
        <f>IFERROR(__xludf.DUMMYFUNCTION("GOOGLEFINANCE(A63,""price"")"),122.0)</f>
        <v>122</v>
      </c>
      <c r="C63" s="41">
        <f>IFERROR(__xludf.DUMMYFUNCTION("GOOGLEFINANCE(A63,""closeyest"")"),121.57)</f>
        <v>121.57</v>
      </c>
      <c r="D63" s="42">
        <f>IFERROR(__xludf.DUMMYFUNCTION("MIN(index(GOOGLEFINANCE(A63,""ALL"",TODAY()-180,TODAY()),0,5))*1.2"),136.008)</f>
        <v>136.008</v>
      </c>
      <c r="E63" s="43">
        <f>IFERROR(__xludf.DUMMYFUNCTION("AVERAGE(QUERY(SORT(GOOGLEFINANCE(A63,""price"",TODAY()-320,TODAY()),1,0),""select Col2 limit 100""))"),121.03720000000001)</f>
        <v>121.0372</v>
      </c>
      <c r="F63" s="44">
        <f>IFERROR(__xludf.DUMMYFUNCTION("GOOGLEFINANCE(A63,""high52"")"),131.0)</f>
        <v>131</v>
      </c>
      <c r="G63" s="45">
        <f>IFERROR(__xludf.DUMMYFUNCTION("to_date(index(sort(GOOGLEFINANCE(A63, ""high"", today()-52*7, today(), ""DAILY""),2,0),2,1))"),46083.64583333333)</f>
        <v>46083.64583</v>
      </c>
      <c r="H63" s="44">
        <f>IFERROR(__xludf.DUMMYFUNCTION("GOOGLEFINANCE(A63,""low52"")"),103.6)</f>
        <v>103.6</v>
      </c>
      <c r="I63" s="45">
        <f>IFERROR(__xludf.DUMMYFUNCTION("to_date(index(sort(GOOGLEFINANCE(A63, ""low"", today()-52*7, today(), ""DAILY""),2,1),1,1))"),45898.64583333333)</f>
        <v>45898.64583</v>
      </c>
      <c r="J63" s="46" t="str">
        <f t="shared" si="1"/>
        <v>Do Not Buy Today</v>
      </c>
    </row>
    <row r="64">
      <c r="A64" s="56" t="s">
        <v>97</v>
      </c>
      <c r="B64" s="40">
        <f>IFERROR(__xludf.DUMMYFUNCTION("GOOGLEFINANCE(A64,""price"")"),18.64)</f>
        <v>18.64</v>
      </c>
      <c r="C64" s="41">
        <f>IFERROR(__xludf.DUMMYFUNCTION("GOOGLEFINANCE(A64,""closeyest"")"),18.58)</f>
        <v>18.58</v>
      </c>
      <c r="D64" s="42">
        <f>IFERROR(__xludf.DUMMYFUNCTION("MIN(index(GOOGLEFINANCE(A64,""ALL"",TODAY()-180,TODAY()),0,5))*1.2"),18.684)</f>
        <v>18.684</v>
      </c>
      <c r="E64" s="43">
        <f>IFERROR(__xludf.DUMMYFUNCTION("AVERAGE(QUERY(SORT(GOOGLEFINANCE(A64,""price"",TODAY()-320,TODAY()),1,0),""select Col2 limit 100""))"),17.6576)</f>
        <v>17.6576</v>
      </c>
      <c r="F64" s="44">
        <f>IFERROR(__xludf.DUMMYFUNCTION("GOOGLEFINANCE(A64,""high52"")"),20.0)</f>
        <v>20</v>
      </c>
      <c r="G64" s="45">
        <f>IFERROR(__xludf.DUMMYFUNCTION("to_date(index(sort(GOOGLEFINANCE(A64, ""high"", today()-52*7, today(), ""DAILY""),2,0),2,1))"),45877.64583333333)</f>
        <v>45877.64583</v>
      </c>
      <c r="H64" s="44">
        <f>IFERROR(__xludf.DUMMYFUNCTION("GOOGLEFINANCE(A64,""low52"")"),14.55)</f>
        <v>14.55</v>
      </c>
      <c r="I64" s="45">
        <f>IFERROR(__xludf.DUMMYFUNCTION("to_date(index(sort(GOOGLEFINANCE(A64, ""low"", today()-52*7, today(), ""DAILY""),2,1),1,1))"),46111.64583333333)</f>
        <v>46111.64583</v>
      </c>
      <c r="J64" s="46" t="str">
        <f t="shared" si="1"/>
        <v>Do Not Buy Today</v>
      </c>
    </row>
    <row r="65">
      <c r="A65" s="56" t="s">
        <v>98</v>
      </c>
      <c r="B65" s="40">
        <f>IFERROR(__xludf.DUMMYFUNCTION("GOOGLEFINANCE(A65,""price"")"),251.81)</f>
        <v>251.81</v>
      </c>
      <c r="C65" s="41">
        <f>IFERROR(__xludf.DUMMYFUNCTION("GOOGLEFINANCE(A65,""closeyest"")"),251.29)</f>
        <v>251.29</v>
      </c>
      <c r="D65" s="42">
        <f>IFERROR(__xludf.DUMMYFUNCTION("MIN(index(GOOGLEFINANCE(A65,""ALL"",TODAY()-180,TODAY()),0,5))*1.2"),188.124)</f>
        <v>188.124</v>
      </c>
      <c r="E65" s="43">
        <f>IFERROR(__xludf.DUMMYFUNCTION("AVERAGE(QUERY(SORT(GOOGLEFINANCE(A65,""price"",TODAY()-320,TODAY()),1,0),""select Col2 limit 100""))"),242.87439999999987)</f>
        <v>242.8744</v>
      </c>
      <c r="F65" s="44">
        <f>IFERROR(__xludf.DUMMYFUNCTION("GOOGLEFINANCE(A65,""high52"")"),360.0)</f>
        <v>360</v>
      </c>
      <c r="G65" s="45">
        <f>IFERROR(__xludf.DUMMYFUNCTION("to_date(index(sort(GOOGLEFINANCE(A65, ""high"", today()-52*7, today(), ""DAILY""),2,0),2,1))"),46051.64583333333)</f>
        <v>46051.64583</v>
      </c>
      <c r="H65" s="44">
        <f>IFERROR(__xludf.DUMMYFUNCTION("GOOGLEFINANCE(A65,""low52"")"),93.65)</f>
        <v>93.65</v>
      </c>
      <c r="I65" s="45">
        <f>IFERROR(__xludf.DUMMYFUNCTION("to_date(index(sort(GOOGLEFINANCE(A65, ""low"", today()-52*7, today(), ""DAILY""),2,1),1,1))"),45807.64583333333)</f>
        <v>45807.64583</v>
      </c>
      <c r="J65" s="46" t="str">
        <f t="shared" si="1"/>
        <v>Do Not Buy Today</v>
      </c>
    </row>
    <row r="66">
      <c r="A66" s="56" t="s">
        <v>99</v>
      </c>
      <c r="B66" s="40">
        <f>IFERROR(__xludf.DUMMYFUNCTION("GOOGLEFINANCE(A66,""price"")"),870.15)</f>
        <v>870.15</v>
      </c>
      <c r="C66" s="41">
        <f>IFERROR(__xludf.DUMMYFUNCTION("GOOGLEFINANCE(A66,""closeyest"")"),871.08)</f>
        <v>871.08</v>
      </c>
      <c r="D66" s="42">
        <f>IFERROR(__xludf.DUMMYFUNCTION("MIN(index(GOOGLEFINANCE(A66,""ALL"",TODAY()-180,TODAY()),0,5))*1.2"),987.06)</f>
        <v>987.06</v>
      </c>
      <c r="E66" s="43">
        <f>IFERROR(__xludf.DUMMYFUNCTION("AVERAGE(QUERY(SORT(GOOGLEFINANCE(A66,""price"",TODAY()-320,TODAY()),1,0),""select Col2 limit 100""))"),908.6581999999996)</f>
        <v>908.6582</v>
      </c>
      <c r="F66" s="44">
        <f>IFERROR(__xludf.DUMMYFUNCTION("GOOGLEFINANCE(A66,""high52"")"),999.84)</f>
        <v>999.84</v>
      </c>
      <c r="G66" s="45">
        <f>IFERROR(__xludf.DUMMYFUNCTION("to_date(index(sort(GOOGLEFINANCE(A66, ""high"", today()-52*7, today(), ""DAILY""),2,0),2,1))"),45986.64583333333)</f>
        <v>45986.64583</v>
      </c>
      <c r="H66" s="44">
        <f>IFERROR(__xludf.DUMMYFUNCTION("GOOGLEFINANCE(A66,""low52"")"),731.0)</f>
        <v>731</v>
      </c>
      <c r="I66" s="45">
        <f>IFERROR(__xludf.DUMMYFUNCTION("to_date(index(sort(GOOGLEFINANCE(A66, ""low"", today()-52*7, today(), ""DAILY""),2,1),1,1))"),46149.64583333333)</f>
        <v>46149.64583</v>
      </c>
      <c r="J66" s="46" t="str">
        <f t="shared" si="1"/>
        <v>Do Not Buy Today</v>
      </c>
    </row>
    <row r="67">
      <c r="A67" s="56" t="s">
        <v>100</v>
      </c>
      <c r="B67" s="40">
        <f>IFERROR(__xludf.DUMMYFUNCTION("GOOGLEFINANCE(A67,""price"")"),467.46)</f>
        <v>467.46</v>
      </c>
      <c r="C67" s="41">
        <f>IFERROR(__xludf.DUMMYFUNCTION("GOOGLEFINANCE(A67,""closeyest"")"),465.54)</f>
        <v>465.54</v>
      </c>
      <c r="D67" s="42">
        <f>IFERROR(__xludf.DUMMYFUNCTION("MIN(index(GOOGLEFINANCE(A67,""ALL"",TODAY()-180,TODAY()),0,5))*1.2"),527.856)</f>
        <v>527.856</v>
      </c>
      <c r="E67" s="43">
        <f>IFERROR(__xludf.DUMMYFUNCTION("AVERAGE(QUERY(SORT(GOOGLEFINANCE(A67,""price"",TODAY()-320,TODAY()),1,0),""select Col2 limit 100""))"),482.34659999999974)</f>
        <v>482.3466</v>
      </c>
      <c r="F67" s="44">
        <f>IFERROR(__xludf.DUMMYFUNCTION("GOOGLEFINANCE(A67,""high52"")"),537.63)</f>
        <v>537.63</v>
      </c>
      <c r="G67" s="45">
        <f>IFERROR(__xludf.DUMMYFUNCTION("to_date(index(sort(GOOGLEFINANCE(A67, ""high"", today()-52*7, today(), ""DAILY""),2,0),2,1))"),45840.64583333333)</f>
        <v>45840.64583</v>
      </c>
      <c r="H67" s="44">
        <f>IFERROR(__xludf.DUMMYFUNCTION("GOOGLEFINANCE(A67,""low52"")"),433.68)</f>
        <v>433.68</v>
      </c>
      <c r="I67" s="45">
        <f>IFERROR(__xludf.DUMMYFUNCTION("to_date(index(sort(GOOGLEFINANCE(A67, ""low"", today()-52*7, today(), ""DAILY""),2,1),1,1))"),46106.64583333333)</f>
        <v>46106.64583</v>
      </c>
      <c r="J67" s="46" t="str">
        <f t="shared" si="1"/>
        <v>Do Not Buy Today</v>
      </c>
    </row>
  </sheetData>
  <mergeCells count="6">
    <mergeCell ref="K1:N1"/>
    <mergeCell ref="K2:N4"/>
    <mergeCell ref="K5:L5"/>
    <mergeCell ref="M5:N5"/>
    <mergeCell ref="K6:N7"/>
    <mergeCell ref="K9:N10"/>
  </mergeCells>
  <conditionalFormatting sqref="J1:J1000">
    <cfRule type="cellIs" dxfId="0" priority="1" operator="equal">
      <formula>"Buy Today"</formula>
    </cfRule>
  </conditionalFormatting>
  <hyperlinks>
    <hyperlink r:id="rId1" ref="K2"/>
    <hyperlink r:id="rId2" ref="K11"/>
    <hyperlink r:id="rId3" ref="K1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4" max="4" width="18.38"/>
    <col customWidth="1" min="10" max="10" width="15.63"/>
  </cols>
  <sheetData>
    <row r="1">
      <c r="A1" s="57" t="s">
        <v>101</v>
      </c>
      <c r="B1" s="57" t="s">
        <v>21</v>
      </c>
      <c r="C1" s="57" t="s">
        <v>22</v>
      </c>
      <c r="D1" s="57" t="s">
        <v>23</v>
      </c>
      <c r="E1" s="57" t="s">
        <v>24</v>
      </c>
      <c r="F1" s="35" t="s">
        <v>25</v>
      </c>
      <c r="G1" s="36" t="s">
        <v>26</v>
      </c>
      <c r="H1" s="35" t="s">
        <v>27</v>
      </c>
      <c r="I1" s="35" t="s">
        <v>28</v>
      </c>
      <c r="J1" s="34" t="s">
        <v>29</v>
      </c>
      <c r="K1" s="48" t="s">
        <v>1</v>
      </c>
      <c r="M1" s="3">
        <f>IFERROR(__xludf.DUMMYFUNCTION("GOOGLEFINANCE(A2,""tradetime"")"),46169.45621527778)</f>
        <v>46169.45622</v>
      </c>
      <c r="O1" s="38"/>
      <c r="P1" s="38"/>
      <c r="Q1" s="38"/>
      <c r="R1" s="38"/>
      <c r="S1" s="38"/>
      <c r="T1" s="38"/>
      <c r="U1" s="38"/>
      <c r="V1" s="38"/>
      <c r="W1" s="38"/>
      <c r="X1" s="38"/>
      <c r="Y1" s="38"/>
      <c r="Z1" s="38"/>
      <c r="AA1" s="38"/>
      <c r="AB1" s="38"/>
      <c r="AC1" s="38"/>
      <c r="AD1" s="38"/>
      <c r="AE1" s="38"/>
    </row>
    <row r="2">
      <c r="A2" s="58" t="s">
        <v>102</v>
      </c>
      <c r="B2" s="59">
        <f>IFERROR(__xludf.DUMMYFUNCTION("GOOGLEFINANCE(A2,""price"")"),4367.4)</f>
        <v>4367.4</v>
      </c>
      <c r="C2" s="60">
        <f>IFERROR(__xludf.DUMMYFUNCTION("GOOGLEFINANCE(A2,""closeyest"")"),4403.3)</f>
        <v>4403.3</v>
      </c>
      <c r="D2" s="61">
        <f>IFERROR(__xludf.DUMMYFUNCTION("MIN(index(GOOGLEFINANCE(A2,""ALL"",TODAY()-180,TODAY()),0,5))*1.2"),3097.2)</f>
        <v>3097.2</v>
      </c>
      <c r="E2" s="62">
        <f>IFERROR(__xludf.DUMMYFUNCTION("AVERAGE(QUERY(SORT(GOOGLEFINANCE(A2,""price"",TODAY()-320,TODAY()),1,0),""select Col2 limit 100""))"),3111.713000000001)</f>
        <v>3111.713</v>
      </c>
      <c r="F2" s="44">
        <f>IFERROR(__xludf.DUMMYFUNCTION("GOOGLEFINANCE(A2,""high52"")"),4446.8)</f>
        <v>4446.8</v>
      </c>
      <c r="G2" s="45">
        <f>IFERROR(__xludf.DUMMYFUNCTION("to_date(index(sort(GOOGLEFINANCE(A2, ""high"", today()-52*7, today(), ""DAILY""),2,0),2,1))"),46168.64583333333)</f>
        <v>46168.64583</v>
      </c>
      <c r="H2" s="44">
        <f>IFERROR(__xludf.DUMMYFUNCTION("GOOGLEFINANCE(A2,""low52"")"),2021.5)</f>
        <v>2021.5</v>
      </c>
      <c r="I2" s="45">
        <f>IFERROR(__xludf.DUMMYFUNCTION("to_date(index(sort(GOOGLEFINANCE(A2, ""low"", today()-52*7, today(), ""DAILY""),2,1),1,1))"),45926.64583333333)</f>
        <v>45926.64583</v>
      </c>
      <c r="J2" s="46" t="str">
        <f t="shared" ref="J2:J201" si="1">if(AND(B2&gt;E2,B2&gt;D2,C2&lt;E2, I2&gt;G2),"Buy Today","Do Not Buy Today")</f>
        <v>Do Not Buy Today</v>
      </c>
      <c r="K2" s="63" t="s">
        <v>103</v>
      </c>
      <c r="L2" s="64"/>
      <c r="M2" s="64"/>
      <c r="N2" s="65"/>
    </row>
    <row r="3">
      <c r="A3" s="58" t="s">
        <v>104</v>
      </c>
      <c r="B3" s="59">
        <f>IFERROR(__xludf.DUMMYFUNCTION("GOOGLEFINANCE(A3,""price"")"),10645.0)</f>
        <v>10645</v>
      </c>
      <c r="C3" s="60">
        <f>IFERROR(__xludf.DUMMYFUNCTION("GOOGLEFINANCE(A3,""closeyest"")"),10705.0)</f>
        <v>10705</v>
      </c>
      <c r="D3" s="61">
        <f>IFERROR(__xludf.DUMMYFUNCTION("MIN(index(GOOGLEFINANCE(A3,""ALL"",TODAY()-180,TODAY()),0,5))*1.2"),10495.199999999999)</f>
        <v>10495.2</v>
      </c>
      <c r="E3" s="62">
        <f>IFERROR(__xludf.DUMMYFUNCTION("AVERAGE(QUERY(SORT(GOOGLEFINANCE(A3,""price"",TODAY()-320,TODAY()),1,0),""select Col2 limit 100""))"),10481.285)</f>
        <v>10481.285</v>
      </c>
      <c r="F3" s="44">
        <f>IFERROR(__xludf.DUMMYFUNCTION("GOOGLEFINANCE(A3,""high52"")"),14763.0)</f>
        <v>14763</v>
      </c>
      <c r="G3" s="45">
        <f>IFERROR(__xludf.DUMMYFUNCTION("to_date(index(sort(GOOGLEFINANCE(A3, ""high"", today()-52*7, today(), ""DAILY""),2,0),2,1))"),45887.64583333333)</f>
        <v>45887.64583</v>
      </c>
      <c r="H3" s="44">
        <f>IFERROR(__xludf.DUMMYFUNCTION("GOOGLEFINANCE(A3,""low52"")"),8588.0)</f>
        <v>8588</v>
      </c>
      <c r="I3" s="45">
        <f>IFERROR(__xludf.DUMMYFUNCTION("to_date(index(sort(GOOGLEFINANCE(A3, ""low"", today()-52*7, today(), ""DAILY""),2,1),1,1))"),46114.64583333333)</f>
        <v>46114.64583</v>
      </c>
      <c r="J3" s="46" t="str">
        <f t="shared" si="1"/>
        <v>Do Not Buy Today</v>
      </c>
      <c r="K3" s="66"/>
      <c r="N3" s="30"/>
    </row>
    <row r="4">
      <c r="A4" s="58" t="s">
        <v>105</v>
      </c>
      <c r="B4" s="59">
        <f>IFERROR(__xludf.DUMMYFUNCTION("GOOGLEFINANCE(A4,""price"")"),1693.1)</f>
        <v>1693.1</v>
      </c>
      <c r="C4" s="60">
        <f>IFERROR(__xludf.DUMMYFUNCTION("GOOGLEFINANCE(A4,""closeyest"")"),1725.6)</f>
        <v>1725.6</v>
      </c>
      <c r="D4" s="61">
        <f>IFERROR(__xludf.DUMMYFUNCTION("MIN(index(GOOGLEFINANCE(A4,""ALL"",TODAY()-180,TODAY()),0,5))*1.2"),1757.04)</f>
        <v>1757.04</v>
      </c>
      <c r="E4" s="62">
        <f>IFERROR(__xludf.DUMMYFUNCTION("AVERAGE(QUERY(SORT(GOOGLEFINANCE(A4,""price"",TODAY()-320,TODAY()),1,0),""select Col2 limit 100""))"),1670.1550000000007)</f>
        <v>1670.155</v>
      </c>
      <c r="F4" s="44">
        <f>IFERROR(__xludf.DUMMYFUNCTION("GOOGLEFINANCE(A4,""high52"")"),1892.5)</f>
        <v>1892.5</v>
      </c>
      <c r="G4" s="45">
        <f>IFERROR(__xludf.DUMMYFUNCTION("to_date(index(sort(GOOGLEFINANCE(A4, ""high"", today()-52*7, today(), ""DAILY""),2,0),2,1))"),46076.64583333333)</f>
        <v>46076.64583</v>
      </c>
      <c r="H4" s="44">
        <f>IFERROR(__xludf.DUMMYFUNCTION("GOOGLEFINANCE(A4,""low52"")"),1433.6)</f>
        <v>1433.6</v>
      </c>
      <c r="I4" s="45">
        <f>IFERROR(__xludf.DUMMYFUNCTION("to_date(index(sort(GOOGLEFINANCE(A4, ""low"", today()-52*7, today(), ""DAILY""),2,1),1,1))"),46114.64583333333)</f>
        <v>46114.64583</v>
      </c>
      <c r="J4" s="46" t="str">
        <f t="shared" si="1"/>
        <v>Do Not Buy Today</v>
      </c>
      <c r="K4" s="66"/>
      <c r="N4" s="30"/>
    </row>
    <row r="5">
      <c r="A5" s="58" t="s">
        <v>106</v>
      </c>
      <c r="B5" s="59">
        <f>IFERROR(__xludf.DUMMYFUNCTION("GOOGLEFINANCE(A5,""price"")"),532.25)</f>
        <v>532.25</v>
      </c>
      <c r="C5" s="60">
        <f>IFERROR(__xludf.DUMMYFUNCTION("GOOGLEFINANCE(A5,""closeyest"")"),531.3)</f>
        <v>531.3</v>
      </c>
      <c r="D5" s="61">
        <f>IFERROR(__xludf.DUMMYFUNCTION("MIN(index(GOOGLEFINANCE(A5,""ALL"",TODAY()-180,TODAY()),0,5))*1.2"),458.64)</f>
        <v>458.64</v>
      </c>
      <c r="E5" s="62">
        <f>IFERROR(__xludf.DUMMYFUNCTION("AVERAGE(QUERY(SORT(GOOGLEFINANCE(A5,""price"",TODAY()-320,TODAY()),1,0),""select Col2 limit 100""))"),465.4934999999999)</f>
        <v>465.4935</v>
      </c>
      <c r="F5" s="44">
        <f>IFERROR(__xludf.DUMMYFUNCTION("GOOGLEFINANCE(A5,""high52"")"),543.95)</f>
        <v>543.95</v>
      </c>
      <c r="G5" s="45">
        <f>IFERROR(__xludf.DUMMYFUNCTION("to_date(index(sort(GOOGLEFINANCE(A5, ""high"", today()-52*7, today(), ""DAILY""),2,0),2,1))"),46167.64583333333)</f>
        <v>46167.64583</v>
      </c>
      <c r="H5" s="44">
        <f>IFERROR(__xludf.DUMMYFUNCTION("GOOGLEFINANCE(A5,""low52"")"),381.0)</f>
        <v>381</v>
      </c>
      <c r="I5" s="45">
        <f>IFERROR(__xludf.DUMMYFUNCTION("to_date(index(sort(GOOGLEFINANCE(A5, ""low"", today()-52*7, today(), ""DAILY""),2,1),1,1))"),46104.64583333333)</f>
        <v>46104.64583</v>
      </c>
      <c r="J5" s="46" t="str">
        <f t="shared" si="1"/>
        <v>Do Not Buy Today</v>
      </c>
      <c r="K5" s="67"/>
      <c r="L5" s="31"/>
      <c r="M5" s="31"/>
      <c r="N5" s="32"/>
    </row>
    <row r="6">
      <c r="A6" s="58" t="s">
        <v>107</v>
      </c>
      <c r="B6" s="59">
        <f>IFERROR(__xludf.DUMMYFUNCTION("GOOGLEFINANCE(A6,""price"")"),520.9)</f>
        <v>520.9</v>
      </c>
      <c r="C6" s="60">
        <f>IFERROR(__xludf.DUMMYFUNCTION("GOOGLEFINANCE(A6,""closeyest"")"),522.7)</f>
        <v>522.7</v>
      </c>
      <c r="D6" s="61">
        <f>IFERROR(__xludf.DUMMYFUNCTION("MIN(index(GOOGLEFINANCE(A6,""ALL"",TODAY()-180,TODAY()),0,5))*1.2"),604.0799999999999)</f>
        <v>604.08</v>
      </c>
      <c r="E6" s="62">
        <f>IFERROR(__xludf.DUMMYFUNCTION("AVERAGE(QUERY(SORT(GOOGLEFINANCE(A6,""price"",TODAY()-320,TODAY()),1,0),""select Col2 limit 100""))"),597.5884999999998)</f>
        <v>597.5885</v>
      </c>
      <c r="F6" s="44">
        <f>IFERROR(__xludf.DUMMYFUNCTION("GOOGLEFINANCE(A6,""high52"")"),706.8)</f>
        <v>706.8</v>
      </c>
      <c r="G6" s="45">
        <f>IFERROR(__xludf.DUMMYFUNCTION("to_date(index(sort(GOOGLEFINANCE(A6, ""high"", today()-52*7, today(), ""DAILY""),2,0),2,1))"),46035.64583333333)</f>
        <v>46035.64583</v>
      </c>
      <c r="H6" s="44">
        <f>IFERROR(__xludf.DUMMYFUNCTION("GOOGLEFINANCE(A6,""low52"")"),488.6)</f>
        <v>488.6</v>
      </c>
      <c r="I6" s="45">
        <f>IFERROR(__xludf.DUMMYFUNCTION("to_date(index(sort(GOOGLEFINANCE(A6, ""low"", today()-52*7, today(), ""DAILY""),2,1),1,1))"),46160.64583333333)</f>
        <v>46160.64583</v>
      </c>
      <c r="J6" s="46" t="str">
        <f t="shared" si="1"/>
        <v>Do Not Buy Today</v>
      </c>
      <c r="K6" s="68" t="s">
        <v>108</v>
      </c>
      <c r="L6" s="64"/>
      <c r="M6" s="64"/>
      <c r="N6" s="65"/>
    </row>
    <row r="7">
      <c r="A7" s="58" t="s">
        <v>109</v>
      </c>
      <c r="B7" s="59">
        <f>IFERROR(__xludf.DUMMYFUNCTION("GOOGLEFINANCE(A7,""price"")"),254.48)</f>
        <v>254.48</v>
      </c>
      <c r="C7" s="60">
        <f>IFERROR(__xludf.DUMMYFUNCTION("GOOGLEFINANCE(A7,""closeyest"")"),250.17)</f>
        <v>250.17</v>
      </c>
      <c r="D7" s="61">
        <f>IFERROR(__xludf.DUMMYFUNCTION("MIN(index(GOOGLEFINANCE(A7,""ALL"",TODAY()-180,TODAY()),0,5))*1.2"),258.816)</f>
        <v>258.816</v>
      </c>
      <c r="E7" s="62">
        <f>IFERROR(__xludf.DUMMYFUNCTION("AVERAGE(QUERY(SORT(GOOGLEFINANCE(A7,""price"",TODAY()-320,TODAY()),1,0),""select Col2 limit 100""))"),258.65389999999985)</f>
        <v>258.6539</v>
      </c>
      <c r="F7" s="44">
        <f>IFERROR(__xludf.DUMMYFUNCTION("GOOGLEFINANCE(A7,""high52"")"),368.45)</f>
        <v>368.45</v>
      </c>
      <c r="G7" s="45">
        <f>IFERROR(__xludf.DUMMYFUNCTION("to_date(index(sort(GOOGLEFINANCE(A7, ""high"", today()-52*7, today(), ""DAILY""),2,0),2,1))"),45946.64583333333)</f>
        <v>45946.64583</v>
      </c>
      <c r="H7" s="44">
        <f>IFERROR(__xludf.DUMMYFUNCTION("GOOGLEFINANCE(A7,""low52"")"),212.6)</f>
        <v>212.6</v>
      </c>
      <c r="I7" s="45">
        <f>IFERROR(__xludf.DUMMYFUNCTION("to_date(index(sort(GOOGLEFINANCE(A7, ""low"", today()-52*7, today(), ""DAILY""),2,1),1,1))"),46097.64583333333)</f>
        <v>46097.64583</v>
      </c>
      <c r="J7" s="46" t="str">
        <f t="shared" si="1"/>
        <v>Do Not Buy Today</v>
      </c>
      <c r="K7" s="69" t="s">
        <v>110</v>
      </c>
      <c r="N7" s="30"/>
    </row>
    <row r="8">
      <c r="A8" s="58" t="s">
        <v>111</v>
      </c>
      <c r="B8" s="59">
        <f>IFERROR(__xludf.DUMMYFUNCTION("GOOGLEFINANCE(A8,""price"")"),614.7)</f>
        <v>614.7</v>
      </c>
      <c r="C8" s="60">
        <f>IFERROR(__xludf.DUMMYFUNCTION("GOOGLEFINANCE(A8,""closeyest"")"),618.85)</f>
        <v>618.85</v>
      </c>
      <c r="D8" s="61">
        <f>IFERROR(__xludf.DUMMYFUNCTION("MIN(index(GOOGLEFINANCE(A8,""ALL"",TODAY()-180,TODAY()),0,5))*1.2"),679.32)</f>
        <v>679.32</v>
      </c>
      <c r="E8" s="62">
        <f>IFERROR(__xludf.DUMMYFUNCTION("AVERAGE(QUERY(SORT(GOOGLEFINANCE(A8,""price"",TODAY()-320,TODAY()),1,0),""select Col2 limit 100""))"),669.1624999999999)</f>
        <v>669.1625</v>
      </c>
      <c r="F8" s="44">
        <f>IFERROR(__xludf.DUMMYFUNCTION("GOOGLEFINANCE(A8,""high52"")"),820.75)</f>
        <v>820.75</v>
      </c>
      <c r="G8" s="45">
        <f>IFERROR(__xludf.DUMMYFUNCTION("to_date(index(sort(GOOGLEFINANCE(A8, ""high"", today()-52*7, today(), ""DAILY""),2,0),2,1))"),45838.64583333333)</f>
        <v>45838.64583</v>
      </c>
      <c r="H8" s="44">
        <f>IFERROR(__xludf.DUMMYFUNCTION("GOOGLEFINANCE(A8,""low52"")"),555.1)</f>
        <v>555.1</v>
      </c>
      <c r="I8" s="45">
        <f>IFERROR(__xludf.DUMMYFUNCTION("to_date(index(sort(GOOGLEFINANCE(A8, ""low"", today()-52*7, today(), ""DAILY""),2,1),1,1))"),46114.64583333333)</f>
        <v>46114.64583</v>
      </c>
      <c r="J8" s="46" t="str">
        <f t="shared" si="1"/>
        <v>Do Not Buy Today</v>
      </c>
      <c r="K8" s="66"/>
      <c r="N8" s="30"/>
    </row>
    <row r="9">
      <c r="A9" s="58" t="s">
        <v>112</v>
      </c>
      <c r="B9" s="59">
        <f>IFERROR(__xludf.DUMMYFUNCTION("GOOGLEFINANCE(A9,""price"")"),419.0)</f>
        <v>419</v>
      </c>
      <c r="C9" s="60">
        <f>IFERROR(__xludf.DUMMYFUNCTION("GOOGLEFINANCE(A9,""closeyest"")"),417.75)</f>
        <v>417.75</v>
      </c>
      <c r="D9" s="61">
        <f>IFERROR(__xludf.DUMMYFUNCTION("MIN(index(GOOGLEFINANCE(A9,""ALL"",TODAY()-180,TODAY()),0,5))*1.2"),291.0)</f>
        <v>291</v>
      </c>
      <c r="E9" s="62">
        <f>IFERROR(__xludf.DUMMYFUNCTION("AVERAGE(QUERY(SORT(GOOGLEFINANCE(A9,""price"",TODAY()-320,TODAY()),1,0),""select Col2 limit 100""))"),295.9180000000001)</f>
        <v>295.918</v>
      </c>
      <c r="F9" s="44">
        <f>IFERROR(__xludf.DUMMYFUNCTION("GOOGLEFINANCE(A9,""high52"")"),423.2)</f>
        <v>423.2</v>
      </c>
      <c r="G9" s="45">
        <f>IFERROR(__xludf.DUMMYFUNCTION("to_date(index(sort(GOOGLEFINANCE(A9, ""high"", today()-52*7, today(), ""DAILY""),2,0),2,1))"),46167.64583333333)</f>
        <v>46167.64583</v>
      </c>
      <c r="H9" s="44">
        <f>IFERROR(__xludf.DUMMYFUNCTION("GOOGLEFINANCE(A9,""low52"")"),205.12)</f>
        <v>205.12</v>
      </c>
      <c r="I9" s="45">
        <f>IFERROR(__xludf.DUMMYFUNCTION("to_date(index(sort(GOOGLEFINANCE(A9, ""low"", today()-52*7, today(), ""DAILY""),2,1),1,1))"),45898.64583333333)</f>
        <v>45898.64583</v>
      </c>
      <c r="J9" s="46" t="str">
        <f t="shared" si="1"/>
        <v>Do Not Buy Today</v>
      </c>
      <c r="K9" s="67"/>
      <c r="L9" s="31"/>
      <c r="M9" s="31"/>
      <c r="N9" s="32"/>
    </row>
    <row r="10">
      <c r="A10" s="58" t="s">
        <v>113</v>
      </c>
      <c r="B10" s="59">
        <f>IFERROR(__xludf.DUMMYFUNCTION("GOOGLEFINANCE(A10,""price"")"),983.9)</f>
        <v>983.9</v>
      </c>
      <c r="C10" s="60">
        <f>IFERROR(__xludf.DUMMYFUNCTION("GOOGLEFINANCE(A10,""closeyest"")"),993.95)</f>
        <v>993.95</v>
      </c>
      <c r="D10" s="61">
        <f>IFERROR(__xludf.DUMMYFUNCTION("MIN(index(GOOGLEFINANCE(A10,""ALL"",TODAY()-180,TODAY()),0,5))*1.2"),1117.92)</f>
        <v>1117.92</v>
      </c>
      <c r="E10" s="62">
        <f>IFERROR(__xludf.DUMMYFUNCTION("AVERAGE(QUERY(SORT(GOOGLEFINANCE(A10,""price"",TODAY()-320,TODAY()),1,0),""select Col2 limit 100""))"),1018.4300000000003)</f>
        <v>1018.43</v>
      </c>
      <c r="F10" s="44">
        <f>IFERROR(__xludf.DUMMYFUNCTION("GOOGLEFINANCE(A10,""high52"")"),1314.3)</f>
        <v>1314.3</v>
      </c>
      <c r="G10" s="45">
        <f>IFERROR(__xludf.DUMMYFUNCTION("to_date(index(sort(GOOGLEFINANCE(A10, ""high"", today()-52*7, today(), ""DAILY""),2,0),2,1))"),45842.64583333333)</f>
        <v>45842.64583</v>
      </c>
      <c r="H10" s="44">
        <f>IFERROR(__xludf.DUMMYFUNCTION("GOOGLEFINANCE(A10,""low52"")"),903.0)</f>
        <v>903</v>
      </c>
      <c r="I10" s="45">
        <f>IFERROR(__xludf.DUMMYFUNCTION("to_date(index(sort(GOOGLEFINANCE(A10, ""low"", today()-52*7, today(), ""DAILY""),2,1),1,1))"),46119.64583333333)</f>
        <v>46119.64583</v>
      </c>
      <c r="J10" s="46" t="str">
        <f t="shared" si="1"/>
        <v>Do Not Buy Today</v>
      </c>
      <c r="K10" s="37" t="s">
        <v>30</v>
      </c>
    </row>
    <row r="11">
      <c r="A11" s="58" t="s">
        <v>114</v>
      </c>
      <c r="B11" s="59">
        <f>IFERROR(__xludf.DUMMYFUNCTION("GOOGLEFINANCE(A11,""price"")"),242.05)</f>
        <v>242.05</v>
      </c>
      <c r="C11" s="60">
        <f>IFERROR(__xludf.DUMMYFUNCTION("GOOGLEFINANCE(A11,""closeyest"")"),240.67)</f>
        <v>240.67</v>
      </c>
      <c r="D11" s="61">
        <f>IFERROR(__xludf.DUMMYFUNCTION("MIN(index(GOOGLEFINANCE(A11,""ALL"",TODAY()-180,TODAY()),0,5))*1.2"),268.91999999999996)</f>
        <v>268.92</v>
      </c>
      <c r="E11" s="62">
        <f>IFERROR(__xludf.DUMMYFUNCTION("AVERAGE(QUERY(SORT(GOOGLEFINANCE(A11,""price"",TODAY()-320,TODAY()),1,0),""select Col2 limit 100""))"),254.03530000000006)</f>
        <v>254.0353</v>
      </c>
      <c r="F11" s="44">
        <f>IFERROR(__xludf.DUMMYFUNCTION("GOOGLEFINANCE(A11,""high52"")"),338.6)</f>
        <v>338.6</v>
      </c>
      <c r="G11" s="45">
        <f>IFERROR(__xludf.DUMMYFUNCTION("to_date(index(sort(GOOGLEFINANCE(A11, ""high"", today()-52*7, today(), ""DAILY""),2,0),2,1))"),45874.64583333333)</f>
        <v>45874.64583</v>
      </c>
      <c r="H11" s="44">
        <f>IFERROR(__xludf.DUMMYFUNCTION("GOOGLEFINANCE(A11,""low52"")"),223.3)</f>
        <v>223.3</v>
      </c>
      <c r="I11" s="45">
        <f>IFERROR(__xludf.DUMMYFUNCTION("to_date(index(sort(GOOGLEFINANCE(A11, ""low"", today()-52*7, today(), ""DAILY""),2,1),1,1))"),46111.64583333333)</f>
        <v>46111.64583</v>
      </c>
      <c r="J11" s="46" t="str">
        <f t="shared" si="1"/>
        <v>Do Not Buy Today</v>
      </c>
      <c r="K11" s="47" t="s">
        <v>32</v>
      </c>
    </row>
    <row r="12">
      <c r="A12" s="58" t="s">
        <v>115</v>
      </c>
      <c r="B12" s="59">
        <f>IFERROR(__xludf.DUMMYFUNCTION("GOOGLEFINANCE(A12,""price"")"),37.93)</f>
        <v>37.93</v>
      </c>
      <c r="C12" s="60">
        <f>IFERROR(__xludf.DUMMYFUNCTION("GOOGLEFINANCE(A12,""closeyest"")"),37.58)</f>
        <v>37.58</v>
      </c>
      <c r="D12" s="61">
        <f>IFERROR(__xludf.DUMMYFUNCTION("MIN(index(GOOGLEFINANCE(A12,""ALL"",TODAY()-180,TODAY()),0,5))*1.2"),27.36)</f>
        <v>27.36</v>
      </c>
      <c r="E12" s="62">
        <f>IFERROR(__xludf.DUMMYFUNCTION("AVERAGE(QUERY(SORT(GOOGLEFINANCE(A12,""price"",TODAY()-320,TODAY()),1,0),""select Col2 limit 100""))"),32.36579999999997)</f>
        <v>32.3658</v>
      </c>
      <c r="F12" s="44">
        <f>IFERROR(__xludf.DUMMYFUNCTION("GOOGLEFINANCE(A12,""high52"")"),71.25)</f>
        <v>71.25</v>
      </c>
      <c r="G12" s="45">
        <f>IFERROR(__xludf.DUMMYFUNCTION("to_date(index(sort(GOOGLEFINANCE(A12, ""high"", today()-52*7, today(), ""DAILY""),2,0),2,1))"),45904.64583333333)</f>
        <v>45904.64583</v>
      </c>
      <c r="H12" s="44">
        <f>IFERROR(__xludf.DUMMYFUNCTION("GOOGLEFINANCE(A12,""low52"")"),22.25)</f>
        <v>22.25</v>
      </c>
      <c r="I12" s="45">
        <f>IFERROR(__xludf.DUMMYFUNCTION("to_date(index(sort(GOOGLEFINANCE(A12, ""low"", today()-52*7, today(), ""DAILY""),2,1),1,1))"),46097.64583333333)</f>
        <v>46097.64583</v>
      </c>
      <c r="J12" s="46" t="str">
        <f t="shared" si="1"/>
        <v>Do Not Buy Today</v>
      </c>
    </row>
    <row r="13">
      <c r="A13" s="58" t="s">
        <v>116</v>
      </c>
      <c r="B13" s="59">
        <f>IFERROR(__xludf.DUMMYFUNCTION("GOOGLEFINANCE(A13,""price"")"),298.45)</f>
        <v>298.45</v>
      </c>
      <c r="C13" s="60">
        <f>IFERROR(__xludf.DUMMYFUNCTION("GOOGLEFINANCE(A13,""closeyest"")"),292.55)</f>
        <v>292.55</v>
      </c>
      <c r="D13" s="61">
        <f>IFERROR(__xludf.DUMMYFUNCTION("MIN(index(GOOGLEFINANCE(A13,""ALL"",TODAY()-180,TODAY()),0,5))*1.2"),304.86)</f>
        <v>304.86</v>
      </c>
      <c r="E13" s="62">
        <f>IFERROR(__xludf.DUMMYFUNCTION("AVERAGE(QUERY(SORT(GOOGLEFINANCE(A13,""price"",TODAY()-320,TODAY()),1,0),""select Col2 limit 100""))"),291.35249999999996)</f>
        <v>291.3525</v>
      </c>
      <c r="F13" s="44">
        <f>IFERROR(__xludf.DUMMYFUNCTION("GOOGLEFINANCE(A13,""high52"")"),324.95)</f>
        <v>324.95</v>
      </c>
      <c r="G13" s="45">
        <f>IFERROR(__xludf.DUMMYFUNCTION("to_date(index(sort(GOOGLEFINANCE(A13, ""high"", today()-52*7, today(), ""DAILY""),2,0),2,1))"),46139.64583333333)</f>
        <v>46139.64583</v>
      </c>
      <c r="H13" s="44">
        <f>IFERROR(__xludf.DUMMYFUNCTION("GOOGLEFINANCE(A13,""low52"")"),250.0)</f>
        <v>250</v>
      </c>
      <c r="I13" s="45">
        <f>IFERROR(__xludf.DUMMYFUNCTION("to_date(index(sort(GOOGLEFINANCE(A13, ""low"", today()-52*7, today(), ""DAILY""),2,1),1,1))"),46055.64583333333)</f>
        <v>46055.64583</v>
      </c>
      <c r="J13" s="46" t="str">
        <f t="shared" si="1"/>
        <v>Do Not Buy Today</v>
      </c>
    </row>
    <row r="14">
      <c r="A14" s="58" t="s">
        <v>117</v>
      </c>
      <c r="B14" s="59">
        <f>IFERROR(__xludf.DUMMYFUNCTION("GOOGLEFINANCE(A14,""price"")"),264.8)</f>
        <v>264.8</v>
      </c>
      <c r="C14" s="60">
        <f>IFERROR(__xludf.DUMMYFUNCTION("GOOGLEFINANCE(A14,""closeyest"")"),253.9)</f>
        <v>253.9</v>
      </c>
      <c r="D14" s="61">
        <f>IFERROR(__xludf.DUMMYFUNCTION("MIN(index(GOOGLEFINANCE(A14,""ALL"",TODAY()-180,TODAY()),0,5))*1.2"),299.94)</f>
        <v>299.94</v>
      </c>
      <c r="E14" s="62">
        <f>IFERROR(__xludf.DUMMYFUNCTION("AVERAGE(QUERY(SORT(GOOGLEFINANCE(A14,""price"",TODAY()-320,TODAY()),1,0),""select Col2 limit 100""))"),303.73099999999994)</f>
        <v>303.731</v>
      </c>
      <c r="F14" s="44">
        <f>IFERROR(__xludf.DUMMYFUNCTION("GOOGLEFINANCE(A14,""high52"")"),474.0)</f>
        <v>474</v>
      </c>
      <c r="G14" s="45">
        <f>IFERROR(__xludf.DUMMYFUNCTION("to_date(index(sort(GOOGLEFINANCE(A14, ""high"", today()-52*7, today(), ""DAILY""),2,0),2,1))"),45919.64583333333)</f>
        <v>45919.64583</v>
      </c>
      <c r="H14" s="44">
        <f>IFERROR(__xludf.DUMMYFUNCTION("GOOGLEFINANCE(A14,""low52"")"),247.3)</f>
        <v>247.3</v>
      </c>
      <c r="I14" s="45">
        <f>IFERROR(__xludf.DUMMYFUNCTION("to_date(index(sort(GOOGLEFINANCE(A14, ""low"", today()-52*7, today(), ""DAILY""),2,1),1,1))"),46129.64583333333)</f>
        <v>46129.64583</v>
      </c>
      <c r="J14" s="46" t="str">
        <f t="shared" si="1"/>
        <v>Do Not Buy Today</v>
      </c>
    </row>
    <row r="15">
      <c r="A15" s="58" t="s">
        <v>118</v>
      </c>
      <c r="B15" s="59">
        <f>IFERROR(__xludf.DUMMYFUNCTION("GOOGLEFINANCE(A15,""price"")"),293.9)</f>
        <v>293.9</v>
      </c>
      <c r="C15" s="60">
        <f>IFERROR(__xludf.DUMMYFUNCTION("GOOGLEFINANCE(A15,""closeyest"")"),301.65)</f>
        <v>301.65</v>
      </c>
      <c r="D15" s="61">
        <f>IFERROR(__xludf.DUMMYFUNCTION("MIN(index(GOOGLEFINANCE(A15,""ALL"",TODAY()-180,TODAY()),0,5))*1.2"),345.23999999999995)</f>
        <v>345.24</v>
      </c>
      <c r="E15" s="62">
        <f>IFERROR(__xludf.DUMMYFUNCTION("AVERAGE(QUERY(SORT(GOOGLEFINANCE(A15,""price"",TODAY()-320,TODAY()),1,0),""select Col2 limit 100""))"),319.2215000000001)</f>
        <v>319.2215</v>
      </c>
      <c r="F15" s="44">
        <f>IFERROR(__xludf.DUMMYFUNCTION("GOOGLEFINANCE(A15,""high52"")"),444.2)</f>
        <v>444.2</v>
      </c>
      <c r="G15" s="45">
        <f>IFERROR(__xludf.DUMMYFUNCTION("to_date(index(sort(GOOGLEFINANCE(A15, ""high"", today()-52*7, today(), ""DAILY""),2,0),2,1))"),45818.64583333333)</f>
        <v>45818.64583</v>
      </c>
      <c r="H15" s="44">
        <f>IFERROR(__xludf.DUMMYFUNCTION("GOOGLEFINANCE(A15,""low52"")"),287.0)</f>
        <v>287</v>
      </c>
      <c r="I15" s="45">
        <f>IFERROR(__xludf.DUMMYFUNCTION("to_date(index(sort(GOOGLEFINANCE(A15, ""low"", today()-52*7, today(), ""DAILY""),2,1),1,1))"),46111.64583333333)</f>
        <v>46111.64583</v>
      </c>
      <c r="J15" s="46" t="str">
        <f t="shared" si="1"/>
        <v>Do Not Buy Today</v>
      </c>
    </row>
    <row r="16">
      <c r="A16" s="58" t="s">
        <v>119</v>
      </c>
      <c r="B16" s="59">
        <f>IFERROR(__xludf.DUMMYFUNCTION("GOOGLEFINANCE(A16,""price"")"),1878.2)</f>
        <v>1878.2</v>
      </c>
      <c r="C16" s="60">
        <f>IFERROR(__xludf.DUMMYFUNCTION("GOOGLEFINANCE(A16,""closeyest"")"),1883.2)</f>
        <v>1883.2</v>
      </c>
      <c r="D16" s="61">
        <f>IFERROR(__xludf.DUMMYFUNCTION("MIN(index(GOOGLEFINANCE(A16,""ALL"",TODAY()-180,TODAY()),0,5))*1.2"),2122.68)</f>
        <v>2122.68</v>
      </c>
      <c r="E16" s="62">
        <f>IFERROR(__xludf.DUMMYFUNCTION("AVERAGE(QUERY(SORT(GOOGLEFINANCE(A16,""price"",TODAY()-320,TODAY()),1,0),""select Col2 limit 100""))"),1953.5409999999997)</f>
        <v>1953.541</v>
      </c>
      <c r="F16" s="44">
        <f>IFERROR(__xludf.DUMMYFUNCTION("GOOGLEFINANCE(A16,""high52"")"),2132.0)</f>
        <v>2132</v>
      </c>
      <c r="G16" s="45">
        <f>IFERROR(__xludf.DUMMYFUNCTION("to_date(index(sort(GOOGLEFINANCE(A16, ""high"", today()-52*7, today(), ""DAILY""),2,0),2,1))"),46076.64583333333)</f>
        <v>46076.64583</v>
      </c>
      <c r="H16" s="44">
        <f>IFERROR(__xludf.DUMMYFUNCTION("GOOGLEFINANCE(A16,""low52"")"),1720.0)</f>
        <v>1720</v>
      </c>
      <c r="I16" s="45">
        <f>IFERROR(__xludf.DUMMYFUNCTION("to_date(index(sort(GOOGLEFINANCE(A16, ""low"", today()-52*7, today(), ""DAILY""),2,1),1,1))"),45821.64583333333)</f>
        <v>45821.64583</v>
      </c>
      <c r="J16" s="46" t="str">
        <f t="shared" si="1"/>
        <v>Do Not Buy Today</v>
      </c>
    </row>
    <row r="17">
      <c r="A17" s="58" t="s">
        <v>120</v>
      </c>
      <c r="B17" s="59">
        <f>IFERROR(__xludf.DUMMYFUNCTION("GOOGLEFINANCE(A17,""price"")"),3578.6)</f>
        <v>3578.6</v>
      </c>
      <c r="C17" s="60">
        <f>IFERROR(__xludf.DUMMYFUNCTION("GOOGLEFINANCE(A17,""closeyest"")"),3570.9)</f>
        <v>3570.9</v>
      </c>
      <c r="D17" s="61">
        <f>IFERROR(__xludf.DUMMYFUNCTION("MIN(index(GOOGLEFINANCE(A17,""ALL"",TODAY()-180,TODAY()),0,5))*1.2"),3865.3199999999997)</f>
        <v>3865.32</v>
      </c>
      <c r="E17" s="62">
        <f>IFERROR(__xludf.DUMMYFUNCTION("AVERAGE(QUERY(SORT(GOOGLEFINANCE(A17,""price"",TODAY()-320,TODAY()),1,0),""select Col2 limit 100""))"),3685.096000000001)</f>
        <v>3685.096</v>
      </c>
      <c r="F17" s="44">
        <f>IFERROR(__xludf.DUMMYFUNCTION("GOOGLEFINANCE(A17,""high52"")"),4739.0)</f>
        <v>4739</v>
      </c>
      <c r="G17" s="45">
        <f>IFERROR(__xludf.DUMMYFUNCTION("to_date(index(sort(GOOGLEFINANCE(A17, ""high"", today()-52*7, today(), ""DAILY""),2,0),2,1))"),45825.64583333333)</f>
        <v>45825.64583</v>
      </c>
      <c r="H17" s="44">
        <f>IFERROR(__xludf.DUMMYFUNCTION("GOOGLEFINANCE(A17,""low52"")"),3182.0)</f>
        <v>3182</v>
      </c>
      <c r="I17" s="45">
        <f>IFERROR(__xludf.DUMMYFUNCTION("to_date(index(sort(GOOGLEFINANCE(A17, ""low"", today()-52*7, today(), ""DAILY""),2,1),1,1))"),46002.64583333333)</f>
        <v>46002.64583</v>
      </c>
      <c r="J17" s="46" t="str">
        <f t="shared" si="1"/>
        <v>Do Not Buy Today</v>
      </c>
    </row>
    <row r="18">
      <c r="A18" s="58" t="s">
        <v>121</v>
      </c>
      <c r="B18" s="59">
        <f>IFERROR(__xludf.DUMMYFUNCTION("GOOGLEFINANCE(A18,""price"")"),1438.1)</f>
        <v>1438.1</v>
      </c>
      <c r="C18" s="60">
        <f>IFERROR(__xludf.DUMMYFUNCTION("GOOGLEFINANCE(A18,""closeyest"")"),1428.6)</f>
        <v>1428.6</v>
      </c>
      <c r="D18" s="61">
        <f>IFERROR(__xludf.DUMMYFUNCTION("MIN(index(GOOGLEFINANCE(A18,""ALL"",TODAY()-180,TODAY()),0,5))*1.2"),1400.1599999999999)</f>
        <v>1400.16</v>
      </c>
      <c r="E18" s="62">
        <f>IFERROR(__xludf.DUMMYFUNCTION("AVERAGE(QUERY(SORT(GOOGLEFINANCE(A18,""price"",TODAY()-320,TODAY()),1,0),""select Col2 limit 100""))"),1311.5970000000002)</f>
        <v>1311.597</v>
      </c>
      <c r="F18" s="44">
        <f>IFERROR(__xludf.DUMMYFUNCTION("GOOGLEFINANCE(A18,""high52"")"),1498.1)</f>
        <v>1498.1</v>
      </c>
      <c r="G18" s="45">
        <f>IFERROR(__xludf.DUMMYFUNCTION("to_date(index(sort(GOOGLEFINANCE(A18, ""high"", today()-52*7, today(), ""DAILY""),2,0),2,1))"),46153.64583333333)</f>
        <v>46153.64583</v>
      </c>
      <c r="H18" s="44">
        <f>IFERROR(__xludf.DUMMYFUNCTION("GOOGLEFINANCE(A18,""low52"")"),1084.7)</f>
        <v>1084.7</v>
      </c>
      <c r="I18" s="45">
        <f>IFERROR(__xludf.DUMMYFUNCTION("to_date(index(sort(GOOGLEFINANCE(A18, ""low"", today()-52*7, today(), ""DAILY""),2,1),1,1))"),45883.64583333333)</f>
        <v>45883.64583</v>
      </c>
      <c r="J18" s="46" t="str">
        <f t="shared" si="1"/>
        <v>Do Not Buy Today</v>
      </c>
    </row>
    <row r="19">
      <c r="A19" s="58" t="s">
        <v>122</v>
      </c>
      <c r="B19" s="59">
        <f>IFERROR(__xludf.DUMMYFUNCTION("GOOGLEFINANCE(A19,""price"")"),486.3)</f>
        <v>486.3</v>
      </c>
      <c r="C19" s="60">
        <f>IFERROR(__xludf.DUMMYFUNCTION("GOOGLEFINANCE(A19,""closeyest"")"),492.1)</f>
        <v>492.1</v>
      </c>
      <c r="D19" s="61">
        <f>IFERROR(__xludf.DUMMYFUNCTION("MIN(index(GOOGLEFINANCE(A19,""ALL"",TODAY()-180,TODAY()),0,5))*1.2"),477.78)</f>
        <v>477.78</v>
      </c>
      <c r="E19" s="62">
        <f>IFERROR(__xludf.DUMMYFUNCTION("AVERAGE(QUERY(SORT(GOOGLEFINANCE(A19,""price"",TODAY()-320,TODAY()),1,0),""select Col2 limit 100""))"),469.03400000000016)</f>
        <v>469.034</v>
      </c>
      <c r="F19" s="44">
        <f>IFERROR(__xludf.DUMMYFUNCTION("GOOGLEFINANCE(A19,""high52"")"),531.0)</f>
        <v>531</v>
      </c>
      <c r="G19" s="45">
        <f>IFERROR(__xludf.DUMMYFUNCTION("to_date(index(sort(GOOGLEFINANCE(A19, ""high"", today()-52*7, today(), ""DAILY""),2,0),2,1))"),46156.64583333333)</f>
        <v>46156.64583</v>
      </c>
      <c r="H19" s="44">
        <f>IFERROR(__xludf.DUMMYFUNCTION("GOOGLEFINANCE(A19,""low52"")"),384.6)</f>
        <v>384.6</v>
      </c>
      <c r="I19" s="45">
        <f>IFERROR(__xludf.DUMMYFUNCTION("to_date(index(sort(GOOGLEFINANCE(A19, ""low"", today()-52*7, today(), ""DAILY""),2,1),1,1))"),45898.64583333333)</f>
        <v>45898.64583</v>
      </c>
      <c r="J19" s="46" t="str">
        <f t="shared" si="1"/>
        <v>Do Not Buy Today</v>
      </c>
    </row>
    <row r="20">
      <c r="A20" s="58" t="s">
        <v>123</v>
      </c>
      <c r="B20" s="59">
        <f>IFERROR(__xludf.DUMMYFUNCTION("GOOGLEFINANCE(A20,""price"")"),3160.0)</f>
        <v>3160</v>
      </c>
      <c r="C20" s="60">
        <f>IFERROR(__xludf.DUMMYFUNCTION("GOOGLEFINANCE(A20,""closeyest"")"),3039.1)</f>
        <v>3039.1</v>
      </c>
      <c r="D20" s="61">
        <f>IFERROR(__xludf.DUMMYFUNCTION("MIN(index(GOOGLEFINANCE(A20,""ALL"",TODAY()-180,TODAY()),0,5))*1.2"),2627.1600000000003)</f>
        <v>2627.16</v>
      </c>
      <c r="E20" s="62">
        <f>IFERROR(__xludf.DUMMYFUNCTION("AVERAGE(QUERY(SORT(GOOGLEFINANCE(A20,""price"",TODAY()-320,TODAY()),1,0),""select Col2 limit 100""))"),2639.132)</f>
        <v>2639.132</v>
      </c>
      <c r="F20" s="44">
        <f>IFERROR(__xludf.DUMMYFUNCTION("GOOGLEFINANCE(A20,""high52"")"),3419.9)</f>
        <v>3419.9</v>
      </c>
      <c r="G20" s="45">
        <f>IFERROR(__xludf.DUMMYFUNCTION("to_date(index(sort(GOOGLEFINANCE(A20, ""high"", today()-52*7, today(), ""DAILY""),2,0),2,1))"),45916.64583333333)</f>
        <v>45916.64583</v>
      </c>
      <c r="H20" s="44">
        <f>IFERROR(__xludf.DUMMYFUNCTION("GOOGLEFINANCE(A20,""low52"")"),2164.9)</f>
        <v>2164.9</v>
      </c>
      <c r="I20" s="45">
        <f>IFERROR(__xludf.DUMMYFUNCTION("to_date(index(sort(GOOGLEFINANCE(A20, ""low"", today()-52*7, today(), ""DAILY""),2,1),1,1))"),46049.64583333333)</f>
        <v>46049.64583</v>
      </c>
      <c r="J20" s="46" t="str">
        <f t="shared" si="1"/>
        <v>Do Not Buy Today</v>
      </c>
    </row>
    <row r="21">
      <c r="A21" s="58" t="s">
        <v>124</v>
      </c>
      <c r="B21" s="59">
        <f>IFERROR(__xludf.DUMMYFUNCTION("GOOGLEFINANCE(A21,""price"")"),2985.1)</f>
        <v>2985.1</v>
      </c>
      <c r="C21" s="60">
        <f>IFERROR(__xludf.DUMMYFUNCTION("GOOGLEFINANCE(A21,""closeyest"")"),2969.3)</f>
        <v>2969.3</v>
      </c>
      <c r="D21" s="61">
        <f>IFERROR(__xludf.DUMMYFUNCTION("MIN(index(GOOGLEFINANCE(A21,""ALL"",TODAY()-180,TODAY()),0,5))*1.2"),2110.56)</f>
        <v>2110.56</v>
      </c>
      <c r="E21" s="62">
        <f>IFERROR(__xludf.DUMMYFUNCTION("AVERAGE(QUERY(SORT(GOOGLEFINANCE(A21,""price"",TODAY()-320,TODAY()),1,0),""select Col2 limit 100""))"),2204.158000000001)</f>
        <v>2204.158</v>
      </c>
      <c r="F21" s="44">
        <f>IFERROR(__xludf.DUMMYFUNCTION("GOOGLEFINANCE(A21,""high52"")"),3027.5)</f>
        <v>3027.5</v>
      </c>
      <c r="G21" s="45">
        <f>IFERROR(__xludf.DUMMYFUNCTION("to_date(index(sort(GOOGLEFINANCE(A21, ""high"", today()-52*7, today(), ""DAILY""),2,0),2,1))"),46168.64583333333)</f>
        <v>46168.64583</v>
      </c>
      <c r="H21" s="44">
        <f>IFERROR(__xludf.DUMMYFUNCTION("GOOGLEFINANCE(A21,""low52"")"),1753.0)</f>
        <v>1753</v>
      </c>
      <c r="I21" s="45">
        <f>IFERROR(__xludf.DUMMYFUNCTION("to_date(index(sort(GOOGLEFINANCE(A21, ""low"", today()-52*7, today(), ""DAILY""),2,1),1,1))"),46111.64583333333)</f>
        <v>46111.64583</v>
      </c>
      <c r="J21" s="46" t="str">
        <f t="shared" si="1"/>
        <v>Do Not Buy Today</v>
      </c>
    </row>
    <row r="22">
      <c r="A22" s="58" t="s">
        <v>125</v>
      </c>
      <c r="B22" s="59">
        <f>IFERROR(__xludf.DUMMYFUNCTION("GOOGLEFINANCE(A22,""price"")"),18543.0)</f>
        <v>18543</v>
      </c>
      <c r="C22" s="60">
        <f>IFERROR(__xludf.DUMMYFUNCTION("GOOGLEFINANCE(A22,""closeyest"")"),18479.0)</f>
        <v>18479</v>
      </c>
      <c r="D22" s="61">
        <f>IFERROR(__xludf.DUMMYFUNCTION("MIN(index(GOOGLEFINANCE(A22,""ALL"",TODAY()-180,TODAY()),0,5))*1.2"),14126.4)</f>
        <v>14126.4</v>
      </c>
      <c r="E22" s="62">
        <f>IFERROR(__xludf.DUMMYFUNCTION("AVERAGE(QUERY(SORT(GOOGLEFINANCE(A22,""price"",TODAY()-320,TODAY()),1,0),""select Col2 limit 100""))"),14163.17)</f>
        <v>14163.17</v>
      </c>
      <c r="F22" s="44">
        <f>IFERROR(__xludf.DUMMYFUNCTION("GOOGLEFINANCE(A22,""high52"")"),18699.0)</f>
        <v>18699</v>
      </c>
      <c r="G22" s="45">
        <f>IFERROR(__xludf.DUMMYFUNCTION("to_date(index(sort(GOOGLEFINANCE(A22, ""high"", today()-52*7, today(), ""DAILY""),2,0),2,1))"),46163.64583333333)</f>
        <v>46163.64583</v>
      </c>
      <c r="H22" s="44">
        <f>IFERROR(__xludf.DUMMYFUNCTION("GOOGLEFINANCE(A22,""low52"")"),11646.0)</f>
        <v>11646</v>
      </c>
      <c r="I22" s="45">
        <f>IFERROR(__xludf.DUMMYFUNCTION("to_date(index(sort(GOOGLEFINANCE(A22, ""low"", today()-52*7, today(), ""DAILY""),2,1),1,1))"),46009.64583333333)</f>
        <v>46009.64583</v>
      </c>
      <c r="J22" s="46" t="str">
        <f t="shared" si="1"/>
        <v>Do Not Buy Today</v>
      </c>
    </row>
    <row r="23">
      <c r="A23" s="58" t="s">
        <v>126</v>
      </c>
      <c r="B23" s="59">
        <f>IFERROR(__xludf.DUMMYFUNCTION("GOOGLEFINANCE(A23,""price"")"),1808.4)</f>
        <v>1808.4</v>
      </c>
      <c r="C23" s="60">
        <f>IFERROR(__xludf.DUMMYFUNCTION("GOOGLEFINANCE(A23,""closeyest"")"),1800.7)</f>
        <v>1800.7</v>
      </c>
      <c r="D23" s="61">
        <f>IFERROR(__xludf.DUMMYFUNCTION("MIN(index(GOOGLEFINANCE(A23,""ALL"",TODAY()-180,TODAY()),0,5))*1.2"),1958.1599999999999)</f>
        <v>1958.16</v>
      </c>
      <c r="E23" s="62">
        <f>IFERROR(__xludf.DUMMYFUNCTION("AVERAGE(QUERY(SORT(GOOGLEFINANCE(A23,""price"",TODAY()-320,TODAY()),1,0),""select Col2 limit 100""))"),1879.5400000000002)</f>
        <v>1879.54</v>
      </c>
      <c r="F23" s="44">
        <f>IFERROR(__xludf.DUMMYFUNCTION("GOOGLEFINANCE(A23,""high52"")"),2195.0)</f>
        <v>2195</v>
      </c>
      <c r="G23" s="45">
        <f>IFERROR(__xludf.DUMMYFUNCTION("to_date(index(sort(GOOGLEFINANCE(A23, ""high"", today()-52*7, today(), ""DAILY""),2,0),2,1))"),45953.64583333333)</f>
        <v>45953.64583</v>
      </c>
      <c r="H23" s="44">
        <f>IFERROR(__xludf.DUMMYFUNCTION("GOOGLEFINANCE(A23,""low52"")"),1597.0)</f>
        <v>1597</v>
      </c>
      <c r="I23" s="45">
        <f>IFERROR(__xludf.DUMMYFUNCTION("to_date(index(sort(GOOGLEFINANCE(A23, ""low"", today()-52*7, today(), ""DAILY""),2,1),1,1))"),46114.64583333333)</f>
        <v>46114.64583</v>
      </c>
      <c r="J23" s="46" t="str">
        <f t="shared" si="1"/>
        <v>Do Not Buy Today</v>
      </c>
    </row>
    <row r="24">
      <c r="A24" s="58" t="s">
        <v>127</v>
      </c>
      <c r="B24" s="59">
        <f>IFERROR(__xludf.DUMMYFUNCTION("GOOGLEFINANCE(A24,""price"")"),1139.5)</f>
        <v>1139.5</v>
      </c>
      <c r="C24" s="60">
        <f>IFERROR(__xludf.DUMMYFUNCTION("GOOGLEFINANCE(A24,""closeyest"")"),1131.6)</f>
        <v>1131.6</v>
      </c>
      <c r="D24" s="61">
        <f>IFERROR(__xludf.DUMMYFUNCTION("MIN(index(GOOGLEFINANCE(A24,""ALL"",TODAY()-180,TODAY()),0,5))*1.2"),1150.8)</f>
        <v>1150.8</v>
      </c>
      <c r="E24" s="62">
        <f>IFERROR(__xludf.DUMMYFUNCTION("AVERAGE(QUERY(SORT(GOOGLEFINANCE(A24,""price"",TODAY()-320,TODAY()),1,0),""select Col2 limit 100""))"),1148.1615000000004)</f>
        <v>1148.1615</v>
      </c>
      <c r="F24" s="44">
        <f>IFERROR(__xludf.DUMMYFUNCTION("GOOGLEFINANCE(A24,""high52"")"),1381.8)</f>
        <v>1381.8</v>
      </c>
      <c r="G24" s="45">
        <f>IFERROR(__xludf.DUMMYFUNCTION("to_date(index(sort(GOOGLEFINANCE(A24, ""high"", today()-52*7, today(), ""DAILY""),2,0),2,1))"),45993.64583333333)</f>
        <v>45993.64583</v>
      </c>
      <c r="H24" s="44">
        <f>IFERROR(__xludf.DUMMYFUNCTION("GOOGLEFINANCE(A24,""low52"")"),849.2)</f>
        <v>849.2</v>
      </c>
      <c r="I24" s="45">
        <f>IFERROR(__xludf.DUMMYFUNCTION("to_date(index(sort(GOOGLEFINANCE(A24, ""low"", today()-52*7, today(), ""DAILY""),2,1),1,1))"),45805.64583333333)</f>
        <v>45805.64583</v>
      </c>
      <c r="J24" s="46" t="str">
        <f t="shared" si="1"/>
        <v>Do Not Buy Today</v>
      </c>
    </row>
    <row r="25">
      <c r="A25" s="58" t="s">
        <v>128</v>
      </c>
      <c r="B25" s="59">
        <f>IFERROR(__xludf.DUMMYFUNCTION("GOOGLEFINANCE(A25,""price"")"),55.24)</f>
        <v>55.24</v>
      </c>
      <c r="C25" s="60">
        <f>IFERROR(__xludf.DUMMYFUNCTION("GOOGLEFINANCE(A25,""closeyest"")"),54.58)</f>
        <v>54.58</v>
      </c>
      <c r="D25" s="61">
        <f>IFERROR(__xludf.DUMMYFUNCTION("MIN(index(GOOGLEFINANCE(A25,""ALL"",TODAY()-180,TODAY()),0,5))*1.2"),47.472)</f>
        <v>47.472</v>
      </c>
      <c r="E25" s="62">
        <f>IFERROR(__xludf.DUMMYFUNCTION("AVERAGE(QUERY(SORT(GOOGLEFINANCE(A25,""price"",TODAY()-320,TODAY()),1,0),""select Col2 limit 100""))"),48.01559999999998)</f>
        <v>48.0156</v>
      </c>
      <c r="F25" s="44">
        <f>IFERROR(__xludf.DUMMYFUNCTION("GOOGLEFINANCE(A25,""high52"")"),74.3)</f>
        <v>74.3</v>
      </c>
      <c r="G25" s="45">
        <f>IFERROR(__xludf.DUMMYFUNCTION("to_date(index(sort(GOOGLEFINANCE(A25, ""high"", today()-52*7, today(), ""DAILY""),2,0),2,1))"),45807.64583333333)</f>
        <v>45807.64583</v>
      </c>
      <c r="H25" s="44">
        <f>IFERROR(__xludf.DUMMYFUNCTION("GOOGLEFINANCE(A25,""low52"")"),38.19)</f>
        <v>38.19</v>
      </c>
      <c r="I25" s="45">
        <f>IFERROR(__xludf.DUMMYFUNCTION("to_date(index(sort(GOOGLEFINANCE(A25, ""low"", today()-52*7, today(), ""DAILY""),2,1),1,1))"),46090.64583333333)</f>
        <v>46090.64583</v>
      </c>
      <c r="J25" s="46" t="str">
        <f t="shared" si="1"/>
        <v>Do Not Buy Today</v>
      </c>
    </row>
    <row r="26">
      <c r="A26" s="58" t="s">
        <v>129</v>
      </c>
      <c r="B26" s="59">
        <f>IFERROR(__xludf.DUMMYFUNCTION("GOOGLEFINANCE(A26,""price"")"),305.1)</f>
        <v>305.1</v>
      </c>
      <c r="C26" s="60">
        <f>IFERROR(__xludf.DUMMYFUNCTION("GOOGLEFINANCE(A26,""closeyest"")"),304.6)</f>
        <v>304.6</v>
      </c>
      <c r="D26" s="61">
        <f>IFERROR(__xludf.DUMMYFUNCTION("MIN(index(GOOGLEFINANCE(A26,""ALL"",TODAY()-180,TODAY()),0,5))*1.2"),325.56)</f>
        <v>325.56</v>
      </c>
      <c r="E26" s="62">
        <f>IFERROR(__xludf.DUMMYFUNCTION("AVERAGE(QUERY(SORT(GOOGLEFINANCE(A26,""price"",TODAY()-320,TODAY()),1,0),""select Col2 limit 100""))"),333.3525000000001)</f>
        <v>333.3525</v>
      </c>
      <c r="F26" s="44">
        <f>IFERROR(__xludf.DUMMYFUNCTION("GOOGLEFINANCE(A26,""high52"")"),391.65)</f>
        <v>391.65</v>
      </c>
      <c r="G26" s="45">
        <f>IFERROR(__xludf.DUMMYFUNCTION("to_date(index(sort(GOOGLEFINANCE(A26, ""high"", today()-52*7, today(), ""DAILY""),2,0),2,1))"),46058.64583333333)</f>
        <v>46058.64583</v>
      </c>
      <c r="H26" s="44">
        <f>IFERROR(__xludf.DUMMYFUNCTION("GOOGLEFINANCE(A26,""low52"")"),266.6)</f>
        <v>266.6</v>
      </c>
      <c r="I26" s="45">
        <f>IFERROR(__xludf.DUMMYFUNCTION("to_date(index(sort(GOOGLEFINANCE(A26, ""low"", today()-52*7, today(), ""DAILY""),2,1),1,1))"),46114.64583333333)</f>
        <v>46114.64583</v>
      </c>
      <c r="J26" s="46" t="str">
        <f t="shared" si="1"/>
        <v>Do Not Buy Today</v>
      </c>
    </row>
    <row r="27">
      <c r="A27" s="58" t="s">
        <v>130</v>
      </c>
      <c r="B27" s="59">
        <f>IFERROR(__xludf.DUMMYFUNCTION("GOOGLEFINANCE(A27,""price"")"),92.4)</f>
        <v>92.4</v>
      </c>
      <c r="C27" s="60">
        <f>IFERROR(__xludf.DUMMYFUNCTION("GOOGLEFINANCE(A27,""closeyest"")"),90.67)</f>
        <v>90.67</v>
      </c>
      <c r="D27" s="61">
        <f>IFERROR(__xludf.DUMMYFUNCTION("MIN(index(GOOGLEFINANCE(A27,""ALL"",TODAY()-180,TODAY()),0,5))*1.2"),88.704)</f>
        <v>88.704</v>
      </c>
      <c r="E27" s="62">
        <f>IFERROR(__xludf.DUMMYFUNCTION("AVERAGE(QUERY(SORT(GOOGLEFINANCE(A27,""price"",TODAY()-320,TODAY()),1,0),""select Col2 limit 100""))"),83.4449)</f>
        <v>83.4449</v>
      </c>
      <c r="F27" s="44">
        <f>IFERROR(__xludf.DUMMYFUNCTION("GOOGLEFINANCE(A27,""high52"")"),94.25)</f>
        <v>94.25</v>
      </c>
      <c r="G27" s="45">
        <f>IFERROR(__xludf.DUMMYFUNCTION("to_date(index(sort(GOOGLEFINANCE(A27, ""high"", today()-52*7, today(), ""DAILY""),2,0),2,1))"),46157.64583333333)</f>
        <v>46157.64583</v>
      </c>
      <c r="H27" s="44">
        <f>IFERROR(__xludf.DUMMYFUNCTION("GOOGLEFINANCE(A27,""low52"")"),66.8)</f>
        <v>66.8</v>
      </c>
      <c r="I27" s="45">
        <f>IFERROR(__xludf.DUMMYFUNCTION("to_date(index(sort(GOOGLEFINANCE(A27, ""low"", today()-52*7, today(), ""DAILY""),2,1),1,1))"),45827.64583333333)</f>
        <v>45827.64583</v>
      </c>
      <c r="J27" s="46" t="str">
        <f t="shared" si="1"/>
        <v>Do Not Buy Today</v>
      </c>
    </row>
    <row r="28">
      <c r="A28" s="58" t="s">
        <v>131</v>
      </c>
      <c r="B28" s="59">
        <f>IFERROR(__xludf.DUMMYFUNCTION("GOOGLEFINANCE(A28,""price"")"),121.9)</f>
        <v>121.9</v>
      </c>
      <c r="C28" s="60">
        <f>IFERROR(__xludf.DUMMYFUNCTION("GOOGLEFINANCE(A28,""closeyest"")"),121.08)</f>
        <v>121.08</v>
      </c>
      <c r="D28" s="61">
        <f>IFERROR(__xludf.DUMMYFUNCTION("MIN(index(GOOGLEFINANCE(A28,""ALL"",TODAY()-180,TODAY()),0,5))*1.2"),119.616)</f>
        <v>119.616</v>
      </c>
      <c r="E28" s="62">
        <f>IFERROR(__xludf.DUMMYFUNCTION("AVERAGE(QUERY(SORT(GOOGLEFINANCE(A28,""price"",TODAY()-320,TODAY()),1,0),""select Col2 limit 100""))"),120.15520000000002)</f>
        <v>120.1552</v>
      </c>
      <c r="F28" s="44">
        <f>IFERROR(__xludf.DUMMYFUNCTION("GOOGLEFINANCE(A28,""high52"")"),157.6)</f>
        <v>157.6</v>
      </c>
      <c r="G28" s="45">
        <f>IFERROR(__xludf.DUMMYFUNCTION("to_date(index(sort(GOOGLEFINANCE(A28, ""high"", today()-52*7, today(), ""DAILY""),2,0),2,1))"),45895.64583333333)</f>
        <v>45895.64583</v>
      </c>
      <c r="H28" s="44">
        <f>IFERROR(__xludf.DUMMYFUNCTION("GOOGLEFINANCE(A28,""low52"")"),98.77)</f>
        <v>98.77</v>
      </c>
      <c r="I28" s="45">
        <f>IFERROR(__xludf.DUMMYFUNCTION("to_date(index(sort(GOOGLEFINANCE(A28, ""low"", today()-52*7, today(), ""DAILY""),2,1),1,1))"),46129.64583333333)</f>
        <v>46129.64583</v>
      </c>
      <c r="J28" s="46" t="str">
        <f t="shared" si="1"/>
        <v>Do Not Buy Today</v>
      </c>
    </row>
    <row r="29">
      <c r="A29" s="58" t="s">
        <v>132</v>
      </c>
      <c r="B29" s="59">
        <f>IFERROR(__xludf.DUMMYFUNCTION("GOOGLEFINANCE(A29,""price"")"),839.3)</f>
        <v>839.3</v>
      </c>
      <c r="C29" s="60">
        <f>IFERROR(__xludf.DUMMYFUNCTION("GOOGLEFINANCE(A29,""closeyest"")"),854.9)</f>
        <v>854.9</v>
      </c>
      <c r="D29" s="61">
        <f>IFERROR(__xludf.DUMMYFUNCTION("MIN(index(GOOGLEFINANCE(A29,""ALL"",TODAY()-180,TODAY()),0,5))*1.2"),870.78)</f>
        <v>870.78</v>
      </c>
      <c r="E29" s="62">
        <f>IFERROR(__xludf.DUMMYFUNCTION("AVERAGE(QUERY(SORT(GOOGLEFINANCE(A29,""price"",TODAY()-320,TODAY()),1,0),""select Col2 limit 100""))"),820.0325)</f>
        <v>820.0325</v>
      </c>
      <c r="F29" s="44">
        <f>IFERROR(__xludf.DUMMYFUNCTION("GOOGLEFINANCE(A29,""high52"")"),980.0)</f>
        <v>980</v>
      </c>
      <c r="G29" s="45">
        <f>IFERROR(__xludf.DUMMYFUNCTION("to_date(index(sort(GOOGLEFINANCE(A29, ""high"", today()-52*7, today(), ""DAILY""),2,0),2,1))"),45838.64583333333)</f>
        <v>45838.64583</v>
      </c>
      <c r="H29" s="44">
        <f>IFERROR(__xludf.DUMMYFUNCTION("GOOGLEFINANCE(A29,""low52"")"),721.5)</f>
        <v>721.5</v>
      </c>
      <c r="I29" s="45">
        <f>IFERROR(__xludf.DUMMYFUNCTION("to_date(index(sort(GOOGLEFINANCE(A29, ""low"", today()-52*7, today(), ""DAILY""),2,1),1,1))"),46114.64583333333)</f>
        <v>46114.64583</v>
      </c>
      <c r="J29" s="46" t="str">
        <f t="shared" si="1"/>
        <v>Do Not Buy Today</v>
      </c>
    </row>
    <row r="30">
      <c r="A30" s="58" t="s">
        <v>133</v>
      </c>
      <c r="B30" s="59">
        <f>IFERROR(__xludf.DUMMYFUNCTION("GOOGLEFINANCE(A30,""price"")"),1311.9)</f>
        <v>1311.9</v>
      </c>
      <c r="C30" s="60">
        <f>IFERROR(__xludf.DUMMYFUNCTION("GOOGLEFINANCE(A30,""closeyest"")"),1299.3)</f>
        <v>1299.3</v>
      </c>
      <c r="D30" s="61">
        <f>IFERROR(__xludf.DUMMYFUNCTION("MIN(index(GOOGLEFINANCE(A30,""ALL"",TODAY()-180,TODAY()),0,5))*1.2"),1393.56)</f>
        <v>1393.56</v>
      </c>
      <c r="E30" s="62">
        <f>IFERROR(__xludf.DUMMYFUNCTION("AVERAGE(QUERY(SORT(GOOGLEFINANCE(A30,""price"",TODAY()-320,TODAY()),1,0),""select Col2 limit 100""))"),1296.844)</f>
        <v>1296.844</v>
      </c>
      <c r="F30" s="44">
        <f>IFERROR(__xludf.DUMMYFUNCTION("GOOGLEFINANCE(A30,""high52"")"),1418.3)</f>
        <v>1418.3</v>
      </c>
      <c r="G30" s="45">
        <f>IFERROR(__xludf.DUMMYFUNCTION("to_date(index(sort(GOOGLEFINANCE(A30, ""high"", today()-52*7, today(), ""DAILY""),2,0),2,1))"),46056.64583333333)</f>
        <v>46056.64583</v>
      </c>
      <c r="H30" s="44">
        <f>IFERROR(__xludf.DUMMYFUNCTION("GOOGLEFINANCE(A30,""low52"")"),1042.5)</f>
        <v>1042.5</v>
      </c>
      <c r="I30" s="45">
        <f>IFERROR(__xludf.DUMMYFUNCTION("to_date(index(sort(GOOGLEFINANCE(A30, ""low"", today()-52*7, today(), ""DAILY""),2,1),1,1))"),45898.64583333333)</f>
        <v>45898.64583</v>
      </c>
      <c r="J30" s="46" t="str">
        <f t="shared" si="1"/>
        <v>Do Not Buy Today</v>
      </c>
    </row>
    <row r="31">
      <c r="A31" s="58" t="s">
        <v>134</v>
      </c>
      <c r="B31" s="59">
        <f>IFERROR(__xludf.DUMMYFUNCTION("GOOGLEFINANCE(A31,""price"")"),389.2)</f>
        <v>389.2</v>
      </c>
      <c r="C31" s="60">
        <f>IFERROR(__xludf.DUMMYFUNCTION("GOOGLEFINANCE(A31,""closeyest"")"),388.65)</f>
        <v>388.65</v>
      </c>
      <c r="D31" s="61">
        <f>IFERROR(__xludf.DUMMYFUNCTION("MIN(index(GOOGLEFINANCE(A31,""ALL"",TODAY()-180,TODAY()),0,5))*1.2"),424.08)</f>
        <v>424.08</v>
      </c>
      <c r="E31" s="62">
        <f>IFERROR(__xludf.DUMMYFUNCTION("AVERAGE(QUERY(SORT(GOOGLEFINANCE(A31,""price"",TODAY()-320,TODAY()),1,0),""select Col2 limit 100""))"),398.24849999999986)</f>
        <v>398.2485</v>
      </c>
      <c r="F31" s="44">
        <f>IFERROR(__xludf.DUMMYFUNCTION("GOOGLEFINANCE(A31,""high52"")"),453.2)</f>
        <v>453.2</v>
      </c>
      <c r="G31" s="45">
        <f>IFERROR(__xludf.DUMMYFUNCTION("to_date(index(sort(GOOGLEFINANCE(A31, ""high"", today()-52*7, today(), ""DAILY""),2,0),2,1))"),45950.64583333333)</f>
        <v>45950.64583</v>
      </c>
      <c r="H31" s="44">
        <f>IFERROR(__xludf.DUMMYFUNCTION("GOOGLEFINANCE(A31,""low52"")"),345.5)</f>
        <v>345.5</v>
      </c>
      <c r="I31" s="45">
        <f>IFERROR(__xludf.DUMMYFUNCTION("to_date(index(sort(GOOGLEFINANCE(A31, ""low"", today()-52*7, today(), ""DAILY""),2,1),1,1))"),46114.64583333333)</f>
        <v>46114.64583</v>
      </c>
      <c r="J31" s="46" t="str">
        <f t="shared" si="1"/>
        <v>Do Not Buy Today</v>
      </c>
    </row>
    <row r="32">
      <c r="A32" s="58" t="s">
        <v>135</v>
      </c>
      <c r="B32" s="59">
        <f>IFERROR(__xludf.DUMMYFUNCTION("GOOGLEFINANCE(A32,""price"")"),394.4)</f>
        <v>394.4</v>
      </c>
      <c r="C32" s="60">
        <f>IFERROR(__xludf.DUMMYFUNCTION("GOOGLEFINANCE(A32,""closeyest"")"),398.0)</f>
        <v>398</v>
      </c>
      <c r="D32" s="61">
        <f>IFERROR(__xludf.DUMMYFUNCTION("MIN(index(GOOGLEFINANCE(A32,""ALL"",TODAY()-180,TODAY()),0,5))*1.2"),382.97999999999996)</f>
        <v>382.98</v>
      </c>
      <c r="E32" s="62">
        <f>IFERROR(__xludf.DUMMYFUNCTION("AVERAGE(QUERY(SORT(GOOGLEFINANCE(A32,""price"",TODAY()-320,TODAY()),1,0),""select Col2 limit 100""))"),407.8474999999998)</f>
        <v>407.8475</v>
      </c>
      <c r="F32" s="44">
        <f>IFERROR(__xludf.DUMMYFUNCTION("GOOGLEFINANCE(A32,""high52"")"),508.45)</f>
        <v>508.45</v>
      </c>
      <c r="G32" s="45">
        <f>IFERROR(__xludf.DUMMYFUNCTION("to_date(index(sort(GOOGLEFINANCE(A32, ""high"", today()-52*7, today(), ""DAILY""),2,0),2,1))"),46027.64583333333)</f>
        <v>46027.64583</v>
      </c>
      <c r="H32" s="44">
        <f>IFERROR(__xludf.DUMMYFUNCTION("GOOGLEFINANCE(A32,""low52"")"),316.2)</f>
        <v>316.2</v>
      </c>
      <c r="I32" s="45">
        <f>IFERROR(__xludf.DUMMYFUNCTION("to_date(index(sort(GOOGLEFINANCE(A32, ""low"", today()-52*7, today(), ""DAILY""),2,1),1,1))"),46085.64583333333)</f>
        <v>46085.64583</v>
      </c>
      <c r="J32" s="46" t="str">
        <f t="shared" si="1"/>
        <v>Do Not Buy Today</v>
      </c>
    </row>
    <row r="33">
      <c r="A33" s="58" t="s">
        <v>136</v>
      </c>
      <c r="B33" s="59">
        <f>IFERROR(__xludf.DUMMYFUNCTION("GOOGLEFINANCE(A33,""price"")"),1829.2)</f>
        <v>1829.2</v>
      </c>
      <c r="C33" s="60">
        <f>IFERROR(__xludf.DUMMYFUNCTION("GOOGLEFINANCE(A33,""closeyest"")"),1811.2)</f>
        <v>1811.2</v>
      </c>
      <c r="D33" s="61">
        <f>IFERROR(__xludf.DUMMYFUNCTION("MIN(index(GOOGLEFINANCE(A33,""ALL"",TODAY()-180,TODAY()),0,5))*1.2"),1564.32)</f>
        <v>1564.32</v>
      </c>
      <c r="E33" s="62">
        <f>IFERROR(__xludf.DUMMYFUNCTION("AVERAGE(QUERY(SORT(GOOGLEFINANCE(A33,""price"",TODAY()-320,TODAY()),1,0),""select Col2 limit 100""))"),1520.6230000000003)</f>
        <v>1520.623</v>
      </c>
      <c r="F33" s="44">
        <f>IFERROR(__xludf.DUMMYFUNCTION("GOOGLEFINANCE(A33,""high52"")"),1840.0)</f>
        <v>1840</v>
      </c>
      <c r="G33" s="45">
        <f>IFERROR(__xludf.DUMMYFUNCTION("to_date(index(sort(GOOGLEFINANCE(A33, ""high"", today()-52*7, today(), ""DAILY""),2,0),2,1))"),46157.64583333333)</f>
        <v>46157.64583</v>
      </c>
      <c r="H33" s="44">
        <f>IFERROR(__xludf.DUMMYFUNCTION("GOOGLEFINANCE(A33,""low52"")"),1290.5)</f>
        <v>1290.5</v>
      </c>
      <c r="I33" s="45">
        <f>IFERROR(__xludf.DUMMYFUNCTION("to_date(index(sort(GOOGLEFINANCE(A33, ""low"", today()-52*7, today(), ""DAILY""),2,1),1,1))"),45883.64583333333)</f>
        <v>45883.64583</v>
      </c>
      <c r="J33" s="46" t="str">
        <f t="shared" si="1"/>
        <v>Do Not Buy Today</v>
      </c>
    </row>
    <row r="34">
      <c r="A34" s="58" t="s">
        <v>137</v>
      </c>
      <c r="B34" s="59">
        <f>IFERROR(__xludf.DUMMYFUNCTION("GOOGLEFINANCE(A34,""price"")"),4268.8)</f>
        <v>4268.8</v>
      </c>
      <c r="C34" s="60">
        <f>IFERROR(__xludf.DUMMYFUNCTION("GOOGLEFINANCE(A34,""closeyest"")"),4239.6)</f>
        <v>4239.6</v>
      </c>
      <c r="D34" s="61">
        <f>IFERROR(__xludf.DUMMYFUNCTION("MIN(index(GOOGLEFINANCE(A34,""ALL"",TODAY()-180,TODAY()),0,5))*1.2"),3954.96)</f>
        <v>3954.96</v>
      </c>
      <c r="E34" s="62">
        <f>IFERROR(__xludf.DUMMYFUNCTION("AVERAGE(QUERY(SORT(GOOGLEFINANCE(A34,""price"",TODAY()-320,TODAY()),1,0),""select Col2 limit 100""))"),3977.104)</f>
        <v>3977.104</v>
      </c>
      <c r="F34" s="44">
        <f>IFERROR(__xludf.DUMMYFUNCTION("GOOGLEFINANCE(A34,""high52"")"),6261.0)</f>
        <v>6261</v>
      </c>
      <c r="G34" s="45">
        <f>IFERROR(__xludf.DUMMYFUNCTION("to_date(index(sort(GOOGLEFINANCE(A34, ""high"", today()-52*7, today(), ""DAILY""),2,0),2,1))"),45838.64583333333)</f>
        <v>45838.64583</v>
      </c>
      <c r="H34" s="44">
        <f>IFERROR(__xludf.DUMMYFUNCTION("GOOGLEFINANCE(A34,""low52"")"),3275.5)</f>
        <v>3275.5</v>
      </c>
      <c r="I34" s="45">
        <f>IFERROR(__xludf.DUMMYFUNCTION("to_date(index(sort(GOOGLEFINANCE(A34, ""low"", today()-52*7, today(), ""DAILY""),2,1),1,1))"),46111.64583333333)</f>
        <v>46111.64583</v>
      </c>
      <c r="J34" s="46" t="str">
        <f t="shared" si="1"/>
        <v>Do Not Buy Today</v>
      </c>
    </row>
    <row r="35">
      <c r="A35" s="58" t="s">
        <v>138</v>
      </c>
      <c r="B35" s="59">
        <f>IFERROR(__xludf.DUMMYFUNCTION("GOOGLEFINANCE(A35,""price"")"),609.45)</f>
        <v>609.45</v>
      </c>
      <c r="C35" s="60">
        <f>IFERROR(__xludf.DUMMYFUNCTION("GOOGLEFINANCE(A35,""closeyest"")"),608.0)</f>
        <v>608</v>
      </c>
      <c r="D35" s="61">
        <f>IFERROR(__xludf.DUMMYFUNCTION("MIN(index(GOOGLEFINANCE(A35,""ALL"",TODAY()-180,TODAY()),0,5))*1.2"),533.3399999999999)</f>
        <v>533.34</v>
      </c>
      <c r="E35" s="62">
        <f>IFERROR(__xludf.DUMMYFUNCTION("AVERAGE(QUERY(SORT(GOOGLEFINANCE(A35,""price"",TODAY()-320,TODAY()),1,0),""select Col2 limit 100""))"),525.0615000000001)</f>
        <v>525.0615</v>
      </c>
      <c r="F35" s="44">
        <f>IFERROR(__xludf.DUMMYFUNCTION("GOOGLEFINANCE(A35,""high52"")"),614.0)</f>
        <v>614</v>
      </c>
      <c r="G35" s="45">
        <f>IFERROR(__xludf.DUMMYFUNCTION("to_date(index(sort(GOOGLEFINANCE(A35, ""high"", today()-52*7, today(), ""DAILY""),2,0),2,1))"),46146.64583333333)</f>
        <v>46146.64583</v>
      </c>
      <c r="H35" s="44">
        <f>IFERROR(__xludf.DUMMYFUNCTION("GOOGLEFINANCE(A35,""low52"")"),402.3)</f>
        <v>402.3</v>
      </c>
      <c r="I35" s="45">
        <f>IFERROR(__xludf.DUMMYFUNCTION("to_date(index(sort(GOOGLEFINANCE(A35, ""low"", today()-52*7, today(), ""DAILY""),2,1),1,1))"),45929.64583333333)</f>
        <v>45929.64583</v>
      </c>
      <c r="J35" s="46" t="str">
        <f t="shared" si="1"/>
        <v>Do Not Buy Today</v>
      </c>
    </row>
    <row r="36">
      <c r="A36" s="58" t="s">
        <v>139</v>
      </c>
      <c r="B36" s="59">
        <f>IFERROR(__xludf.DUMMYFUNCTION("GOOGLEFINANCE(A36,""price"")"),427.4)</f>
        <v>427.4</v>
      </c>
      <c r="C36" s="60">
        <f>IFERROR(__xludf.DUMMYFUNCTION("GOOGLEFINANCE(A36,""closeyest"")"),420.95)</f>
        <v>420.95</v>
      </c>
      <c r="D36" s="61">
        <f>IFERROR(__xludf.DUMMYFUNCTION("MIN(index(GOOGLEFINANCE(A36,""ALL"",TODAY()-180,TODAY()),0,5))*1.2"),414.3)</f>
        <v>414.3</v>
      </c>
      <c r="E36" s="62">
        <f>IFERROR(__xludf.DUMMYFUNCTION("AVERAGE(QUERY(SORT(GOOGLEFINANCE(A36,""price"",TODAY()-320,TODAY()),1,0),""select Col2 limit 100""))"),392.2879999999998)</f>
        <v>392.288</v>
      </c>
      <c r="F36" s="44">
        <f>IFERROR(__xludf.DUMMYFUNCTION("GOOGLEFINANCE(A36,""high52"")"),464.9)</f>
        <v>464.9</v>
      </c>
      <c r="G36" s="45">
        <f>IFERROR(__xludf.DUMMYFUNCTION("to_date(index(sort(GOOGLEFINANCE(A36, ""high"", today()-52*7, today(), ""DAILY""),2,0),2,1))"),46140.64583333333)</f>
        <v>46140.64583</v>
      </c>
      <c r="H36" s="44">
        <f>IFERROR(__xludf.DUMMYFUNCTION("GOOGLEFINANCE(A36,""low52"")"),342.5)</f>
        <v>342.5</v>
      </c>
      <c r="I36" s="45">
        <f>IFERROR(__xludf.DUMMYFUNCTION("to_date(index(sort(GOOGLEFINANCE(A36, ""low"", today()-52*7, today(), ""DAILY""),2,1),1,1))"),46049.64583333333)</f>
        <v>46049.64583</v>
      </c>
      <c r="J36" s="46" t="str">
        <f t="shared" si="1"/>
        <v>Do Not Buy Today</v>
      </c>
    </row>
    <row r="37">
      <c r="A37" s="58" t="s">
        <v>140</v>
      </c>
      <c r="B37" s="59">
        <f>IFERROR(__xludf.DUMMYFUNCTION("GOOGLEFINANCE(A37,""price"")"),8191.0)</f>
        <v>8191</v>
      </c>
      <c r="C37" s="60">
        <f>IFERROR(__xludf.DUMMYFUNCTION("GOOGLEFINANCE(A37,""closeyest"")"),8258.5)</f>
        <v>8258.5</v>
      </c>
      <c r="D37" s="61">
        <f>IFERROR(__xludf.DUMMYFUNCTION("MIN(index(GOOGLEFINANCE(A37,""ALL"",TODAY()-180,TODAY()),0,5))*1.2"),8152.2)</f>
        <v>8152.2</v>
      </c>
      <c r="E37" s="62">
        <f>IFERROR(__xludf.DUMMYFUNCTION("AVERAGE(QUERY(SORT(GOOGLEFINANCE(A37,""price"",TODAY()-320,TODAY()),1,0),""select Col2 limit 100""))"),7514.245)</f>
        <v>7514.245</v>
      </c>
      <c r="F37" s="44">
        <f>IFERROR(__xludf.DUMMYFUNCTION("GOOGLEFINANCE(A37,""high52"")"),8443.0)</f>
        <v>8443</v>
      </c>
      <c r="G37" s="45">
        <f>IFERROR(__xludf.DUMMYFUNCTION("to_date(index(sort(GOOGLEFINANCE(A37, ""high"", today()-52*7, today(), ""DAILY""),2,0),2,1))"),46167.64583333333)</f>
        <v>46167.64583</v>
      </c>
      <c r="H37" s="44">
        <f>IFERROR(__xludf.DUMMYFUNCTION("GOOGLEFINANCE(A37,""low52"")"),6696.5)</f>
        <v>6696.5</v>
      </c>
      <c r="I37" s="45">
        <f>IFERROR(__xludf.DUMMYFUNCTION("to_date(index(sort(GOOGLEFINANCE(A37, ""low"", today()-52*7, today(), ""DAILY""),2,1),1,1))"),46045.64583333333)</f>
        <v>46045.64583</v>
      </c>
      <c r="J37" s="46" t="str">
        <f t="shared" si="1"/>
        <v>Do Not Buy Today</v>
      </c>
    </row>
    <row r="38">
      <c r="A38" s="58" t="s">
        <v>141</v>
      </c>
      <c r="B38" s="59">
        <f>IFERROR(__xludf.DUMMYFUNCTION("GOOGLEFINANCE(A38,""price"")"),5101.3)</f>
        <v>5101.3</v>
      </c>
      <c r="C38" s="60">
        <f>IFERROR(__xludf.DUMMYFUNCTION("GOOGLEFINANCE(A38,""closeyest"")"),5105.8)</f>
        <v>5105.8</v>
      </c>
      <c r="D38" s="61">
        <f>IFERROR(__xludf.DUMMYFUNCTION("MIN(index(GOOGLEFINANCE(A38,""ALL"",TODAY()-180,TODAY()),0,5))*1.2"),5435.28)</f>
        <v>5435.28</v>
      </c>
      <c r="E38" s="62">
        <f>IFERROR(__xludf.DUMMYFUNCTION("AVERAGE(QUERY(SORT(GOOGLEFINANCE(A38,""price"",TODAY()-320,TODAY()),1,0),""select Col2 limit 100""))"),5382.857)</f>
        <v>5382.857</v>
      </c>
      <c r="F38" s="44">
        <f>IFERROR(__xludf.DUMMYFUNCTION("GOOGLEFINANCE(A38,""high52"")"),6599.0)</f>
        <v>6599</v>
      </c>
      <c r="G38" s="45">
        <f>IFERROR(__xludf.DUMMYFUNCTION("to_date(index(sort(GOOGLEFINANCE(A38, ""high"", today()-52*7, today(), ""DAILY""),2,0),2,1))"),46014.64583333333)</f>
        <v>46014.64583</v>
      </c>
      <c r="H38" s="44">
        <f>IFERROR(__xludf.DUMMYFUNCTION("GOOGLEFINANCE(A38,""low52"")"),4449.1)</f>
        <v>4449.1</v>
      </c>
      <c r="I38" s="45">
        <f>IFERROR(__xludf.DUMMYFUNCTION("to_date(index(sort(GOOGLEFINANCE(A38, ""low"", today()-52*7, today(), ""DAILY""),2,1),1,1))"),46083.64583333333)</f>
        <v>46083.64583</v>
      </c>
      <c r="J38" s="46" t="str">
        <f t="shared" si="1"/>
        <v>Do Not Buy Today</v>
      </c>
    </row>
    <row r="39">
      <c r="A39" s="58" t="s">
        <v>142</v>
      </c>
      <c r="B39" s="59">
        <f>IFERROR(__xludf.DUMMYFUNCTION("GOOGLEFINANCE(A39,""price"")"),1001.55)</f>
        <v>1001.55</v>
      </c>
      <c r="C39" s="60">
        <f>IFERROR(__xludf.DUMMYFUNCTION("GOOGLEFINANCE(A39,""closeyest"")"),980.7)</f>
        <v>980.7</v>
      </c>
      <c r="D39" s="61">
        <f>IFERROR(__xludf.DUMMYFUNCTION("MIN(index(GOOGLEFINANCE(A39,""ALL"",TODAY()-180,TODAY()),0,5))*1.2"),1111.14)</f>
        <v>1111.14</v>
      </c>
      <c r="E39" s="62">
        <f>IFERROR(__xludf.DUMMYFUNCTION("AVERAGE(QUERY(SORT(GOOGLEFINANCE(A39,""price"",TODAY()-320,TODAY()),1,0),""select Col2 limit 100""))"),1093.7439999999997)</f>
        <v>1093.744</v>
      </c>
      <c r="F39" s="44">
        <f>IFERROR(__xludf.DUMMYFUNCTION("GOOGLEFINANCE(A39,""high52"")"),1550.0)</f>
        <v>1550</v>
      </c>
      <c r="G39" s="45">
        <f>IFERROR(__xludf.DUMMYFUNCTION("to_date(index(sort(GOOGLEFINANCE(A39, ""high"", today()-52*7, today(), ""DAILY""),2,0),2,1))"),45818.64583333333)</f>
        <v>45818.64583</v>
      </c>
      <c r="H39" s="44">
        <f>IFERROR(__xludf.DUMMYFUNCTION("GOOGLEFINANCE(A39,""low52"")"),908.3)</f>
        <v>908.3</v>
      </c>
      <c r="I39" s="45">
        <f>IFERROR(__xludf.DUMMYFUNCTION("to_date(index(sort(GOOGLEFINANCE(A39, ""low"", today()-52*7, today(), ""DAILY""),2,1),1,1))"),46167.64583333333)</f>
        <v>46167.64583</v>
      </c>
      <c r="J39" s="46" t="str">
        <f t="shared" si="1"/>
        <v>Do Not Buy Today</v>
      </c>
    </row>
    <row r="40">
      <c r="A40" s="58" t="s">
        <v>143</v>
      </c>
      <c r="B40" s="59">
        <f>IFERROR(__xludf.DUMMYFUNCTION("GOOGLEFINANCE(A40,""price"")"),1478.2)</f>
        <v>1478.2</v>
      </c>
      <c r="C40" s="60">
        <f>IFERROR(__xludf.DUMMYFUNCTION("GOOGLEFINANCE(A40,""closeyest"")"),1478.5)</f>
        <v>1478.5</v>
      </c>
      <c r="D40" s="61">
        <f>IFERROR(__xludf.DUMMYFUNCTION("MIN(index(GOOGLEFINANCE(A40,""ALL"",TODAY()-180,TODAY()),0,5))*1.2"),1528.32)</f>
        <v>1528.32</v>
      </c>
      <c r="E40" s="62">
        <f>IFERROR(__xludf.DUMMYFUNCTION("AVERAGE(QUERY(SORT(GOOGLEFINANCE(A40,""price"",TODAY()-320,TODAY()),1,0),""select Col2 limit 100""))"),1427.241)</f>
        <v>1427.241</v>
      </c>
      <c r="F40" s="44">
        <f>IFERROR(__xludf.DUMMYFUNCTION("GOOGLEFINANCE(A40,""high52"")"),1574.95)</f>
        <v>1574.95</v>
      </c>
      <c r="G40" s="45">
        <f>IFERROR(__xludf.DUMMYFUNCTION("to_date(index(sort(GOOGLEFINANCE(A40, ""high"", today()-52*7, today(), ""DAILY""),2,0),2,1))"),45903.64583333333)</f>
        <v>45903.64583</v>
      </c>
      <c r="H40" s="44">
        <f>IFERROR(__xludf.DUMMYFUNCTION("GOOGLEFINANCE(A40,""low52"")"),1259.0)</f>
        <v>1259</v>
      </c>
      <c r="I40" s="45">
        <f>IFERROR(__xludf.DUMMYFUNCTION("to_date(index(sort(GOOGLEFINANCE(A40, ""low"", today()-52*7, today(), ""DAILY""),2,1),1,1))"),46118.64583333333)</f>
        <v>46118.64583</v>
      </c>
      <c r="J40" s="46" t="str">
        <f t="shared" si="1"/>
        <v>Do Not Buy Today</v>
      </c>
    </row>
    <row r="41">
      <c r="A41" s="58" t="s">
        <v>144</v>
      </c>
      <c r="B41" s="59">
        <f>IFERROR(__xludf.DUMMYFUNCTION("GOOGLEFINANCE(A41,""price"")"),1455.5)</f>
        <v>1455.5</v>
      </c>
      <c r="C41" s="60">
        <f>IFERROR(__xludf.DUMMYFUNCTION("GOOGLEFINANCE(A41,""closeyest"")"),1468.5)</f>
        <v>1468.5</v>
      </c>
      <c r="D41" s="61">
        <f>IFERROR(__xludf.DUMMYFUNCTION("MIN(index(GOOGLEFINANCE(A41,""ALL"",TODAY()-180,TODAY()),0,5))*1.2"),1503.24)</f>
        <v>1503.24</v>
      </c>
      <c r="E41" s="62">
        <f>IFERROR(__xludf.DUMMYFUNCTION("AVERAGE(QUERY(SORT(GOOGLEFINANCE(A41,""price"",TODAY()-320,TODAY()),1,0),""select Col2 limit 100""))"),1468.3499999999997)</f>
        <v>1468.35</v>
      </c>
      <c r="F41" s="44">
        <f>IFERROR(__xludf.DUMMYFUNCTION("GOOGLEFINANCE(A41,""high52"")"),1824.1)</f>
        <v>1824.1</v>
      </c>
      <c r="G41" s="45">
        <f>IFERROR(__xludf.DUMMYFUNCTION("to_date(index(sort(GOOGLEFINANCE(A41, ""high"", today()-52*7, today(), ""DAILY""),2,0),2,1))"),46139.64583333333)</f>
        <v>46139.64583</v>
      </c>
      <c r="H41" s="44">
        <f>IFERROR(__xludf.DUMMYFUNCTION("GOOGLEFINANCE(A41,""low52"")"),1188.0)</f>
        <v>1188</v>
      </c>
      <c r="I41" s="45">
        <f>IFERROR(__xludf.DUMMYFUNCTION("to_date(index(sort(GOOGLEFINANCE(A41, ""low"", today()-52*7, today(), ""DAILY""),2,1),1,1))"),45936.64583333333)</f>
        <v>45936.64583</v>
      </c>
      <c r="J41" s="46" t="str">
        <f t="shared" si="1"/>
        <v>Do Not Buy Today</v>
      </c>
    </row>
    <row r="42">
      <c r="A42" s="58" t="s">
        <v>145</v>
      </c>
      <c r="B42" s="59">
        <f>IFERROR(__xludf.DUMMYFUNCTION("GOOGLEFINANCE(A42,""price"")"),4340.4)</f>
        <v>4340.4</v>
      </c>
      <c r="C42" s="60">
        <f>IFERROR(__xludf.DUMMYFUNCTION("GOOGLEFINANCE(A42,""closeyest"")"),4335.6)</f>
        <v>4335.6</v>
      </c>
      <c r="D42" s="61">
        <f>IFERROR(__xludf.DUMMYFUNCTION("MIN(index(GOOGLEFINANCE(A42,""ALL"",TODAY()-180,TODAY()),0,5))*1.2"),4771.92)</f>
        <v>4771.92</v>
      </c>
      <c r="E42" s="62">
        <f>IFERROR(__xludf.DUMMYFUNCTION("AVERAGE(QUERY(SORT(GOOGLEFINANCE(A42,""price"",TODAY()-320,TODAY()),1,0),""select Col2 limit 100""))"),4698.102)</f>
        <v>4698.102</v>
      </c>
      <c r="F42" s="44">
        <f>IFERROR(__xludf.DUMMYFUNCTION("GOOGLEFINANCE(A42,""high52"")"),6735.0)</f>
        <v>6735</v>
      </c>
      <c r="G42" s="45">
        <f>IFERROR(__xludf.DUMMYFUNCTION("to_date(index(sort(GOOGLEFINANCE(A42, ""high"", today()-52*7, today(), ""DAILY""),2,0),2,1))"),45818.64583333333)</f>
        <v>45818.64583</v>
      </c>
      <c r="H42" s="44">
        <f>IFERROR(__xludf.DUMMYFUNCTION("GOOGLEFINANCE(A42,""low52"")"),3945.0)</f>
        <v>3945</v>
      </c>
      <c r="I42" s="45">
        <f>IFERROR(__xludf.DUMMYFUNCTION("to_date(index(sort(GOOGLEFINANCE(A42, ""low"", today()-52*7, today(), ""DAILY""),2,1),1,1))"),46156.64583333333)</f>
        <v>46156.64583</v>
      </c>
      <c r="J42" s="46" t="str">
        <f t="shared" si="1"/>
        <v>Do Not Buy Today</v>
      </c>
    </row>
    <row r="43">
      <c r="A43" s="58" t="s">
        <v>146</v>
      </c>
      <c r="B43" s="59">
        <f>IFERROR(__xludf.DUMMYFUNCTION("GOOGLEFINANCE(A43,""price"")"),950.95)</f>
        <v>950.95</v>
      </c>
      <c r="C43" s="60">
        <f>IFERROR(__xludf.DUMMYFUNCTION("GOOGLEFINANCE(A43,""closeyest"")"),952.15)</f>
        <v>952.15</v>
      </c>
      <c r="D43" s="61">
        <f>IFERROR(__xludf.DUMMYFUNCTION("MIN(index(GOOGLEFINANCE(A43,""ALL"",TODAY()-180,TODAY()),0,5))*1.2"),993.72)</f>
        <v>993.72</v>
      </c>
      <c r="E43" s="62">
        <f>IFERROR(__xludf.DUMMYFUNCTION("AVERAGE(QUERY(SORT(GOOGLEFINANCE(A43,""price"",TODAY()-320,TODAY()),1,0),""select Col2 limit 100""))"),994.446)</f>
        <v>994.446</v>
      </c>
      <c r="F43" s="44">
        <f>IFERROR(__xludf.DUMMYFUNCTION("GOOGLEFINANCE(A43,""high52"")"),1108.0)</f>
        <v>1108</v>
      </c>
      <c r="G43" s="45">
        <f>IFERROR(__xludf.DUMMYFUNCTION("to_date(index(sort(GOOGLEFINANCE(A43, ""high"", today()-52*7, today(), ""DAILY""),2,0),2,1))"),46079.64583333333)</f>
        <v>46079.64583</v>
      </c>
      <c r="H43" s="44">
        <f>IFERROR(__xludf.DUMMYFUNCTION("GOOGLEFINANCE(A43,""low52"")"),566.5)</f>
        <v>566.5</v>
      </c>
      <c r="I43" s="45">
        <f>IFERROR(__xludf.DUMMYFUNCTION("to_date(index(sort(GOOGLEFINANCE(A43, ""low"", today()-52*7, today(), ""DAILY""),2,1),1,1))"),45898.64583333333)</f>
        <v>45898.64583</v>
      </c>
      <c r="J43" s="46" t="str">
        <f t="shared" si="1"/>
        <v>Do Not Buy Today</v>
      </c>
    </row>
    <row r="44">
      <c r="A44" s="58" t="s">
        <v>147</v>
      </c>
      <c r="B44" s="59">
        <f>IFERROR(__xludf.DUMMYFUNCTION("GOOGLEFINANCE(A44,""price"")"),79.8)</f>
        <v>79.8</v>
      </c>
      <c r="C44" s="60">
        <f>IFERROR(__xludf.DUMMYFUNCTION("GOOGLEFINANCE(A44,""closeyest"")"),80.18)</f>
        <v>80.18</v>
      </c>
      <c r="D44" s="61">
        <f>IFERROR(__xludf.DUMMYFUNCTION("MIN(index(GOOGLEFINANCE(A44,""ALL"",TODAY()-180,TODAY()),0,5))*1.2"),67.464)</f>
        <v>67.464</v>
      </c>
      <c r="E44" s="62">
        <f>IFERROR(__xludf.DUMMYFUNCTION("AVERAGE(QUERY(SORT(GOOGLEFINANCE(A44,""price"",TODAY()-320,TODAY()),1,0),""select Col2 limit 100""))"),69.50410000000004)</f>
        <v>69.5041</v>
      </c>
      <c r="F44" s="44">
        <f>IFERROR(__xludf.DUMMYFUNCTION("GOOGLEFINANCE(A44,""high52"")"),85.9)</f>
        <v>85.9</v>
      </c>
      <c r="G44" s="45">
        <f>IFERROR(__xludf.DUMMYFUNCTION("to_date(index(sort(GOOGLEFINANCE(A44, ""high"", today()-52*7, today(), ""DAILY""),2,0),2,1))"),46149.64583333333)</f>
        <v>46149.64583</v>
      </c>
      <c r="H44" s="44">
        <f>IFERROR(__xludf.DUMMYFUNCTION("GOOGLEFINANCE(A44,""low52"")"),50.55)</f>
        <v>50.55</v>
      </c>
      <c r="I44" s="45">
        <f>IFERROR(__xludf.DUMMYFUNCTION("to_date(index(sort(GOOGLEFINANCE(A44, ""low"", today()-52*7, today(), ""DAILY""),2,1),1,1))"),45807.64583333333)</f>
        <v>45807.64583</v>
      </c>
      <c r="J44" s="46" t="str">
        <f t="shared" si="1"/>
        <v>Do Not Buy Today</v>
      </c>
    </row>
    <row r="45">
      <c r="A45" s="58" t="s">
        <v>148</v>
      </c>
      <c r="B45" s="59">
        <f>IFERROR(__xludf.DUMMYFUNCTION("GOOGLEFINANCE(A45,""price"")"),4062.1)</f>
        <v>4062.1</v>
      </c>
      <c r="C45" s="60">
        <f>IFERROR(__xludf.DUMMYFUNCTION("GOOGLEFINANCE(A45,""closeyest"")"),4037.8)</f>
        <v>4037.8</v>
      </c>
      <c r="D45" s="61">
        <f>IFERROR(__xludf.DUMMYFUNCTION("MIN(index(GOOGLEFINANCE(A45,""ALL"",TODAY()-180,TODAY()),0,5))*1.2"),4010.88)</f>
        <v>4010.88</v>
      </c>
      <c r="E45" s="62">
        <f>IFERROR(__xludf.DUMMYFUNCTION("AVERAGE(QUERY(SORT(GOOGLEFINANCE(A45,""price"",TODAY()-320,TODAY()),1,0),""select Col2 limit 100""))"),3955.3099999999995)</f>
        <v>3955.31</v>
      </c>
      <c r="F45" s="44">
        <f>IFERROR(__xludf.DUMMYFUNCTION("GOOGLEFINANCE(A45,""high52"")"),4440.0)</f>
        <v>4440</v>
      </c>
      <c r="G45" s="45">
        <f>IFERROR(__xludf.DUMMYFUNCTION("to_date(index(sort(GOOGLEFINANCE(A45, ""high"", today()-52*7, today(), ""DAILY""),2,0),2,1))"),46077.64583333333)</f>
        <v>46077.64583</v>
      </c>
      <c r="H45" s="44">
        <f>IFERROR(__xludf.DUMMYFUNCTION("GOOGLEFINANCE(A45,""low52"")"),3288.1)</f>
        <v>3288.1</v>
      </c>
      <c r="I45" s="45">
        <f>IFERROR(__xludf.DUMMYFUNCTION("to_date(index(sort(GOOGLEFINANCE(A45, ""low"", today()-52*7, today(), ""DAILY""),2,1),1,1))"),46085.64583333333)</f>
        <v>46085.64583</v>
      </c>
      <c r="J45" s="46" t="str">
        <f t="shared" si="1"/>
        <v>Do Not Buy Today</v>
      </c>
    </row>
    <row r="46">
      <c r="A46" s="58" t="s">
        <v>149</v>
      </c>
      <c r="B46" s="59">
        <f>IFERROR(__xludf.DUMMYFUNCTION("GOOGLEFINANCE(A46,""price"")"),289.75)</f>
        <v>289.75</v>
      </c>
      <c r="C46" s="60">
        <f>IFERROR(__xludf.DUMMYFUNCTION("GOOGLEFINANCE(A46,""closeyest"")"),290.2)</f>
        <v>290.2</v>
      </c>
      <c r="D46" s="61">
        <f>IFERROR(__xludf.DUMMYFUNCTION("MIN(index(GOOGLEFINANCE(A46,""ALL"",TODAY()-180,TODAY()),0,5))*1.2"),296.21999999999997)</f>
        <v>296.22</v>
      </c>
      <c r="E46" s="62">
        <f>IFERROR(__xludf.DUMMYFUNCTION("AVERAGE(QUERY(SORT(GOOGLEFINANCE(A46,""price"",TODAY()-320,TODAY()),1,0),""select Col2 limit 100""))"),280.18899999999996)</f>
        <v>280.189</v>
      </c>
      <c r="F46" s="44">
        <f>IFERROR(__xludf.DUMMYFUNCTION("GOOGLEFINANCE(A46,""high52"")"),302.0)</f>
        <v>302</v>
      </c>
      <c r="G46" s="45">
        <f>IFERROR(__xludf.DUMMYFUNCTION("to_date(index(sort(GOOGLEFINANCE(A46, ""high"", today()-52*7, today(), ""DAILY""),2,0),2,1))"),46080.64583333333)</f>
        <v>46080.64583</v>
      </c>
      <c r="H46" s="44">
        <f>IFERROR(__xludf.DUMMYFUNCTION("GOOGLEFINANCE(A46,""low52"")"),185.11)</f>
        <v>185.11</v>
      </c>
      <c r="I46" s="45">
        <f>IFERROR(__xludf.DUMMYFUNCTION("to_date(index(sort(GOOGLEFINANCE(A46, ""low"", today()-52*7, today(), ""DAILY""),2,1),1,1))"),45873.64583333333)</f>
        <v>45873.64583</v>
      </c>
      <c r="J46" s="46" t="str">
        <f t="shared" si="1"/>
        <v>Do Not Buy Today</v>
      </c>
    </row>
    <row r="47">
      <c r="A47" s="58" t="s">
        <v>150</v>
      </c>
      <c r="B47" s="59">
        <f>IFERROR(__xludf.DUMMYFUNCTION("GOOGLEFINANCE(A47,""price"")"),1858.7)</f>
        <v>1858.7</v>
      </c>
      <c r="C47" s="60">
        <f>IFERROR(__xludf.DUMMYFUNCTION("GOOGLEFINANCE(A47,""closeyest"")"),1860.3)</f>
        <v>1860.3</v>
      </c>
      <c r="D47" s="61">
        <f>IFERROR(__xludf.DUMMYFUNCTION("MIN(index(GOOGLEFINANCE(A47,""ALL"",TODAY()-180,TODAY()),0,5))*1.2"),2026.9199999999998)</f>
        <v>2026.92</v>
      </c>
      <c r="E47" s="62">
        <f>IFERROR(__xludf.DUMMYFUNCTION("AVERAGE(QUERY(SORT(GOOGLEFINANCE(A47,""price"",TODAY()-320,TODAY()),1,0),""select Col2 limit 100""))"),1849.0680000000013)</f>
        <v>1849.068</v>
      </c>
      <c r="F47" s="44">
        <f>IFERROR(__xludf.DUMMYFUNCTION("GOOGLEFINANCE(A47,""high52"")"),2068.7)</f>
        <v>2068.7</v>
      </c>
      <c r="G47" s="45">
        <f>IFERROR(__xludf.DUMMYFUNCTION("to_date(index(sort(GOOGLEFINANCE(A47, ""high"", today()-52*7, today(), ""DAILY""),2,0),2,1))"),45839.64583333333)</f>
        <v>45839.64583</v>
      </c>
      <c r="H47" s="44">
        <f>IFERROR(__xludf.DUMMYFUNCTION("GOOGLEFINANCE(A47,""low52"")"),1629.5)</f>
        <v>1629.5</v>
      </c>
      <c r="I47" s="45">
        <f>IFERROR(__xludf.DUMMYFUNCTION("to_date(index(sort(GOOGLEFINANCE(A47, ""low"", today()-52*7, today(), ""DAILY""),2,1),1,1))"),46114.64583333333)</f>
        <v>46114.64583</v>
      </c>
      <c r="J47" s="46" t="str">
        <f t="shared" si="1"/>
        <v>Do Not Buy Today</v>
      </c>
    </row>
    <row r="48">
      <c r="A48" s="58" t="s">
        <v>151</v>
      </c>
      <c r="B48" s="59">
        <f>IFERROR(__xludf.DUMMYFUNCTION("GOOGLEFINANCE(A48,""price"")"),4091.4)</f>
        <v>4091.4</v>
      </c>
      <c r="C48" s="60">
        <f>IFERROR(__xludf.DUMMYFUNCTION("GOOGLEFINANCE(A48,""closeyest"")"),4103.6)</f>
        <v>4103.6</v>
      </c>
      <c r="D48" s="61">
        <f>IFERROR(__xludf.DUMMYFUNCTION("MIN(index(GOOGLEFINANCE(A48,""ALL"",TODAY()-180,TODAY()),0,5))*1.2"),4375.56)</f>
        <v>4375.56</v>
      </c>
      <c r="E48" s="62">
        <f>IFERROR(__xludf.DUMMYFUNCTION("AVERAGE(QUERY(SORT(GOOGLEFINANCE(A48,""price"",TODAY()-320,TODAY()),1,0),""select Col2 limit 100""))"),4031.62)</f>
        <v>4031.62</v>
      </c>
      <c r="F48" s="44">
        <f>IFERROR(__xludf.DUMMYFUNCTION("GOOGLEFINANCE(A48,""high52"")"),4949.5)</f>
        <v>4949.5</v>
      </c>
      <c r="G48" s="45">
        <f>IFERROR(__xludf.DUMMYFUNCTION("to_date(index(sort(GOOGLEFINANCE(A48, ""high"", today()-52*7, today(), ""DAILY""),2,0),2,1))"),45904.64583333333)</f>
        <v>45904.64583</v>
      </c>
      <c r="H48" s="44">
        <f>IFERROR(__xludf.DUMMYFUNCTION("GOOGLEFINANCE(A48,""low52"")"),3529.0)</f>
        <v>3529</v>
      </c>
      <c r="I48" s="45">
        <f>IFERROR(__xludf.DUMMYFUNCTION("to_date(index(sort(GOOGLEFINANCE(A48, ""low"", today()-52*7, today(), ""DAILY""),2,1),1,1))"),46055.64583333333)</f>
        <v>46055.64583</v>
      </c>
      <c r="J48" s="46" t="str">
        <f t="shared" si="1"/>
        <v>Do Not Buy Today</v>
      </c>
    </row>
    <row r="49">
      <c r="A49" s="58" t="s">
        <v>152</v>
      </c>
      <c r="B49" s="59">
        <f>IFERROR(__xludf.DUMMYFUNCTION("GOOGLEFINANCE(A49,""price"")"),627.85)</f>
        <v>627.85</v>
      </c>
      <c r="C49" s="60">
        <f>IFERROR(__xludf.DUMMYFUNCTION("GOOGLEFINANCE(A49,""closeyest"")"),628.7)</f>
        <v>628.7</v>
      </c>
      <c r="D49" s="61">
        <f>IFERROR(__xludf.DUMMYFUNCTION("MIN(index(GOOGLEFINANCE(A49,""ALL"",TODAY()-180,TODAY()),0,5))*1.2"),744.24)</f>
        <v>744.24</v>
      </c>
      <c r="E49" s="62">
        <f>IFERROR(__xludf.DUMMYFUNCTION("AVERAGE(QUERY(SORT(GOOGLEFINANCE(A49,""price"",TODAY()-320,TODAY()),1,0),""select Col2 limit 100""))"),728.2109999999999)</f>
        <v>728.211</v>
      </c>
      <c r="F49" s="44">
        <f>IFERROR(__xludf.DUMMYFUNCTION("GOOGLEFINANCE(A49,""high52"")"),1027.25)</f>
        <v>1027.25</v>
      </c>
      <c r="G49" s="45">
        <f>IFERROR(__xludf.DUMMYFUNCTION("to_date(index(sort(GOOGLEFINANCE(A49, ""high"", today()-52*7, today(), ""DAILY""),2,0),2,1))"),45818.64583333333)</f>
        <v>45818.64583</v>
      </c>
      <c r="H49" s="44">
        <f>IFERROR(__xludf.DUMMYFUNCTION("GOOGLEFINANCE(A49,""low52"")"),612.1)</f>
        <v>612.1</v>
      </c>
      <c r="I49" s="45">
        <f>IFERROR(__xludf.DUMMYFUNCTION("to_date(index(sort(GOOGLEFINANCE(A49, ""low"", today()-52*7, today(), ""DAILY""),2,1),1,1))"),46160.64583333333)</f>
        <v>46160.64583</v>
      </c>
      <c r="J49" s="46" t="str">
        <f t="shared" si="1"/>
        <v>Do Not Buy Today</v>
      </c>
    </row>
    <row r="50">
      <c r="A50" s="58" t="s">
        <v>153</v>
      </c>
      <c r="B50" s="59">
        <f>IFERROR(__xludf.DUMMYFUNCTION("GOOGLEFINANCE(A50,""price"")"),1161.7)</f>
        <v>1161.7</v>
      </c>
      <c r="C50" s="60">
        <f>IFERROR(__xludf.DUMMYFUNCTION("GOOGLEFINANCE(A50,""closeyest"")"),1167.7)</f>
        <v>1167.7</v>
      </c>
      <c r="D50" s="61">
        <f>IFERROR(__xludf.DUMMYFUNCTION("MIN(index(GOOGLEFINANCE(A50,""ALL"",TODAY()-180,TODAY()),0,5))*1.2"),1314.0)</f>
        <v>1314</v>
      </c>
      <c r="E50" s="62">
        <f>IFERROR(__xludf.DUMMYFUNCTION("AVERAGE(QUERY(SORT(GOOGLEFINANCE(A50,""price"",TODAY()-320,TODAY()),1,0),""select Col2 limit 100""))"),1370.4290000000003)</f>
        <v>1370.429</v>
      </c>
      <c r="F50" s="44">
        <f>IFERROR(__xludf.DUMMYFUNCTION("GOOGLEFINANCE(A50,""high52"")"),1728.0)</f>
        <v>1728</v>
      </c>
      <c r="G50" s="45">
        <f>IFERROR(__xludf.DUMMYFUNCTION("to_date(index(sort(GOOGLEFINANCE(A50, ""high"", today()-52*7, today(), ""DAILY""),2,0),2,1))"),46056.64583333333)</f>
        <v>46056.64583</v>
      </c>
      <c r="H50" s="44">
        <f>IFERROR(__xludf.DUMMYFUNCTION("GOOGLEFINANCE(A50,""low52"")"),1089.0)</f>
        <v>1089</v>
      </c>
      <c r="I50" s="45">
        <f>IFERROR(__xludf.DUMMYFUNCTION("to_date(index(sort(GOOGLEFINANCE(A50, ""low"", today()-52*7, today(), ""DAILY""),2,1),1,1))"),46156.64583333333)</f>
        <v>46156.64583</v>
      </c>
      <c r="J50" s="46" t="str">
        <f t="shared" si="1"/>
        <v>Do Not Buy Today</v>
      </c>
    </row>
    <row r="51">
      <c r="A51" s="58" t="s">
        <v>154</v>
      </c>
      <c r="B51" s="59">
        <f>IFERROR(__xludf.DUMMYFUNCTION("GOOGLEFINANCE(A51,""price"")"),928.6)</f>
        <v>928.6</v>
      </c>
      <c r="C51" s="60">
        <f>IFERROR(__xludf.DUMMYFUNCTION("GOOGLEFINANCE(A51,""closeyest"")"),930.2)</f>
        <v>930.2</v>
      </c>
      <c r="D51" s="61">
        <f>IFERROR(__xludf.DUMMYFUNCTION("MIN(index(GOOGLEFINANCE(A51,""ALL"",TODAY()-180,TODAY()),0,5))*1.2"),961.8599999999999)</f>
        <v>961.86</v>
      </c>
      <c r="E51" s="62">
        <f>IFERROR(__xludf.DUMMYFUNCTION("AVERAGE(QUERY(SORT(GOOGLEFINANCE(A51,""price"",TODAY()-320,TODAY()),1,0),""select Col2 limit 100""))"),937.2900000000002)</f>
        <v>937.29</v>
      </c>
      <c r="F51" s="44">
        <f>IFERROR(__xludf.DUMMYFUNCTION("GOOGLEFINANCE(A51,""high52"")"),1102.5)</f>
        <v>1102.5</v>
      </c>
      <c r="G51" s="45">
        <f>IFERROR(__xludf.DUMMYFUNCTION("to_date(index(sort(GOOGLEFINANCE(A51, ""high"", today()-52*7, today(), ""DAILY""),2,0),2,1))"),45953.64583333333)</f>
        <v>45953.64583</v>
      </c>
      <c r="H51" s="44">
        <f>IFERROR(__xludf.DUMMYFUNCTION("GOOGLEFINANCE(A51,""low52"")"),787.9)</f>
        <v>787.9</v>
      </c>
      <c r="I51" s="45">
        <f>IFERROR(__xludf.DUMMYFUNCTION("to_date(index(sort(GOOGLEFINANCE(A51, ""low"", today()-52*7, today(), ""DAILY""),2,1),1,1))"),46104.64583333333)</f>
        <v>46104.64583</v>
      </c>
      <c r="J51" s="46" t="str">
        <f t="shared" si="1"/>
        <v>Do Not Buy Today</v>
      </c>
    </row>
    <row r="52">
      <c r="A52" s="58" t="s">
        <v>155</v>
      </c>
      <c r="B52" s="59">
        <f>IFERROR(__xludf.DUMMYFUNCTION("GOOGLEFINANCE(A52,""price"")"),1358.1)</f>
        <v>1358.1</v>
      </c>
      <c r="C52" s="60">
        <f>IFERROR(__xludf.DUMMYFUNCTION("GOOGLEFINANCE(A52,""closeyest"")"),1356.3)</f>
        <v>1356.3</v>
      </c>
      <c r="D52" s="61">
        <f>IFERROR(__xludf.DUMMYFUNCTION("MIN(index(GOOGLEFINANCE(A52,""ALL"",TODAY()-180,TODAY()),0,5))*1.2"),1565.5199999999998)</f>
        <v>1565.52</v>
      </c>
      <c r="E52" s="62">
        <f>IFERROR(__xludf.DUMMYFUNCTION("AVERAGE(QUERY(SORT(GOOGLEFINANCE(A52,""price"",TODAY()-320,TODAY()),1,0),""select Col2 limit 100""))"),1409.527)</f>
        <v>1409.527</v>
      </c>
      <c r="F52" s="44">
        <f>IFERROR(__xludf.DUMMYFUNCTION("GOOGLEFINANCE(A52,""high52"")"),1611.8)</f>
        <v>1611.8</v>
      </c>
      <c r="G52" s="45">
        <f>IFERROR(__xludf.DUMMYFUNCTION("to_date(index(sort(GOOGLEFINANCE(A52, ""high"", today()-52*7, today(), ""DAILY""),2,0),2,1))"),46027.64583333333)</f>
        <v>46027.64583</v>
      </c>
      <c r="H52" s="44">
        <f>IFERROR(__xludf.DUMMYFUNCTION("GOOGLEFINANCE(A52,""low52"")"),1290.0)</f>
        <v>1290</v>
      </c>
      <c r="I52" s="45">
        <f>IFERROR(__xludf.DUMMYFUNCTION("to_date(index(sort(GOOGLEFINANCE(A52, ""low"", today()-52*7, today(), ""DAILY""),2,1),1,1))"),46118.64583333333)</f>
        <v>46118.64583</v>
      </c>
      <c r="J52" s="46" t="str">
        <f t="shared" si="1"/>
        <v>Do Not Buy Today</v>
      </c>
    </row>
    <row r="53">
      <c r="A53" s="58" t="s">
        <v>156</v>
      </c>
      <c r="B53" s="59">
        <f>IFERROR(__xludf.DUMMYFUNCTION("GOOGLEFINANCE(A53,""price"")"),1028.0)</f>
        <v>1028</v>
      </c>
      <c r="C53" s="60">
        <f>IFERROR(__xludf.DUMMYFUNCTION("GOOGLEFINANCE(A53,""closeyest"")"),1031.8)</f>
        <v>1031.8</v>
      </c>
      <c r="D53" s="61">
        <f>IFERROR(__xludf.DUMMYFUNCTION("MIN(index(GOOGLEFINANCE(A53,""ALL"",TODAY()-180,TODAY()),0,5))*1.2"),1181.76)</f>
        <v>1181.76</v>
      </c>
      <c r="E53" s="62">
        <f>IFERROR(__xludf.DUMMYFUNCTION("AVERAGE(QUERY(SORT(GOOGLEFINANCE(A53,""price"",TODAY()-320,TODAY()),1,0),""select Col2 limit 100""))"),1126.442)</f>
        <v>1126.442</v>
      </c>
      <c r="F53" s="44">
        <f>IFERROR(__xludf.DUMMYFUNCTION("GOOGLEFINANCE(A53,""high52"")"),1309.0)</f>
        <v>1309</v>
      </c>
      <c r="G53" s="45">
        <f>IFERROR(__xludf.DUMMYFUNCTION("to_date(index(sort(GOOGLEFINANCE(A53, ""high"", today()-52*7, today(), ""DAILY""),2,0),2,1))"),45904.64583333333)</f>
        <v>45904.64583</v>
      </c>
      <c r="H53" s="44">
        <f>IFERROR(__xludf.DUMMYFUNCTION("GOOGLEFINANCE(A53,""low52"")"),967.05)</f>
        <v>967.05</v>
      </c>
      <c r="I53" s="45">
        <f>IFERROR(__xludf.DUMMYFUNCTION("to_date(index(sort(GOOGLEFINANCE(A53, ""low"", today()-52*7, today(), ""DAILY""),2,1),1,1))"),46114.64583333333)</f>
        <v>46114.64583</v>
      </c>
      <c r="J53" s="46" t="str">
        <f t="shared" si="1"/>
        <v>Do Not Buy Today</v>
      </c>
    </row>
    <row r="54">
      <c r="A54" s="58" t="s">
        <v>157</v>
      </c>
      <c r="B54" s="59">
        <f>IFERROR(__xludf.DUMMYFUNCTION("GOOGLEFINANCE(A54,""price"")"),216.72)</f>
        <v>216.72</v>
      </c>
      <c r="C54" s="60">
        <f>IFERROR(__xludf.DUMMYFUNCTION("GOOGLEFINANCE(A54,""closeyest"")"),210.47)</f>
        <v>210.47</v>
      </c>
      <c r="D54" s="61">
        <f>IFERROR(__xludf.DUMMYFUNCTION("MIN(index(GOOGLEFINANCE(A54,""ALL"",TODAY()-180,TODAY()),0,5))*1.2"),192.80399999999997)</f>
        <v>192.804</v>
      </c>
      <c r="E54" s="62">
        <f>IFERROR(__xludf.DUMMYFUNCTION("AVERAGE(QUERY(SORT(GOOGLEFINANCE(A54,""price"",TODAY()-320,TODAY()),1,0),""select Col2 limit 100""))"),199.82280000000003)</f>
        <v>199.8228</v>
      </c>
      <c r="F54" s="44">
        <f>IFERROR(__xludf.DUMMYFUNCTION("GOOGLEFINANCE(A54,""high52"")"),224.4)</f>
        <v>224.4</v>
      </c>
      <c r="G54" s="45">
        <f>IFERROR(__xludf.DUMMYFUNCTION("to_date(index(sort(GOOGLEFINANCE(A54, ""high"", today()-52*7, today(), ""DAILY""),2,0),2,1))"),46157.64583333333)</f>
        <v>46157.64583</v>
      </c>
      <c r="H54" s="44">
        <f>IFERROR(__xludf.DUMMYFUNCTION("GOOGLEFINANCE(A54,""low52"")"),149.8)</f>
        <v>149.8</v>
      </c>
      <c r="I54" s="45">
        <f>IFERROR(__xludf.DUMMYFUNCTION("to_date(index(sort(GOOGLEFINANCE(A54, ""low"", today()-52*7, today(), ""DAILY""),2,1),1,1))"),45821.64583333333)</f>
        <v>45821.64583</v>
      </c>
      <c r="J54" s="46" t="str">
        <f t="shared" si="1"/>
        <v>Do Not Buy Today</v>
      </c>
    </row>
    <row r="55">
      <c r="A55" s="58" t="s">
        <v>158</v>
      </c>
      <c r="B55" s="59">
        <f>IFERROR(__xludf.DUMMYFUNCTION("GOOGLEFINANCE(A55,""price"")"),36040.0)</f>
        <v>36040</v>
      </c>
      <c r="C55" s="60">
        <f>IFERROR(__xludf.DUMMYFUNCTION("GOOGLEFINANCE(A55,""closeyest"")"),35835.0)</f>
        <v>35835</v>
      </c>
      <c r="D55" s="61">
        <f>IFERROR(__xludf.DUMMYFUNCTION("MIN(index(GOOGLEFINANCE(A55,""ALL"",TODAY()-180,TODAY()),0,5))*1.2"),34494.0)</f>
        <v>34494</v>
      </c>
      <c r="E55" s="62">
        <f>IFERROR(__xludf.DUMMYFUNCTION("AVERAGE(QUERY(SORT(GOOGLEFINANCE(A55,""price"",TODAY()-320,TODAY()),1,0),""select Col2 limit 100""))"),35450.0)</f>
        <v>35450</v>
      </c>
      <c r="F55" s="44">
        <f>IFERROR(__xludf.DUMMYFUNCTION("GOOGLEFINANCE(A55,""high52"")"),41945.0)</f>
        <v>41945</v>
      </c>
      <c r="G55" s="45">
        <f>IFERROR(__xludf.DUMMYFUNCTION("to_date(index(sort(GOOGLEFINANCE(A55, ""high"", today()-52*7, today(), ""DAILY""),2,0),2,1))"),45910.64583333333)</f>
        <v>45910.64583</v>
      </c>
      <c r="H55" s="44">
        <f>IFERROR(__xludf.DUMMYFUNCTION("GOOGLEFINANCE(A55,""low52"")"),28610.0)</f>
        <v>28610</v>
      </c>
      <c r="I55" s="45">
        <f>IFERROR(__xludf.DUMMYFUNCTION("to_date(index(sort(GOOGLEFINANCE(A55, ""low"", today()-52*7, today(), ""DAILY""),2,1),1,1))"),46111.64583333333)</f>
        <v>46111.64583</v>
      </c>
      <c r="J55" s="46" t="str">
        <f t="shared" si="1"/>
        <v>Do Not Buy Today</v>
      </c>
    </row>
    <row r="56">
      <c r="A56" s="58" t="s">
        <v>159</v>
      </c>
      <c r="B56" s="59">
        <f>IFERROR(__xludf.DUMMYFUNCTION("GOOGLEFINANCE(A56,""price"")"),1010.6)</f>
        <v>1010.6</v>
      </c>
      <c r="C56" s="60">
        <f>IFERROR(__xludf.DUMMYFUNCTION("GOOGLEFINANCE(A56,""closeyest"")"),1011.8)</f>
        <v>1011.8</v>
      </c>
      <c r="D56" s="61">
        <f>IFERROR(__xludf.DUMMYFUNCTION("MIN(index(GOOGLEFINANCE(A56,""ALL"",TODAY()-180,TODAY()),0,5))*1.2"),1011.24)</f>
        <v>1011.24</v>
      </c>
      <c r="E56" s="62">
        <f>IFERROR(__xludf.DUMMYFUNCTION("AVERAGE(QUERY(SORT(GOOGLEFINANCE(A56,""price"",TODAY()-320,TODAY()),1,0),""select Col2 limit 100""))"),976.6619999999999)</f>
        <v>976.662</v>
      </c>
      <c r="F56" s="44">
        <f>IFERROR(__xludf.DUMMYFUNCTION("GOOGLEFINANCE(A56,""high52"")"),1079.55)</f>
        <v>1079.55</v>
      </c>
      <c r="G56" s="45">
        <f>IFERROR(__xludf.DUMMYFUNCTION("to_date(index(sort(GOOGLEFINANCE(A56, ""high"", today()-52*7, today(), ""DAILY""),2,0),2,1))"),46136.64583333333)</f>
        <v>46136.64583</v>
      </c>
      <c r="H56" s="44">
        <f>IFERROR(__xludf.DUMMYFUNCTION("GOOGLEFINANCE(A56,""low52"")"),682.15)</f>
        <v>682.15</v>
      </c>
      <c r="I56" s="45">
        <f>IFERROR(__xludf.DUMMYFUNCTION("to_date(index(sort(GOOGLEFINANCE(A56, ""low"", today()-52*7, today(), ""DAILY""),2,1),1,1))"),45905.64583333333)</f>
        <v>45905.64583</v>
      </c>
      <c r="J56" s="46" t="str">
        <f t="shared" si="1"/>
        <v>Do Not Buy Today</v>
      </c>
    </row>
    <row r="57">
      <c r="A57" s="58" t="s">
        <v>160</v>
      </c>
      <c r="B57" s="59">
        <f>IFERROR(__xludf.DUMMYFUNCTION("GOOGLEFINANCE(A57,""price"")"),4125.9)</f>
        <v>4125.9</v>
      </c>
      <c r="C57" s="60">
        <f>IFERROR(__xludf.DUMMYFUNCTION("GOOGLEFINANCE(A57,""closeyest"")"),4105.9)</f>
        <v>4105.9</v>
      </c>
      <c r="D57" s="61">
        <f>IFERROR(__xludf.DUMMYFUNCTION("MIN(index(GOOGLEFINANCE(A57,""ALL"",TODAY()-180,TODAY()),0,5))*1.2"),4520.4)</f>
        <v>4520.4</v>
      </c>
      <c r="E57" s="62">
        <f>IFERROR(__xludf.DUMMYFUNCTION("AVERAGE(QUERY(SORT(GOOGLEFINANCE(A57,""price"",TODAY()-320,TODAY()),1,0),""select Col2 limit 100""))"),4197.544999999999)</f>
        <v>4197.545</v>
      </c>
      <c r="F57" s="44">
        <f>IFERROR(__xludf.DUMMYFUNCTION("GOOGLEFINANCE(A57,""high52"")"),4605.0)</f>
        <v>4605</v>
      </c>
      <c r="G57" s="45">
        <f>IFERROR(__xludf.DUMMYFUNCTION("to_date(index(sort(GOOGLEFINANCE(A57, ""high"", today()-52*7, today(), ""DAILY""),2,0),2,1))"),46150.64583333333)</f>
        <v>46150.64583</v>
      </c>
      <c r="H57" s="44">
        <f>IFERROR(__xludf.DUMMYFUNCTION("GOOGLEFINANCE(A57,""low52"")"),3303.1)</f>
        <v>3303.1</v>
      </c>
      <c r="I57" s="45">
        <f>IFERROR(__xludf.DUMMYFUNCTION("to_date(index(sort(GOOGLEFINANCE(A57, ""low"", today()-52*7, today(), ""DAILY""),2,1),1,1))"),45926.64583333333)</f>
        <v>45926.64583</v>
      </c>
      <c r="J57" s="46" t="str">
        <f t="shared" si="1"/>
        <v>Do Not Buy Today</v>
      </c>
    </row>
    <row r="58">
      <c r="A58" s="58" t="s">
        <v>161</v>
      </c>
      <c r="B58" s="59" t="str">
        <f>IFERROR(__xludf.DUMMYFUNCTION("GOOGLEFINANCE(A58,""price"")"),"#N/A")</f>
        <v>#N/A</v>
      </c>
      <c r="C58" s="60" t="str">
        <f>IFERROR(__xludf.DUMMYFUNCTION("GOOGLEFINANCE(A58,""closeyest"")"),"#N/A")</f>
        <v>#N/A</v>
      </c>
      <c r="D58" s="61" t="str">
        <f>IFERROR(__xludf.DUMMYFUNCTION("MIN(index(GOOGLEFINANCE(A58,""ALL"",TODAY()-180,TODAY()),0,5))*1.2"),"#N/A")</f>
        <v>#N/A</v>
      </c>
      <c r="E58" s="62" t="str">
        <f>IFERROR(__xludf.DUMMYFUNCTION("AVERAGE(QUERY(SORT(GOOGLEFINANCE(A58,""price"",TODAY()-320,TODAY()),1,0),""select Col2 limit 100""))"),"#N/A")</f>
        <v>#N/A</v>
      </c>
      <c r="F58" s="44" t="str">
        <f>IFERROR(__xludf.DUMMYFUNCTION("GOOGLEFINANCE(A58,""high52"")"),"#N/A")</f>
        <v>#N/A</v>
      </c>
      <c r="G58" s="45" t="str">
        <f>IFERROR(__xludf.DUMMYFUNCTION("to_date(index(sort(GOOGLEFINANCE(A58, ""high"", today()-52*7, today(), ""DAILY""),2,0),2,1))"),"#N/A")</f>
        <v>#N/A</v>
      </c>
      <c r="H58" s="44" t="str">
        <f>IFERROR(__xludf.DUMMYFUNCTION("GOOGLEFINANCE(A58,""low52"")"),"#N/A")</f>
        <v>#N/A</v>
      </c>
      <c r="I58" s="45" t="str">
        <f>IFERROR(__xludf.DUMMYFUNCTION("to_date(index(sort(GOOGLEFINANCE(A58, ""low"", today()-52*7, today(), ""DAILY""),2,1),1,1))"),"#N/A")</f>
        <v>#N/A</v>
      </c>
      <c r="J58" s="46" t="str">
        <f t="shared" si="1"/>
        <v>#N/A</v>
      </c>
    </row>
    <row r="59">
      <c r="A59" s="58" t="s">
        <v>162</v>
      </c>
      <c r="B59" s="59">
        <f>IFERROR(__xludf.DUMMYFUNCTION("GOOGLEFINANCE(A59,""price"")"),1203.3)</f>
        <v>1203.3</v>
      </c>
      <c r="C59" s="60">
        <f>IFERROR(__xludf.DUMMYFUNCTION("GOOGLEFINANCE(A59,""closeyest"")"),1187.6)</f>
        <v>1187.6</v>
      </c>
      <c r="D59" s="61">
        <f>IFERROR(__xludf.DUMMYFUNCTION("MIN(index(GOOGLEFINANCE(A59,""ALL"",TODAY()-180,TODAY()),0,5))*1.2"),1217.76)</f>
        <v>1217.76</v>
      </c>
      <c r="E59" s="62">
        <f>IFERROR(__xludf.DUMMYFUNCTION("AVERAGE(QUERY(SORT(GOOGLEFINANCE(A59,""price"",TODAY()-320,TODAY()),1,0),""select Col2 limit 100""))"),1144.2219999999993)</f>
        <v>1144.222</v>
      </c>
      <c r="F59" s="44">
        <f>IFERROR(__xludf.DUMMYFUNCTION("GOOGLEFINANCE(A59,""high52"")"),1282.7)</f>
        <v>1282.7</v>
      </c>
      <c r="G59" s="45">
        <f>IFERROR(__xludf.DUMMYFUNCTION("to_date(index(sort(GOOGLEFINANCE(A59, ""high"", today()-52*7, today(), ""DAILY""),2,0),2,1))"),46154.64583333333)</f>
        <v>46154.64583</v>
      </c>
      <c r="H59" s="44">
        <f>IFERROR(__xludf.DUMMYFUNCTION("GOOGLEFINANCE(A59,""low52"")"),1007.2)</f>
        <v>1007.2</v>
      </c>
      <c r="I59" s="45">
        <f>IFERROR(__xludf.DUMMYFUNCTION("to_date(index(sort(GOOGLEFINANCE(A59, ""low"", today()-52*7, today(), ""DAILY""),2,1),1,1))"),46114.64583333333)</f>
        <v>46114.64583</v>
      </c>
      <c r="J59" s="46" t="str">
        <f t="shared" si="1"/>
        <v>Do Not Buy Today</v>
      </c>
    </row>
    <row r="60">
      <c r="A60" s="58" t="s">
        <v>163</v>
      </c>
      <c r="B60" s="59">
        <f>IFERROR(__xludf.DUMMYFUNCTION("GOOGLEFINANCE(A60,""price"")"),276.2)</f>
        <v>276.2</v>
      </c>
      <c r="C60" s="60">
        <f>IFERROR(__xludf.DUMMYFUNCTION("GOOGLEFINANCE(A60,""closeyest"")"),287.5)</f>
        <v>287.5</v>
      </c>
      <c r="D60" s="61">
        <f>IFERROR(__xludf.DUMMYFUNCTION("MIN(index(GOOGLEFINANCE(A60,""ALL"",TODAY()-180,TODAY()),0,5))*1.2"),277.70399999999995)</f>
        <v>277.704</v>
      </c>
      <c r="E60" s="62">
        <f>IFERROR(__xludf.DUMMYFUNCTION("AVERAGE(QUERY(SORT(GOOGLEFINANCE(A60,""price"",TODAY()-320,TODAY()),1,0),""select Col2 limit 100""))"),270.932)</f>
        <v>270.932</v>
      </c>
      <c r="F60" s="44">
        <f>IFERROR(__xludf.DUMMYFUNCTION("GOOGLEFINANCE(A60,""high52"")"),307.5)</f>
        <v>307.5</v>
      </c>
      <c r="G60" s="45">
        <f>IFERROR(__xludf.DUMMYFUNCTION("to_date(index(sort(GOOGLEFINANCE(A60, ""high"", today()-52*7, today(), ""DAILY""),2,0),2,1))"),46141.64583333333)</f>
        <v>46141.64583</v>
      </c>
      <c r="H60" s="44">
        <f>IFERROR(__xludf.DUMMYFUNCTION("GOOGLEFINANCE(A60,""low52"")"),228.61)</f>
        <v>228.61</v>
      </c>
      <c r="I60" s="45">
        <f>IFERROR(__xludf.DUMMYFUNCTION("to_date(index(sort(GOOGLEFINANCE(A60, ""low"", today()-52*7, today(), ""DAILY""),2,1),1,1))"),46008.64583333333)</f>
        <v>46008.64583</v>
      </c>
      <c r="J60" s="46" t="str">
        <f t="shared" si="1"/>
        <v>Do Not Buy Today</v>
      </c>
    </row>
    <row r="61">
      <c r="A61" s="58" t="s">
        <v>164</v>
      </c>
      <c r="B61" s="59">
        <f>IFERROR(__xludf.DUMMYFUNCTION("GOOGLEFINANCE(A61,""price"")"),2200.9)</f>
        <v>2200.9</v>
      </c>
      <c r="C61" s="60">
        <f>IFERROR(__xludf.DUMMYFUNCTION("GOOGLEFINANCE(A61,""closeyest"")"),2209.4)</f>
        <v>2209.4</v>
      </c>
      <c r="D61" s="61">
        <f>IFERROR(__xludf.DUMMYFUNCTION("MIN(index(GOOGLEFINANCE(A61,""ALL"",TODAY()-180,TODAY()),0,5))*1.2"),2462.64)</f>
        <v>2462.64</v>
      </c>
      <c r="E61" s="62">
        <f>IFERROR(__xludf.DUMMYFUNCTION("AVERAGE(QUERY(SORT(GOOGLEFINANCE(A61,""price"",TODAY()-320,TODAY()),1,0),""select Col2 limit 100""))"),2275.9300000000003)</f>
        <v>2275.93</v>
      </c>
      <c r="F61" s="44">
        <f>IFERROR(__xludf.DUMMYFUNCTION("GOOGLEFINANCE(A61,""high52"")"),2715.44)</f>
        <v>2715.44</v>
      </c>
      <c r="G61" s="45">
        <f>IFERROR(__xludf.DUMMYFUNCTION("to_date(index(sort(GOOGLEFINANCE(A61, ""high"", today()-52*7, today(), ""DAILY""),2,0),2,1))"),45904.64583333333)</f>
        <v>45904.64583</v>
      </c>
      <c r="H61" s="44">
        <f>IFERROR(__xludf.DUMMYFUNCTION("GOOGLEFINANCE(A61,""low52"")"),2022.5)</f>
        <v>2022.5</v>
      </c>
      <c r="I61" s="45">
        <f>IFERROR(__xludf.DUMMYFUNCTION("to_date(index(sort(GOOGLEFINANCE(A61, ""low"", today()-52*7, today(), ""DAILY""),2,1),1,1))"),46114.64583333333)</f>
        <v>46114.64583</v>
      </c>
      <c r="J61" s="46" t="str">
        <f t="shared" si="1"/>
        <v>Do Not Buy Today</v>
      </c>
    </row>
    <row r="62">
      <c r="A62" s="58" t="s">
        <v>165</v>
      </c>
      <c r="B62" s="59">
        <f>IFERROR(__xludf.DUMMYFUNCTION("GOOGLEFINANCE(A62,""price"")"),127315.0)</f>
        <v>127315</v>
      </c>
      <c r="C62" s="60">
        <f>IFERROR(__xludf.DUMMYFUNCTION("GOOGLEFINANCE(A62,""closeyest"")"),127160.0)</f>
        <v>127160</v>
      </c>
      <c r="D62" s="61">
        <f>IFERROR(__xludf.DUMMYFUNCTION("MIN(index(GOOGLEFINANCE(A62,""ALL"",TODAY()-180,TODAY()),0,5))*1.2"),149970.0)</f>
        <v>149970</v>
      </c>
      <c r="E62" s="62">
        <f>IFERROR(__xludf.DUMMYFUNCTION("AVERAGE(QUERY(SORT(GOOGLEFINANCE(A62,""price"",TODAY()-320,TODAY()),1,0),""select Col2 limit 100""))"),137465.8)</f>
        <v>137465.8</v>
      </c>
      <c r="F62" s="44">
        <f>IFERROR(__xludf.DUMMYFUNCTION("GOOGLEFINANCE(A62,""high52"")"),163600.0)</f>
        <v>163600</v>
      </c>
      <c r="G62" s="45">
        <f>IFERROR(__xludf.DUMMYFUNCTION("to_date(index(sort(GOOGLEFINANCE(A62, ""high"", today()-52*7, today(), ""DAILY""),2,0),2,1))"),45954.64583333333)</f>
        <v>45954.64583</v>
      </c>
      <c r="H62" s="44">
        <f>IFERROR(__xludf.DUMMYFUNCTION("GOOGLEFINANCE(A62,""low52"")"),123455.0)</f>
        <v>123455</v>
      </c>
      <c r="I62" s="45">
        <f>IFERROR(__xludf.DUMMYFUNCTION("to_date(index(sort(GOOGLEFINANCE(A62, ""low"", today()-52*7, today(), ""DAILY""),2,1),1,1))"),46104.64583333333)</f>
        <v>46104.64583</v>
      </c>
      <c r="J62" s="46" t="str">
        <f t="shared" si="1"/>
        <v>Do Not Buy Today</v>
      </c>
    </row>
    <row r="63">
      <c r="A63" s="58" t="s">
        <v>166</v>
      </c>
      <c r="B63" s="59">
        <f>IFERROR(__xludf.DUMMYFUNCTION("GOOGLEFINANCE(A63,""price"")"),442.6)</f>
        <v>442.6</v>
      </c>
      <c r="C63" s="60">
        <f>IFERROR(__xludf.DUMMYFUNCTION("GOOGLEFINANCE(A63,""closeyest"")"),447.6)</f>
        <v>447.6</v>
      </c>
      <c r="D63" s="61">
        <f>IFERROR(__xludf.DUMMYFUNCTION("MIN(index(GOOGLEFINANCE(A63,""ALL"",TODAY()-180,TODAY()),0,5))*1.2"),492.53999999999996)</f>
        <v>492.54</v>
      </c>
      <c r="E63" s="62">
        <f>IFERROR(__xludf.DUMMYFUNCTION("AVERAGE(QUERY(SORT(GOOGLEFINANCE(A63,""price"",TODAY()-320,TODAY()),1,0),""select Col2 limit 100""))"),477.40249999999986)</f>
        <v>477.4025</v>
      </c>
      <c r="F63" s="44">
        <f>IFERROR(__xludf.DUMMYFUNCTION("GOOGLEFINANCE(A63,""high52"")"),577.0)</f>
        <v>577</v>
      </c>
      <c r="G63" s="45">
        <f>IFERROR(__xludf.DUMMYFUNCTION("to_date(index(sort(GOOGLEFINANCE(A63, ""high"", today()-52*7, today(), ""DAILY""),2,0),2,1))"),45904.64583333333)</f>
        <v>45904.64583</v>
      </c>
      <c r="H63" s="44">
        <f>IFERROR(__xludf.DUMMYFUNCTION("GOOGLEFINANCE(A63,""low52"")"),403.35)</f>
        <v>403.35</v>
      </c>
      <c r="I63" s="45">
        <f>IFERROR(__xludf.DUMMYFUNCTION("to_date(index(sort(GOOGLEFINANCE(A63, ""low"", today()-52*7, today(), ""DAILY""),2,1),1,1))"),46114.64583333333)</f>
        <v>46114.64583</v>
      </c>
      <c r="J63" s="46" t="str">
        <f t="shared" si="1"/>
        <v>Do Not Buy Today</v>
      </c>
    </row>
    <row r="64">
      <c r="A64" s="58" t="s">
        <v>167</v>
      </c>
      <c r="B64" s="59">
        <f>IFERROR(__xludf.DUMMYFUNCTION("GOOGLEFINANCE(A64,""price"")"),1166.0)</f>
        <v>1166</v>
      </c>
      <c r="C64" s="60">
        <f>IFERROR(__xludf.DUMMYFUNCTION("GOOGLEFINANCE(A64,""closeyest"")"),1161.9)</f>
        <v>1161.9</v>
      </c>
      <c r="D64" s="61">
        <f>IFERROR(__xludf.DUMMYFUNCTION("MIN(index(GOOGLEFINANCE(A64,""ALL"",TODAY()-180,TODAY()),0,5))*1.2"),1348.8)</f>
        <v>1348.8</v>
      </c>
      <c r="E64" s="62">
        <f>IFERROR(__xludf.DUMMYFUNCTION("AVERAGE(QUERY(SORT(GOOGLEFINANCE(A64,""price"",TODAY()-320,TODAY()),1,0),""select Col2 limit 100""))"),1428.5520000000004)</f>
        <v>1428.552</v>
      </c>
      <c r="F64" s="44">
        <f>IFERROR(__xludf.DUMMYFUNCTION("GOOGLEFINANCE(A64,""high52"")"),1780.1)</f>
        <v>1780.1</v>
      </c>
      <c r="G64" s="45">
        <f>IFERROR(__xludf.DUMMYFUNCTION("to_date(index(sort(GOOGLEFINANCE(A64, ""high"", today()-52*7, today(), ""DAILY""),2,0),2,1))"),46056.64583333333)</f>
        <v>46056.64583</v>
      </c>
      <c r="H64" s="44">
        <f>IFERROR(__xludf.DUMMYFUNCTION("GOOGLEFINANCE(A64,""low52"")"),1103.4)</f>
        <v>1103.4</v>
      </c>
      <c r="I64" s="45">
        <f>IFERROR(__xludf.DUMMYFUNCTION("to_date(index(sort(GOOGLEFINANCE(A64, ""low"", today()-52*7, today(), ""DAILY""),2,1),1,1))"),46156.64583333333)</f>
        <v>46156.64583</v>
      </c>
      <c r="J64" s="46" t="str">
        <f t="shared" si="1"/>
        <v>Do Not Buy Today</v>
      </c>
    </row>
    <row r="65">
      <c r="A65" s="58" t="s">
        <v>168</v>
      </c>
      <c r="B65" s="59">
        <f>IFERROR(__xludf.DUMMYFUNCTION("GOOGLEFINANCE(A65,""price"")"),353.55)</f>
        <v>353.55</v>
      </c>
      <c r="C65" s="60">
        <f>IFERROR(__xludf.DUMMYFUNCTION("GOOGLEFINANCE(A65,""closeyest"")"),344.9)</f>
        <v>344.9</v>
      </c>
      <c r="D65" s="61">
        <f>IFERROR(__xludf.DUMMYFUNCTION("MIN(index(GOOGLEFINANCE(A65,""ALL"",TODAY()-180,TODAY()),0,5))*1.2"),325.86)</f>
        <v>325.86</v>
      </c>
      <c r="E65" s="62">
        <f>IFERROR(__xludf.DUMMYFUNCTION("AVERAGE(QUERY(SORT(GOOGLEFINANCE(A65,""price"",TODAY()-320,TODAY()),1,0),""select Col2 limit 100""))"),622.1615)</f>
        <v>622.1615</v>
      </c>
      <c r="F65" s="44">
        <f>IFERROR(__xludf.DUMMYFUNCTION("GOOGLEFINANCE(A65,""high52"")"),357.95)</f>
        <v>357.95</v>
      </c>
      <c r="G65" s="45">
        <f>IFERROR(__xludf.DUMMYFUNCTION("to_date(index(sort(GOOGLEFINANCE(A65, ""high"", today()-52*7, today(), ""DAILY""),2,0),2,1))"),46133.64583333333)</f>
        <v>46133.64583</v>
      </c>
      <c r="H65" s="44">
        <f>IFERROR(__xludf.DUMMYFUNCTION("GOOGLEFINANCE(A65,""low52"")"),151.2)</f>
        <v>151.2</v>
      </c>
      <c r="I65" s="45">
        <f>IFERROR(__xludf.DUMMYFUNCTION("to_date(index(sort(GOOGLEFINANCE(A65, ""low"", today()-52*7, today(), ""DAILY""),2,1),1,1))"),46142.64583333333)</f>
        <v>46142.64583</v>
      </c>
      <c r="J65" s="46" t="str">
        <f t="shared" si="1"/>
        <v>Do Not Buy Today</v>
      </c>
    </row>
    <row r="66">
      <c r="A66" s="58" t="s">
        <v>169</v>
      </c>
      <c r="B66" s="59">
        <f>IFERROR(__xludf.DUMMYFUNCTION("GOOGLEFINANCE(A66,""price"")"),1475.6)</f>
        <v>1475.6</v>
      </c>
      <c r="C66" s="60">
        <f>IFERROR(__xludf.DUMMYFUNCTION("GOOGLEFINANCE(A66,""closeyest"")"),1458.7)</f>
        <v>1458.7</v>
      </c>
      <c r="D66" s="61">
        <f>IFERROR(__xludf.DUMMYFUNCTION("MIN(index(GOOGLEFINANCE(A66,""ALL"",TODAY()-180,TODAY()),0,5))*1.2"),1598.04)</f>
        <v>1598.04</v>
      </c>
      <c r="E66" s="62">
        <f>IFERROR(__xludf.DUMMYFUNCTION("AVERAGE(QUERY(SORT(GOOGLEFINANCE(A66,""price"",TODAY()-320,TODAY()),1,0),""select Col2 limit 100""))"),1495.4699999999998)</f>
        <v>1495.47</v>
      </c>
      <c r="F66" s="44">
        <f>IFERROR(__xludf.DUMMYFUNCTION("GOOGLEFINANCE(A66,""high52"")"),1854.0)</f>
        <v>1854</v>
      </c>
      <c r="G66" s="45">
        <f>IFERROR(__xludf.DUMMYFUNCTION("to_date(index(sort(GOOGLEFINANCE(A66, ""high"", today()-52*7, today(), ""DAILY""),2,0),2,1))"),46056.64583333333)</f>
        <v>46056.64583</v>
      </c>
      <c r="H66" s="44">
        <f>IFERROR(__xludf.DUMMYFUNCTION("GOOGLEFINANCE(A66,""low52"")"),1304.1)</f>
        <v>1304.1</v>
      </c>
      <c r="I66" s="45">
        <f>IFERROR(__xludf.DUMMYFUNCTION("to_date(index(sort(GOOGLEFINANCE(A66, ""low"", today()-52*7, today(), ""DAILY""),2,1),1,1))"),46090.64583333333)</f>
        <v>46090.64583</v>
      </c>
      <c r="J66" s="46" t="str">
        <f t="shared" si="1"/>
        <v>Do Not Buy Today</v>
      </c>
    </row>
    <row r="67">
      <c r="A67" s="58" t="s">
        <v>170</v>
      </c>
      <c r="B67" s="59">
        <f>IFERROR(__xludf.DUMMYFUNCTION("GOOGLEFINANCE(A67,""price"")"),1424.0)</f>
        <v>1424</v>
      </c>
      <c r="C67" s="60">
        <f>IFERROR(__xludf.DUMMYFUNCTION("GOOGLEFINANCE(A67,""closeyest"")"),1417.5)</f>
        <v>1417.5</v>
      </c>
      <c r="D67" s="61">
        <f>IFERROR(__xludf.DUMMYFUNCTION("MIN(index(GOOGLEFINANCE(A67,""ALL"",TODAY()-180,TODAY()),0,5))*1.2"),1430.88)</f>
        <v>1430.88</v>
      </c>
      <c r="E67" s="62">
        <f>IFERROR(__xludf.DUMMYFUNCTION("AVERAGE(QUERY(SORT(GOOGLEFINANCE(A67,""price"",TODAY()-320,TODAY()),1,0),""select Col2 limit 100""))"),1338.3139999999999)</f>
        <v>1338.314</v>
      </c>
      <c r="F67" s="44">
        <f>IFERROR(__xludf.DUMMYFUNCTION("GOOGLEFINANCE(A67,""high52"")"),1673.0)</f>
        <v>1673</v>
      </c>
      <c r="G67" s="45">
        <f>IFERROR(__xludf.DUMMYFUNCTION("to_date(index(sort(GOOGLEFINANCE(A67, ""high"", today()-52*7, today(), ""DAILY""),2,0),2,1))"),45953.64583333333)</f>
        <v>45953.64583</v>
      </c>
      <c r="H67" s="44">
        <f>IFERROR(__xludf.DUMMYFUNCTION("GOOGLEFINANCE(A67,""low52"")"),1165.7)</f>
        <v>1165.7</v>
      </c>
      <c r="I67" s="45">
        <f>IFERROR(__xludf.DUMMYFUNCTION("to_date(index(sort(GOOGLEFINANCE(A67, ""low"", today()-52*7, today(), ""DAILY""),2,1),1,1))"),46114.64583333333)</f>
        <v>46114.64583</v>
      </c>
      <c r="J67" s="46" t="str">
        <f t="shared" si="1"/>
        <v>Do Not Buy Today</v>
      </c>
    </row>
    <row r="68">
      <c r="A68" s="58" t="s">
        <v>171</v>
      </c>
      <c r="B68" s="59">
        <f>IFERROR(__xludf.DUMMYFUNCTION("GOOGLEFINANCE(A68,""price"")"),932.9)</f>
        <v>932.9</v>
      </c>
      <c r="C68" s="60">
        <f>IFERROR(__xludf.DUMMYFUNCTION("GOOGLEFINANCE(A68,""closeyest"")"),932.3)</f>
        <v>932.3</v>
      </c>
      <c r="D68" s="61">
        <f>IFERROR(__xludf.DUMMYFUNCTION("MIN(index(GOOGLEFINANCE(A68,""ALL"",TODAY()-180,TODAY()),0,5))*1.2"),902.94)</f>
        <v>902.94</v>
      </c>
      <c r="E68" s="62">
        <f>IFERROR(__xludf.DUMMYFUNCTION("AVERAGE(QUERY(SORT(GOOGLEFINANCE(A68,""price"",TODAY()-320,TODAY()),1,0),""select Col2 limit 100""))"),886.055)</f>
        <v>886.055</v>
      </c>
      <c r="F68" s="44">
        <f>IFERROR(__xludf.DUMMYFUNCTION("GOOGLEFINANCE(A68,""high52"")"),968.85)</f>
        <v>968.85</v>
      </c>
      <c r="G68" s="45">
        <f>IFERROR(__xludf.DUMMYFUNCTION("to_date(index(sort(GOOGLEFINANCE(A68, ""high"", today()-52*7, today(), ""DAILY""),2,0),2,1))"),46079.64583333333)</f>
        <v>46079.64583</v>
      </c>
      <c r="H68" s="44">
        <f>IFERROR(__xludf.DUMMYFUNCTION("GOOGLEFINANCE(A68,""low52"")"),710.6)</f>
        <v>710.6</v>
      </c>
      <c r="I68" s="45">
        <f>IFERROR(__xludf.DUMMYFUNCTION("to_date(index(sort(GOOGLEFINANCE(A68, ""low"", today()-52*7, today(), ""DAILY""),2,1),1,1))"),45926.64583333333)</f>
        <v>45926.64583</v>
      </c>
      <c r="J68" s="46" t="str">
        <f t="shared" si="1"/>
        <v>Do Not Buy Today</v>
      </c>
    </row>
    <row r="69">
      <c r="A69" s="58" t="s">
        <v>172</v>
      </c>
      <c r="B69" s="59">
        <f>IFERROR(__xludf.DUMMYFUNCTION("GOOGLEFINANCE(A69,""price"")"),5322.0)</f>
        <v>5322</v>
      </c>
      <c r="C69" s="60">
        <f>IFERROR(__xludf.DUMMYFUNCTION("GOOGLEFINANCE(A69,""closeyest"")"),5338.0)</f>
        <v>5338</v>
      </c>
      <c r="D69" s="61">
        <f>IFERROR(__xludf.DUMMYFUNCTION("MIN(index(GOOGLEFINANCE(A69,""ALL"",TODAY()-180,TODAY()),0,5))*1.2"),6392.4)</f>
        <v>6392.4</v>
      </c>
      <c r="E69" s="62">
        <f>IFERROR(__xludf.DUMMYFUNCTION("AVERAGE(QUERY(SORT(GOOGLEFINANCE(A69,""price"",TODAY()-320,TODAY()),1,0),""select Col2 limit 100""))"),5785.75)</f>
        <v>5785.75</v>
      </c>
      <c r="F69" s="44">
        <f>IFERROR(__xludf.DUMMYFUNCTION("GOOGLEFINANCE(A69,""high52"")"),6336.0)</f>
        <v>6336</v>
      </c>
      <c r="G69" s="45">
        <f>IFERROR(__xludf.DUMMYFUNCTION("to_date(index(sort(GOOGLEFINANCE(A69, ""high"", today()-52*7, today(), ""DAILY""),2,0),2,1))"),45904.64583333333)</f>
        <v>45904.64583</v>
      </c>
      <c r="H69" s="44">
        <f>IFERROR(__xludf.DUMMYFUNCTION("GOOGLEFINANCE(A69,""low52"")"),5279.5)</f>
        <v>5279.5</v>
      </c>
      <c r="I69" s="45">
        <f>IFERROR(__xludf.DUMMYFUNCTION("to_date(index(sort(GOOGLEFINANCE(A69, ""low"", today()-52*7, today(), ""DAILY""),2,1),1,1))"),46155.64583333333)</f>
        <v>46155.64583</v>
      </c>
      <c r="J69" s="46" t="str">
        <f t="shared" si="1"/>
        <v>Do Not Buy Today</v>
      </c>
    </row>
    <row r="70">
      <c r="A70" s="58" t="s">
        <v>173</v>
      </c>
      <c r="B70" s="59">
        <f>IFERROR(__xludf.DUMMYFUNCTION("GOOGLEFINANCE(A70,""price"")"),1899.6)</f>
        <v>1899.6</v>
      </c>
      <c r="C70" s="60">
        <f>IFERROR(__xludf.DUMMYFUNCTION("GOOGLEFINANCE(A70,""closeyest"")"),1884.0)</f>
        <v>1884</v>
      </c>
      <c r="D70" s="61">
        <f>IFERROR(__xludf.DUMMYFUNCTION("MIN(index(GOOGLEFINANCE(A70,""ALL"",TODAY()-180,TODAY()),0,5))*1.2"),2029.68)</f>
        <v>2029.68</v>
      </c>
      <c r="E70" s="62">
        <f>IFERROR(__xludf.DUMMYFUNCTION("AVERAGE(QUERY(SORT(GOOGLEFINANCE(A70,""price"",TODAY()-320,TODAY()),1,0),""select Col2 limit 100""))"),2037.1679999999992)</f>
        <v>2037.168</v>
      </c>
      <c r="F70" s="44">
        <f>IFERROR(__xludf.DUMMYFUNCTION("GOOGLEFINANCE(A70,""high52"")"),2890.0)</f>
        <v>2890</v>
      </c>
      <c r="G70" s="45">
        <f>IFERROR(__xludf.DUMMYFUNCTION("to_date(index(sort(GOOGLEFINANCE(A70, ""high"", today()-52*7, today(), ""DAILY""),2,0),2,1))"),45922.64583333333)</f>
        <v>45922.64583</v>
      </c>
      <c r="H70" s="44">
        <f>IFERROR(__xludf.DUMMYFUNCTION("GOOGLEFINANCE(A70,""low52"")"),1658.0)</f>
        <v>1658</v>
      </c>
      <c r="I70" s="45">
        <f>IFERROR(__xludf.DUMMYFUNCTION("to_date(index(sort(GOOGLEFINANCE(A70, ""low"", today()-52*7, today(), ""DAILY""),2,1),1,1))"),46118.64583333333)</f>
        <v>46118.64583</v>
      </c>
      <c r="J70" s="46" t="str">
        <f t="shared" si="1"/>
        <v>Do Not Buy Today</v>
      </c>
    </row>
    <row r="71">
      <c r="A71" s="58" t="s">
        <v>174</v>
      </c>
      <c r="B71" s="59">
        <f>IFERROR(__xludf.DUMMYFUNCTION("GOOGLEFINANCE(A71,""price"")"),394.2)</f>
        <v>394.2</v>
      </c>
      <c r="C71" s="60">
        <f>IFERROR(__xludf.DUMMYFUNCTION("GOOGLEFINANCE(A71,""closeyest"")"),389.7)</f>
        <v>389.7</v>
      </c>
      <c r="D71" s="61">
        <f>IFERROR(__xludf.DUMMYFUNCTION("MIN(index(GOOGLEFINANCE(A71,""ALL"",TODAY()-180,TODAY()),0,5))*1.2"),382.2)</f>
        <v>382.2</v>
      </c>
      <c r="E71" s="62">
        <f>IFERROR(__xludf.DUMMYFUNCTION("AVERAGE(QUERY(SORT(GOOGLEFINANCE(A71,""price"",TODAY()-320,TODAY()),1,0),""select Col2 limit 100""))"),372.36100000000005)</f>
        <v>372.361</v>
      </c>
      <c r="F71" s="44">
        <f>IFERROR(__xludf.DUMMYFUNCTION("GOOGLEFINANCE(A71,""high52"")"),414.4)</f>
        <v>414.4</v>
      </c>
      <c r="G71" s="45">
        <f>IFERROR(__xludf.DUMMYFUNCTION("to_date(index(sort(GOOGLEFINANCE(A71, ""high"", today()-52*7, today(), ""DAILY""),2,0),2,1))"),46139.64583333333)</f>
        <v>46139.64583</v>
      </c>
      <c r="H71" s="44">
        <f>IFERROR(__xludf.DUMMYFUNCTION("GOOGLEFINANCE(A71,""low52"")"),315.55)</f>
        <v>315.55</v>
      </c>
      <c r="I71" s="45">
        <f>IFERROR(__xludf.DUMMYFUNCTION("to_date(index(sort(GOOGLEFINANCE(A71, ""low"", today()-52*7, today(), ""DAILY""),2,1),1,1))"),46000.64583333333)</f>
        <v>46000.64583</v>
      </c>
      <c r="J71" s="46" t="str">
        <f t="shared" si="1"/>
        <v>Do Not Buy Today</v>
      </c>
    </row>
    <row r="72">
      <c r="A72" s="58" t="s">
        <v>175</v>
      </c>
      <c r="B72" s="59">
        <f>IFERROR(__xludf.DUMMYFUNCTION("GOOGLEFINANCE(A72,""price"")"),1592.1)</f>
        <v>1592.1</v>
      </c>
      <c r="C72" s="60">
        <f>IFERROR(__xludf.DUMMYFUNCTION("GOOGLEFINANCE(A72,""closeyest"")"),1578.8)</f>
        <v>1578.8</v>
      </c>
      <c r="D72" s="61">
        <f>IFERROR(__xludf.DUMMYFUNCTION("MIN(index(GOOGLEFINANCE(A72,""ALL"",TODAY()-180,TODAY()),0,5))*1.2"),1617.36)</f>
        <v>1617.36</v>
      </c>
      <c r="E72" s="62">
        <f>IFERROR(__xludf.DUMMYFUNCTION("AVERAGE(QUERY(SORT(GOOGLEFINANCE(A72,""price"",TODAY()-320,TODAY()),1,0),""select Col2 limit 100""))"),1549.5639999999996)</f>
        <v>1549.564</v>
      </c>
      <c r="F72" s="44">
        <f>IFERROR(__xludf.DUMMYFUNCTION("GOOGLEFINANCE(A72,""high52"")"),1768.7)</f>
        <v>1768.7</v>
      </c>
      <c r="G72" s="45">
        <f>IFERROR(__xludf.DUMMYFUNCTION("to_date(index(sort(GOOGLEFINANCE(A72, ""high"", today()-52*7, today(), ""DAILY""),2,0),2,1))"),46092.64583333333)</f>
        <v>46092.64583</v>
      </c>
      <c r="H72" s="44">
        <f>IFERROR(__xludf.DUMMYFUNCTION("GOOGLEFINANCE(A72,""low52"")"),1263.7)</f>
        <v>1263.7</v>
      </c>
      <c r="I72" s="45">
        <f>IFERROR(__xludf.DUMMYFUNCTION("to_date(index(sort(GOOGLEFINANCE(A72, ""low"", today()-52*7, today(), ""DAILY""),2,1),1,1))"),45881.64583333333)</f>
        <v>45881.64583</v>
      </c>
      <c r="J72" s="46" t="str">
        <f t="shared" si="1"/>
        <v>Do Not Buy Today</v>
      </c>
    </row>
    <row r="73">
      <c r="A73" s="58" t="s">
        <v>176</v>
      </c>
      <c r="B73" s="59">
        <f>IFERROR(__xludf.DUMMYFUNCTION("GOOGLEFINANCE(A73,""price"")"),2280.2)</f>
        <v>2280.2</v>
      </c>
      <c r="C73" s="60">
        <f>IFERROR(__xludf.DUMMYFUNCTION("GOOGLEFINANCE(A73,""closeyest"")"),2276.2)</f>
        <v>2276.2</v>
      </c>
      <c r="D73" s="61">
        <f>IFERROR(__xludf.DUMMYFUNCTION("MIN(index(GOOGLEFINANCE(A73,""ALL"",TODAY()-180,TODAY()),0,5))*1.2"),2695.2)</f>
        <v>2695.2</v>
      </c>
      <c r="E73" s="62">
        <f>IFERROR(__xludf.DUMMYFUNCTION("AVERAGE(QUERY(SORT(GOOGLEFINANCE(A73,""price"",TODAY()-320,TODAY()),1,0),""select Col2 limit 100""))"),2696.666)</f>
        <v>2696.666</v>
      </c>
      <c r="F73" s="44">
        <f>IFERROR(__xludf.DUMMYFUNCTION("GOOGLEFINANCE(A73,""high52"")"),3540.0)</f>
        <v>3540</v>
      </c>
      <c r="G73" s="45">
        <f>IFERROR(__xludf.DUMMYFUNCTION("to_date(index(sort(GOOGLEFINANCE(A73, ""high"", today()-52*7, today(), ""DAILY""),2,0),2,1))"),45826.64583333333)</f>
        <v>45826.64583</v>
      </c>
      <c r="H73" s="44">
        <f>IFERROR(__xludf.DUMMYFUNCTION("GOOGLEFINANCE(A73,""low52"")"),2206.4)</f>
        <v>2206.4</v>
      </c>
      <c r="I73" s="45">
        <f>IFERROR(__xludf.DUMMYFUNCTION("to_date(index(sort(GOOGLEFINANCE(A73, ""low"", today()-52*7, today(), ""DAILY""),2,1),1,1))"),46129.64583333333)</f>
        <v>46129.64583</v>
      </c>
      <c r="J73" s="46" t="str">
        <f t="shared" si="1"/>
        <v>Do Not Buy Today</v>
      </c>
    </row>
    <row r="74">
      <c r="A74" s="58" t="s">
        <v>177</v>
      </c>
      <c r="B74" s="59">
        <f>IFERROR(__xludf.DUMMYFUNCTION("GOOGLEFINANCE(A74,""price"")"),165.95)</f>
        <v>165.95</v>
      </c>
      <c r="C74" s="60">
        <f>IFERROR(__xludf.DUMMYFUNCTION("GOOGLEFINANCE(A74,""closeyest"")"),166.01)</f>
        <v>166.01</v>
      </c>
      <c r="D74" s="61">
        <f>IFERROR(__xludf.DUMMYFUNCTION("MIN(index(GOOGLEFINANCE(A74,""ALL"",TODAY()-180,TODAY()),0,5))*1.2"),174.744)</f>
        <v>174.744</v>
      </c>
      <c r="E74" s="62">
        <f>IFERROR(__xludf.DUMMYFUNCTION("AVERAGE(QUERY(SORT(GOOGLEFINANCE(A74,""price"",TODAY()-320,TODAY()),1,0),""select Col2 limit 100""))"),167.6327)</f>
        <v>167.6327</v>
      </c>
      <c r="F74" s="44">
        <f>IFERROR(__xludf.DUMMYFUNCTION("GOOGLEFINANCE(A74,""high52"")"),229.0)</f>
        <v>229</v>
      </c>
      <c r="G74" s="45">
        <f>IFERROR(__xludf.DUMMYFUNCTION("to_date(index(sort(GOOGLEFINANCE(A74, ""high"", today()-52*7, today(), ""DAILY""),2,0),2,1))"),45842.64583333333)</f>
        <v>45842.64583</v>
      </c>
      <c r="H74" s="44">
        <f>IFERROR(__xludf.DUMMYFUNCTION("GOOGLEFINANCE(A74,""low52"")"),141.74)</f>
        <v>141.74</v>
      </c>
      <c r="I74" s="45">
        <f>IFERROR(__xludf.DUMMYFUNCTION("to_date(index(sort(GOOGLEFINANCE(A74, ""low"", today()-52*7, today(), ""DAILY""),2,1),1,1))"),46114.64583333333)</f>
        <v>46114.64583</v>
      </c>
      <c r="J74" s="46" t="str">
        <f t="shared" si="1"/>
        <v>Do Not Buy Today</v>
      </c>
    </row>
    <row r="75">
      <c r="A75" s="58" t="s">
        <v>178</v>
      </c>
      <c r="B75" s="59">
        <f>IFERROR(__xludf.DUMMYFUNCTION("GOOGLEFINANCE(A75,""price"")"),1211.2)</f>
        <v>1211.2</v>
      </c>
      <c r="C75" s="60">
        <f>IFERROR(__xludf.DUMMYFUNCTION("GOOGLEFINANCE(A75,""closeyest"")"),1201.0)</f>
        <v>1201</v>
      </c>
      <c r="D75" s="61">
        <f>IFERROR(__xludf.DUMMYFUNCTION("MIN(index(GOOGLEFINANCE(A75,""ALL"",TODAY()-180,TODAY()),0,5))*1.2"),1416.7199999999998)</f>
        <v>1416.72</v>
      </c>
      <c r="E75" s="62">
        <f>IFERROR(__xludf.DUMMYFUNCTION("AVERAGE(QUERY(SORT(GOOGLEFINANCE(A75,""price"",TODAY()-320,TODAY()),1,0),""select Col2 limit 100""))"),1320.3049999999996)</f>
        <v>1320.305</v>
      </c>
      <c r="F75" s="44">
        <f>IFERROR(__xludf.DUMMYFUNCTION("GOOGLEFINANCE(A75,""high52"")"),1621.1)</f>
        <v>1621.1</v>
      </c>
      <c r="G75" s="45">
        <f>IFERROR(__xludf.DUMMYFUNCTION("to_date(index(sort(GOOGLEFINANCE(A75, ""high"", today()-52*7, today(), ""DAILY""),2,0),2,1))"),45917.64583333333)</f>
        <v>45917.64583</v>
      </c>
      <c r="H75" s="44">
        <f>IFERROR(__xludf.DUMMYFUNCTION("GOOGLEFINANCE(A75,""low52"")"),1142.5)</f>
        <v>1142.5</v>
      </c>
      <c r="I75" s="45">
        <f>IFERROR(__xludf.DUMMYFUNCTION("to_date(index(sort(GOOGLEFINANCE(A75, ""low"", today()-52*7, today(), ""DAILY""),2,1),1,1))"),46114.64583333333)</f>
        <v>46114.64583</v>
      </c>
      <c r="J75" s="46" t="str">
        <f t="shared" si="1"/>
        <v>Do Not Buy Today</v>
      </c>
    </row>
    <row r="76">
      <c r="A76" s="58" t="s">
        <v>179</v>
      </c>
      <c r="B76" s="59">
        <f>IFERROR(__xludf.DUMMYFUNCTION("GOOGLEFINANCE(A76,""price"")"),657.5)</f>
        <v>657.5</v>
      </c>
      <c r="C76" s="60">
        <f>IFERROR(__xludf.DUMMYFUNCTION("GOOGLEFINANCE(A76,""closeyest"")"),647.4)</f>
        <v>647.4</v>
      </c>
      <c r="D76" s="61">
        <f>IFERROR(__xludf.DUMMYFUNCTION("MIN(index(GOOGLEFINANCE(A76,""ALL"",TODAY()-180,TODAY()),0,5))*1.2"),582.24)</f>
        <v>582.24</v>
      </c>
      <c r="E76" s="62">
        <f>IFERROR(__xludf.DUMMYFUNCTION("AVERAGE(QUERY(SORT(GOOGLEFINANCE(A76,""price"",TODAY()-320,TODAY()),1,0),""select Col2 limit 100""))"),605.3579999999997)</f>
        <v>605.358</v>
      </c>
      <c r="F76" s="44">
        <f>IFERROR(__xludf.DUMMYFUNCTION("GOOGLEFINANCE(A76,""high52"")"),733.0)</f>
        <v>733</v>
      </c>
      <c r="G76" s="45">
        <f>IFERROR(__xludf.DUMMYFUNCTION("to_date(index(sort(GOOGLEFINANCE(A76, ""high"", today()-52*7, today(), ""DAILY""),2,0),2,1))"),46049.64583333333)</f>
        <v>46049.64583</v>
      </c>
      <c r="H76" s="44">
        <f>IFERROR(__xludf.DUMMYFUNCTION("GOOGLEFINANCE(A76,""low52"")"),413.5)</f>
        <v>413.5</v>
      </c>
      <c r="I76" s="45">
        <f>IFERROR(__xludf.DUMMYFUNCTION("to_date(index(sort(GOOGLEFINANCE(A76, ""low"", today()-52*7, today(), ""DAILY""),2,1),1,1))"),45870.64583333333)</f>
        <v>45870.64583</v>
      </c>
      <c r="J76" s="46" t="str">
        <f t="shared" si="1"/>
        <v>Do Not Buy Today</v>
      </c>
    </row>
    <row r="77">
      <c r="A77" s="58" t="s">
        <v>180</v>
      </c>
      <c r="B77" s="59">
        <f>IFERROR(__xludf.DUMMYFUNCTION("GOOGLEFINANCE(A77,""price"")"),1410.9)</f>
        <v>1410.9</v>
      </c>
      <c r="C77" s="60">
        <f>IFERROR(__xludf.DUMMYFUNCTION("GOOGLEFINANCE(A77,""closeyest"")"),1402.2)</f>
        <v>1402.2</v>
      </c>
      <c r="D77" s="61">
        <f>IFERROR(__xludf.DUMMYFUNCTION("MIN(index(GOOGLEFINANCE(A77,""ALL"",TODAY()-180,TODAY()),0,5))*1.2"),1351.8)</f>
        <v>1351.8</v>
      </c>
      <c r="E77" s="62">
        <f>IFERROR(__xludf.DUMMYFUNCTION("AVERAGE(QUERY(SORT(GOOGLEFINANCE(A77,""price"",TODAY()-320,TODAY()),1,0),""select Col2 limit 100""))"),1414.6400000000006)</f>
        <v>1414.64</v>
      </c>
      <c r="F77" s="44">
        <f>IFERROR(__xludf.DUMMYFUNCTION("GOOGLEFINANCE(A77,""high52"")"),1814.0)</f>
        <v>1814</v>
      </c>
      <c r="G77" s="45">
        <f>IFERROR(__xludf.DUMMYFUNCTION("to_date(index(sort(GOOGLEFINANCE(A77, ""high"", today()-52*7, today(), ""DAILY""),2,0),2,1))"),45860.64583333333)</f>
        <v>45860.64583</v>
      </c>
      <c r="H77" s="44">
        <f>IFERROR(__xludf.DUMMYFUNCTION("GOOGLEFINANCE(A77,""low52"")"),1090.0)</f>
        <v>1090</v>
      </c>
      <c r="I77" s="45">
        <f>IFERROR(__xludf.DUMMYFUNCTION("to_date(index(sort(GOOGLEFINANCE(A77, ""low"", today()-52*7, today(), ""DAILY""),2,1),1,1))"),46114.64583333333)</f>
        <v>46114.64583</v>
      </c>
      <c r="J77" s="46" t="str">
        <f t="shared" si="1"/>
        <v>Do Not Buy Today</v>
      </c>
    </row>
    <row r="78">
      <c r="A78" s="58" t="s">
        <v>181</v>
      </c>
      <c r="B78" s="59">
        <f>IFERROR(__xludf.DUMMYFUNCTION("GOOGLEFINANCE(A78,""price"")"),2845.7)</f>
        <v>2845.7</v>
      </c>
      <c r="C78" s="60">
        <f>IFERROR(__xludf.DUMMYFUNCTION("GOOGLEFINANCE(A78,""closeyest"")"),2837.9)</f>
        <v>2837.9</v>
      </c>
      <c r="D78" s="61">
        <f>IFERROR(__xludf.DUMMYFUNCTION("MIN(index(GOOGLEFINANCE(A78,""ALL"",TODAY()-180,TODAY()),0,5))*1.2"),3262.56)</f>
        <v>3262.56</v>
      </c>
      <c r="E78" s="62">
        <f>IFERROR(__xludf.DUMMYFUNCTION("AVERAGE(QUERY(SORT(GOOGLEFINANCE(A78,""price"",TODAY()-320,TODAY()),1,0),""select Col2 limit 100""))"),3065.311)</f>
        <v>3065.311</v>
      </c>
      <c r="F78" s="44">
        <f>IFERROR(__xludf.DUMMYFUNCTION("GOOGLEFINANCE(A78,""high52"")"),4330.0)</f>
        <v>4330</v>
      </c>
      <c r="G78" s="45">
        <f>IFERROR(__xludf.DUMMYFUNCTION("to_date(index(sort(GOOGLEFINANCE(A78, ""high"", today()-52*7, today(), ""DAILY""),2,0),2,1))"),45868.64583333333)</f>
        <v>45868.64583</v>
      </c>
      <c r="H78" s="44">
        <f>IFERROR(__xludf.DUMMYFUNCTION("GOOGLEFINANCE(A78,""low52"")"),2700.0)</f>
        <v>2700</v>
      </c>
      <c r="I78" s="45">
        <f>IFERROR(__xludf.DUMMYFUNCTION("to_date(index(sort(GOOGLEFINANCE(A78, ""low"", today()-52*7, today(), ""DAILY""),2,1),1,1))"),46111.64583333333)</f>
        <v>46111.64583</v>
      </c>
      <c r="J78" s="46" t="str">
        <f t="shared" si="1"/>
        <v>Do Not Buy Today</v>
      </c>
    </row>
    <row r="79">
      <c r="A79" s="58" t="s">
        <v>182</v>
      </c>
      <c r="B79" s="59">
        <f>IFERROR(__xludf.DUMMYFUNCTION("GOOGLEFINANCE(A79,""price"")"),264.95)</f>
        <v>264.95</v>
      </c>
      <c r="C79" s="60">
        <f>IFERROR(__xludf.DUMMYFUNCTION("GOOGLEFINANCE(A79,""closeyest"")"),266.35)</f>
        <v>266.35</v>
      </c>
      <c r="D79" s="61">
        <f>IFERROR(__xludf.DUMMYFUNCTION("MIN(index(GOOGLEFINANCE(A79,""ALL"",TODAY()-180,TODAY()),0,5))*1.2"),281.64)</f>
        <v>281.64</v>
      </c>
      <c r="E79" s="62">
        <f>IFERROR(__xludf.DUMMYFUNCTION("AVERAGE(QUERY(SORT(GOOGLEFINANCE(A79,""price"",TODAY()-320,TODAY()),1,0),""select Col2 limit 100""))"),258.5784)</f>
        <v>258.5784</v>
      </c>
      <c r="F79" s="44">
        <f>IFERROR(__xludf.DUMMYFUNCTION("GOOGLEFINANCE(A79,""high52"")"),285.6)</f>
        <v>285.6</v>
      </c>
      <c r="G79" s="45">
        <f>IFERROR(__xludf.DUMMYFUNCTION("to_date(index(sort(GOOGLEFINANCE(A79, ""high"", today()-52*7, today(), ""DAILY""),2,0),2,1))"),46064.64583333333)</f>
        <v>46064.64583</v>
      </c>
      <c r="H79" s="44">
        <f>IFERROR(__xludf.DUMMYFUNCTION("GOOGLEFINANCE(A79,""low52"")"),191.16)</f>
        <v>191.16</v>
      </c>
      <c r="I79" s="45">
        <f>IFERROR(__xludf.DUMMYFUNCTION("to_date(index(sort(GOOGLEFINANCE(A79, ""low"", today()-52*7, today(), ""DAILY""),2,1),1,1))"),45821.64583333333)</f>
        <v>45821.64583</v>
      </c>
      <c r="J79" s="46" t="str">
        <f t="shared" si="1"/>
        <v>Do Not Buy Today</v>
      </c>
    </row>
    <row r="80">
      <c r="A80" s="58" t="s">
        <v>183</v>
      </c>
      <c r="B80" s="59">
        <f>IFERROR(__xludf.DUMMYFUNCTION("GOOGLEFINANCE(A80,""price"")"),1417.5)</f>
        <v>1417.5</v>
      </c>
      <c r="C80" s="60">
        <f>IFERROR(__xludf.DUMMYFUNCTION("GOOGLEFINANCE(A80,""closeyest"")"),1422.8)</f>
        <v>1422.8</v>
      </c>
      <c r="D80" s="61">
        <f>IFERROR(__xludf.DUMMYFUNCTION("MIN(index(GOOGLEFINANCE(A80,""ALL"",TODAY()-180,TODAY()),0,5))*1.2"),1288.68)</f>
        <v>1288.68</v>
      </c>
      <c r="E80" s="62">
        <f>IFERROR(__xludf.DUMMYFUNCTION("AVERAGE(QUERY(SORT(GOOGLEFINANCE(A80,""price"",TODAY()-320,TODAY()),1,0),""select Col2 limit 100""))"),1377.729)</f>
        <v>1377.729</v>
      </c>
      <c r="F80" s="44">
        <f>IFERROR(__xludf.DUMMYFUNCTION("GOOGLEFINANCE(A80,""high52"")"),1994.0)</f>
        <v>1994</v>
      </c>
      <c r="G80" s="45">
        <f>IFERROR(__xludf.DUMMYFUNCTION("to_date(index(sort(GOOGLEFINANCE(A80, ""high"", today()-52*7, today(), ""DAILY""),2,0),2,1))"),45846.64583333333)</f>
        <v>45846.64583</v>
      </c>
      <c r="H80" s="44">
        <f>IFERROR(__xludf.DUMMYFUNCTION("GOOGLEFINANCE(A80,""low52"")"),1008.1)</f>
        <v>1008.1</v>
      </c>
      <c r="I80" s="45">
        <f>IFERROR(__xludf.DUMMYFUNCTION("to_date(index(sort(GOOGLEFINANCE(A80, ""low"", today()-52*7, today(), ""DAILY""),2,1),1,1))"),46085.64583333333)</f>
        <v>46085.64583</v>
      </c>
      <c r="J80" s="46" t="str">
        <f t="shared" si="1"/>
        <v>Do Not Buy Today</v>
      </c>
    </row>
    <row r="81">
      <c r="A81" s="58" t="s">
        <v>184</v>
      </c>
      <c r="B81" s="59">
        <f>IFERROR(__xludf.DUMMYFUNCTION("GOOGLEFINANCE(A81,""price"")"),205.31)</f>
        <v>205.31</v>
      </c>
      <c r="C81" s="60">
        <f>IFERROR(__xludf.DUMMYFUNCTION("GOOGLEFINANCE(A81,""closeyest"")"),203.73)</f>
        <v>203.73</v>
      </c>
      <c r="D81" s="61">
        <f>IFERROR(__xludf.DUMMYFUNCTION("MIN(index(GOOGLEFINANCE(A81,""ALL"",TODAY()-180,TODAY()),0,5))*1.2"),225.04799999999997)</f>
        <v>225.048</v>
      </c>
      <c r="E81" s="62">
        <f>IFERROR(__xludf.DUMMYFUNCTION("AVERAGE(QUERY(SORT(GOOGLEFINANCE(A81,""price"",TODAY()-320,TODAY()),1,0),""select Col2 limit 100""))"),216.5356)</f>
        <v>216.5356</v>
      </c>
      <c r="F81" s="44">
        <f>IFERROR(__xludf.DUMMYFUNCTION("GOOGLEFINANCE(A81,""high52"")"),273.1)</f>
        <v>273.1</v>
      </c>
      <c r="G81" s="45">
        <f>IFERROR(__xludf.DUMMYFUNCTION("to_date(index(sort(GOOGLEFINANCE(A81, ""high"", today()-52*7, today(), ""DAILY""),2,0),2,1))"),46013.64583333333)</f>
        <v>46013.64583</v>
      </c>
      <c r="H81" s="44">
        <f>IFERROR(__xludf.DUMMYFUNCTION("GOOGLEFINANCE(A81,""low52"")"),186.5)</f>
        <v>186.5</v>
      </c>
      <c r="I81" s="45">
        <f>IFERROR(__xludf.DUMMYFUNCTION("to_date(index(sort(GOOGLEFINANCE(A81, ""low"", today()-52*7, today(), ""DAILY""),2,1),1,1))"),46111.64583333333)</f>
        <v>46111.64583</v>
      </c>
      <c r="J81" s="46" t="str">
        <f t="shared" si="1"/>
        <v>Do Not Buy Today</v>
      </c>
    </row>
    <row r="82">
      <c r="A82" s="58" t="s">
        <v>185</v>
      </c>
      <c r="B82" s="59">
        <f>IFERROR(__xludf.DUMMYFUNCTION("GOOGLEFINANCE(A82,""price"")"),10296.0)</f>
        <v>10296</v>
      </c>
      <c r="C82" s="60">
        <f>IFERROR(__xludf.DUMMYFUNCTION("GOOGLEFINANCE(A82,""closeyest"")"),9882.0)</f>
        <v>9882</v>
      </c>
      <c r="D82" s="61">
        <f>IFERROR(__xludf.DUMMYFUNCTION("MIN(index(GOOGLEFINANCE(A82,""ALL"",TODAY()-180,TODAY()),0,5))*1.2"),7562.4)</f>
        <v>7562.4</v>
      </c>
      <c r="E82" s="62">
        <f>IFERROR(__xludf.DUMMYFUNCTION("AVERAGE(QUERY(SORT(GOOGLEFINANCE(A82,""price"",TODAY()-320,TODAY()),1,0),""select Col2 limit 100""))"),7737.47)</f>
        <v>7737.47</v>
      </c>
      <c r="F82" s="44">
        <f>IFERROR(__xludf.DUMMYFUNCTION("GOOGLEFINANCE(A82,""high52"")"),10357.0)</f>
        <v>10357</v>
      </c>
      <c r="G82" s="45">
        <f>IFERROR(__xludf.DUMMYFUNCTION("to_date(index(sort(GOOGLEFINANCE(A82, ""high"", today()-52*7, today(), ""DAILY""),2,0),2,1))"),46161.64583333333)</f>
        <v>46161.64583</v>
      </c>
      <c r="H82" s="44">
        <f>IFERROR(__xludf.DUMMYFUNCTION("GOOGLEFINANCE(A82,""low52"")"),6234.5)</f>
        <v>6234.5</v>
      </c>
      <c r="I82" s="45">
        <f>IFERROR(__xludf.DUMMYFUNCTION("to_date(index(sort(GOOGLEFINANCE(A82, ""low"", today()-52*7, today(), ""DAILY""),2,1),1,1))"),46098.64583333333)</f>
        <v>46098.64583</v>
      </c>
      <c r="J82" s="46" t="str">
        <f t="shared" si="1"/>
        <v>Do Not Buy Today</v>
      </c>
    </row>
    <row r="83">
      <c r="A83" s="58" t="s">
        <v>186</v>
      </c>
      <c r="B83" s="59">
        <f>IFERROR(__xludf.DUMMYFUNCTION("GOOGLEFINANCE(A83,""price"")"),5032.5)</f>
        <v>5032.5</v>
      </c>
      <c r="C83" s="60">
        <f>IFERROR(__xludf.DUMMYFUNCTION("GOOGLEFINANCE(A83,""closeyest"")"),4983.0)</f>
        <v>4983</v>
      </c>
      <c r="D83" s="61">
        <f>IFERROR(__xludf.DUMMYFUNCTION("MIN(index(GOOGLEFINANCE(A83,""ALL"",TODAY()-180,TODAY()),0,5))*1.2"),5948.4)</f>
        <v>5948.4</v>
      </c>
      <c r="E83" s="62">
        <f>IFERROR(__xludf.DUMMYFUNCTION("AVERAGE(QUERY(SORT(GOOGLEFINANCE(A83,""price"",TODAY()-320,TODAY()),1,0),""select Col2 limit 100""))"),5411.005)</f>
        <v>5411.005</v>
      </c>
      <c r="F83" s="44">
        <f>IFERROR(__xludf.DUMMYFUNCTION("GOOGLEFINANCE(A83,""high52"")"),6388.5)</f>
        <v>6388.5</v>
      </c>
      <c r="G83" s="45">
        <f>IFERROR(__xludf.DUMMYFUNCTION("to_date(index(sort(GOOGLEFINANCE(A83, ""high"", today()-52*7, today(), ""DAILY""),2,0),2,1))"),45996.64583333333)</f>
        <v>45996.64583</v>
      </c>
      <c r="H83" s="44">
        <f>IFERROR(__xludf.DUMMYFUNCTION("GOOGLEFINANCE(A83,""low52"")"),4158.1)</f>
        <v>4158.1</v>
      </c>
      <c r="I83" s="45">
        <f>IFERROR(__xludf.DUMMYFUNCTION("to_date(index(sort(GOOGLEFINANCE(A83, ""low"", today()-52*7, today(), ""DAILY""),2,1),1,1))"),45814.64583333333)</f>
        <v>45814.64583</v>
      </c>
      <c r="J83" s="46" t="str">
        <f t="shared" si="1"/>
        <v>Do Not Buy Today</v>
      </c>
    </row>
    <row r="84">
      <c r="A84" s="58" t="s">
        <v>187</v>
      </c>
      <c r="B84" s="59">
        <f>IFERROR(__xludf.DUMMYFUNCTION("GOOGLEFINANCE(A84,""price"")"),22.87)</f>
        <v>22.87</v>
      </c>
      <c r="C84" s="60">
        <f>IFERROR(__xludf.DUMMYFUNCTION("GOOGLEFINANCE(A84,""closeyest"")"),22.83)</f>
        <v>22.83</v>
      </c>
      <c r="D84" s="61">
        <f>IFERROR(__xludf.DUMMYFUNCTION("MIN(index(GOOGLEFINANCE(A84,""ALL"",TODAY()-180,TODAY()),0,5))*1.2"),20.7)</f>
        <v>20.7</v>
      </c>
      <c r="E84" s="62">
        <f>IFERROR(__xludf.DUMMYFUNCTION("AVERAGE(QUERY(SORT(GOOGLEFINANCE(A84,""price"",TODAY()-320,TODAY()),1,0),""select Col2 limit 100""))"),20.739799999999995)</f>
        <v>20.7398</v>
      </c>
      <c r="F84" s="44">
        <f>IFERROR(__xludf.DUMMYFUNCTION("GOOGLEFINANCE(A84,""high52"")"),24.3)</f>
        <v>24.3</v>
      </c>
      <c r="G84" s="45">
        <f>IFERROR(__xludf.DUMMYFUNCTION("to_date(index(sort(GOOGLEFINANCE(A84, ""high"", today()-52*7, today(), ""DAILY""),2,0),2,1))"),45940.64583333333)</f>
        <v>45940.64583</v>
      </c>
      <c r="H84" s="44">
        <f>IFERROR(__xludf.DUMMYFUNCTION("GOOGLEFINANCE(A84,""low52"")"),17.2)</f>
        <v>17.2</v>
      </c>
      <c r="I84" s="45">
        <f>IFERROR(__xludf.DUMMYFUNCTION("to_date(index(sort(GOOGLEFINANCE(A84, ""low"", today()-52*7, today(), ""DAILY""),2,1),1,1))"),46111.64583333333)</f>
        <v>46111.64583</v>
      </c>
      <c r="J84" s="46" t="str">
        <f t="shared" si="1"/>
        <v>Do Not Buy Today</v>
      </c>
    </row>
    <row r="85">
      <c r="A85" s="58" t="s">
        <v>188</v>
      </c>
      <c r="B85" s="59">
        <f>IFERROR(__xludf.DUMMYFUNCTION("GOOGLEFINANCE(A85,""price"")"),1796.0)</f>
        <v>1796</v>
      </c>
      <c r="C85" s="60">
        <f>IFERROR(__xludf.DUMMYFUNCTION("GOOGLEFINANCE(A85,""closeyest"")"),1760.2)</f>
        <v>1760.2</v>
      </c>
      <c r="D85" s="61">
        <f>IFERROR(__xludf.DUMMYFUNCTION("MIN(index(GOOGLEFINANCE(A85,""ALL"",TODAY()-180,TODAY()),0,5))*1.2"),1765.56)</f>
        <v>1765.56</v>
      </c>
      <c r="E85" s="62">
        <f>IFERROR(__xludf.DUMMYFUNCTION("AVERAGE(QUERY(SORT(GOOGLEFINANCE(A85,""price"",TODAY()-320,TODAY()),1,0),""select Col2 limit 100""))"),1753.9749999999997)</f>
        <v>1753.975</v>
      </c>
      <c r="F85" s="44">
        <f>IFERROR(__xludf.DUMMYFUNCTION("GOOGLEFINANCE(A85,""high52"")"),2506.5)</f>
        <v>2506.5</v>
      </c>
      <c r="G85" s="45">
        <f>IFERROR(__xludf.DUMMYFUNCTION("to_date(index(sort(GOOGLEFINANCE(A85, ""high"", today()-52*7, today(), ""DAILY""),2,0),2,1))"),45818.64583333333)</f>
        <v>45818.64583</v>
      </c>
      <c r="H85" s="44">
        <f>IFERROR(__xludf.DUMMYFUNCTION("GOOGLEFINANCE(A85,""low52"")"),1434.0)</f>
        <v>1434</v>
      </c>
      <c r="I85" s="45">
        <f>IFERROR(__xludf.DUMMYFUNCTION("to_date(index(sort(GOOGLEFINANCE(A85, ""low"", today()-52*7, today(), ""DAILY""),2,1),1,1))"),46114.64583333333)</f>
        <v>46114.64583</v>
      </c>
      <c r="J85" s="46" t="str">
        <f t="shared" si="1"/>
        <v>Do Not Buy Today</v>
      </c>
    </row>
    <row r="86">
      <c r="A86" s="58" t="s">
        <v>189</v>
      </c>
      <c r="B86" s="59">
        <f>IFERROR(__xludf.DUMMYFUNCTION("GOOGLEFINANCE(A86,""price"")"),764.05)</f>
        <v>764.05</v>
      </c>
      <c r="C86" s="60">
        <f>IFERROR(__xludf.DUMMYFUNCTION("GOOGLEFINANCE(A86,""closeyest"")"),778.9)</f>
        <v>778.9</v>
      </c>
      <c r="D86" s="61">
        <f>IFERROR(__xludf.DUMMYFUNCTION("MIN(index(GOOGLEFINANCE(A86,""ALL"",TODAY()-180,TODAY()),0,5))*1.2"),877.8599999999999)</f>
        <v>877.86</v>
      </c>
      <c r="E86" s="62">
        <f>IFERROR(__xludf.DUMMYFUNCTION("AVERAGE(QUERY(SORT(GOOGLEFINANCE(A86,""price"",TODAY()-320,TODAY()),1,0),""select Col2 limit 100""))"),856.8629999999997)</f>
        <v>856.863</v>
      </c>
      <c r="F86" s="44">
        <f>IFERROR(__xludf.DUMMYFUNCTION("GOOGLEFINANCE(A86,""high52"")"),1020.5)</f>
        <v>1020.5</v>
      </c>
      <c r="G86" s="45">
        <f>IFERROR(__xludf.DUMMYFUNCTION("to_date(index(sort(GOOGLEFINANCE(A86, ""high"", today()-52*7, today(), ""DAILY""),2,0),2,1))"),45953.64583333333)</f>
        <v>45953.64583</v>
      </c>
      <c r="H86" s="44">
        <f>IFERROR(__xludf.DUMMYFUNCTION("GOOGLEFINANCE(A86,""low52"")"),726.65)</f>
        <v>726.65</v>
      </c>
      <c r="I86" s="45">
        <f>IFERROR(__xludf.DUMMYFUNCTION("to_date(index(sort(GOOGLEFINANCE(A86, ""low"", today()-52*7, today(), ""DAILY""),2,1),1,1))"),46111.64583333333)</f>
        <v>46111.64583</v>
      </c>
      <c r="J86" s="46" t="str">
        <f t="shared" si="1"/>
        <v>Do Not Buy Today</v>
      </c>
    </row>
    <row r="87">
      <c r="A87" s="58" t="s">
        <v>190</v>
      </c>
      <c r="B87" s="59">
        <f>IFERROR(__xludf.DUMMYFUNCTION("GOOGLEFINANCE(A87,""price"")"),2676.7)</f>
        <v>2676.7</v>
      </c>
      <c r="C87" s="60">
        <f>IFERROR(__xludf.DUMMYFUNCTION("GOOGLEFINANCE(A87,""closeyest"")"),2647.0)</f>
        <v>2647</v>
      </c>
      <c r="D87" s="61">
        <f>IFERROR(__xludf.DUMMYFUNCTION("MIN(index(GOOGLEFINANCE(A87,""ALL"",TODAY()-180,TODAY()),0,5))*1.2"),2545.56)</f>
        <v>2545.56</v>
      </c>
      <c r="E87" s="62">
        <f>IFERROR(__xludf.DUMMYFUNCTION("AVERAGE(QUERY(SORT(GOOGLEFINANCE(A87,""price"",TODAY()-320,TODAY()),1,0),""select Col2 limit 100""))"),2477.337)</f>
        <v>2477.337</v>
      </c>
      <c r="F87" s="44">
        <f>IFERROR(__xludf.DUMMYFUNCTION("GOOGLEFINANCE(A87,""high52"")"),2985.7)</f>
        <v>2985.7</v>
      </c>
      <c r="G87" s="45">
        <f>IFERROR(__xludf.DUMMYFUNCTION("to_date(index(sort(GOOGLEFINANCE(A87, ""high"", today()-52*7, today(), ""DAILY""),2,0),2,1))"),45995.64583333333)</f>
        <v>45995.64583</v>
      </c>
      <c r="H87" s="44">
        <f>IFERROR(__xludf.DUMMYFUNCTION("GOOGLEFINANCE(A87,""low52"")"),2115.0)</f>
        <v>2115</v>
      </c>
      <c r="I87" s="45">
        <f>IFERROR(__xludf.DUMMYFUNCTION("to_date(index(sort(GOOGLEFINANCE(A87, ""low"", today()-52*7, today(), ""DAILY""),2,1),1,1))"),46104.64583333333)</f>
        <v>46104.64583</v>
      </c>
      <c r="J87" s="46" t="str">
        <f t="shared" si="1"/>
        <v>Do Not Buy Today</v>
      </c>
    </row>
    <row r="88">
      <c r="A88" s="58" t="s">
        <v>191</v>
      </c>
      <c r="B88" s="59">
        <f>IFERROR(__xludf.DUMMYFUNCTION("GOOGLEFINANCE(A88,""price"")"),1424.1)</f>
        <v>1424.1</v>
      </c>
      <c r="C88" s="60">
        <f>IFERROR(__xludf.DUMMYFUNCTION("GOOGLEFINANCE(A88,""closeyest"")"),1412.6)</f>
        <v>1412.6</v>
      </c>
      <c r="D88" s="61">
        <f>IFERROR(__xludf.DUMMYFUNCTION("MIN(index(GOOGLEFINANCE(A88,""ALL"",TODAY()-180,TODAY()),0,5))*1.2"),1505.5199999999998)</f>
        <v>1505.52</v>
      </c>
      <c r="E88" s="62">
        <f>IFERROR(__xludf.DUMMYFUNCTION("AVERAGE(QUERY(SORT(GOOGLEFINANCE(A88,""price"",TODAY()-320,TODAY()),1,0),""select Col2 limit 100""))"),1526.0480000000002)</f>
        <v>1526.048</v>
      </c>
      <c r="F88" s="44">
        <f>IFERROR(__xludf.DUMMYFUNCTION("GOOGLEFINANCE(A88,""high52"")"),2028.8)</f>
        <v>2028.8</v>
      </c>
      <c r="G88" s="45">
        <f>IFERROR(__xludf.DUMMYFUNCTION("to_date(index(sort(GOOGLEFINANCE(A88, ""high"", today()-52*7, today(), ""DAILY""),2,0),2,1))"),45849.64583333333)</f>
        <v>45849.64583</v>
      </c>
      <c r="H88" s="44">
        <f>IFERROR(__xludf.DUMMYFUNCTION("GOOGLEFINANCE(A88,""low52"")"),1251.7)</f>
        <v>1251.7</v>
      </c>
      <c r="I88" s="45">
        <f>IFERROR(__xludf.DUMMYFUNCTION("to_date(index(sort(GOOGLEFINANCE(A88, ""low"", today()-52*7, today(), ""DAILY""),2,1),1,1))"),46111.64583333333)</f>
        <v>46111.64583</v>
      </c>
      <c r="J88" s="46" t="str">
        <f t="shared" si="1"/>
        <v>Do Not Buy Today</v>
      </c>
    </row>
    <row r="89">
      <c r="A89" s="58" t="s">
        <v>192</v>
      </c>
      <c r="B89" s="59">
        <f>IFERROR(__xludf.DUMMYFUNCTION("GOOGLEFINANCE(A89,""price"")"),971.1)</f>
        <v>971.1</v>
      </c>
      <c r="C89" s="60">
        <f>IFERROR(__xludf.DUMMYFUNCTION("GOOGLEFINANCE(A89,""closeyest"")"),968.5)</f>
        <v>968.5</v>
      </c>
      <c r="D89" s="61">
        <f>IFERROR(__xludf.DUMMYFUNCTION("MIN(index(GOOGLEFINANCE(A89,""ALL"",TODAY()-180,TODAY()),0,5))*1.2"),1127.28)</f>
        <v>1127.28</v>
      </c>
      <c r="E89" s="62">
        <f>IFERROR(__xludf.DUMMYFUNCTION("AVERAGE(QUERY(SORT(GOOGLEFINANCE(A89,""price"",TODAY()-320,TODAY()),1,0),""select Col2 limit 100""))"),1065.8714999999995)</f>
        <v>1065.8715</v>
      </c>
      <c r="F89" s="44">
        <f>IFERROR(__xludf.DUMMYFUNCTION("GOOGLEFINANCE(A89,""high52"")"),1234.7)</f>
        <v>1234.7</v>
      </c>
      <c r="G89" s="45">
        <f>IFERROR(__xludf.DUMMYFUNCTION("to_date(index(sort(GOOGLEFINANCE(A89, ""high"", today()-52*7, today(), ""DAILY""),2,0),2,1))"),46077.64583333333)</f>
        <v>46077.64583</v>
      </c>
      <c r="H89" s="44">
        <f>IFERROR(__xludf.DUMMYFUNCTION("GOOGLEFINANCE(A89,""low52"")"),781.7)</f>
        <v>781.7</v>
      </c>
      <c r="I89" s="45">
        <f>IFERROR(__xludf.DUMMYFUNCTION("to_date(index(sort(GOOGLEFINANCE(A89, ""low"", today()-52*7, today(), ""DAILY""),2,1),1,1))"),45827.64583333333)</f>
        <v>45827.64583</v>
      </c>
      <c r="J89" s="46" t="str">
        <f t="shared" si="1"/>
        <v>Do Not Buy Today</v>
      </c>
    </row>
    <row r="90">
      <c r="A90" s="58" t="s">
        <v>193</v>
      </c>
      <c r="B90" s="59">
        <f>IFERROR(__xludf.DUMMYFUNCTION("GOOGLEFINANCE(A90,""price"")"),1692.2)</f>
        <v>1692.2</v>
      </c>
      <c r="C90" s="60">
        <f>IFERROR(__xludf.DUMMYFUNCTION("GOOGLEFINANCE(A90,""closeyest"")"),1693.7)</f>
        <v>1693.7</v>
      </c>
      <c r="D90" s="61">
        <f>IFERROR(__xludf.DUMMYFUNCTION("MIN(index(GOOGLEFINANCE(A90,""ALL"",TODAY()-180,TODAY()),0,5))*1.2"),1693.8)</f>
        <v>1693.8</v>
      </c>
      <c r="E90" s="62">
        <f>IFERROR(__xludf.DUMMYFUNCTION("AVERAGE(QUERY(SORT(GOOGLEFINANCE(A90,""price"",TODAY()-320,TODAY()),1,0),""select Col2 limit 100""))"),1586.3170000000007)</f>
        <v>1586.317</v>
      </c>
      <c r="F90" s="44">
        <f>IFERROR(__xludf.DUMMYFUNCTION("GOOGLEFINANCE(A90,""high52"")"),2005.0)</f>
        <v>2005</v>
      </c>
      <c r="G90" s="45">
        <f>IFERROR(__xludf.DUMMYFUNCTION("to_date(index(sort(GOOGLEFINANCE(A90, ""high"", today()-52*7, today(), ""DAILY""),2,0),2,1))"),45833.64583333333)</f>
        <v>45833.64583</v>
      </c>
      <c r="H90" s="44">
        <f>IFERROR(__xludf.DUMMYFUNCTION("GOOGLEFINANCE(A90,""low52"")"),1391.2)</f>
        <v>1391.2</v>
      </c>
      <c r="I90" s="45">
        <f>IFERROR(__xludf.DUMMYFUNCTION("to_date(index(sort(GOOGLEFINANCE(A90, ""low"", today()-52*7, today(), ""DAILY""),2,1),1,1))"),46104.64583333333)</f>
        <v>46104.64583</v>
      </c>
      <c r="J90" s="46" t="str">
        <f t="shared" si="1"/>
        <v>Do Not Buy Today</v>
      </c>
    </row>
    <row r="91">
      <c r="A91" s="58" t="s">
        <v>194</v>
      </c>
      <c r="B91" s="59">
        <f>IFERROR(__xludf.DUMMYFUNCTION("GOOGLEFINANCE(A91,""price"")"),459.3)</f>
        <v>459.3</v>
      </c>
      <c r="C91" s="60">
        <f>IFERROR(__xludf.DUMMYFUNCTION("GOOGLEFINANCE(A91,""closeyest"")"),449.7)</f>
        <v>449.7</v>
      </c>
      <c r="D91" s="61">
        <f>IFERROR(__xludf.DUMMYFUNCTION("MIN(index(GOOGLEFINANCE(A91,""ALL"",TODAY()-180,TODAY()),0,5))*1.2"),474.42)</f>
        <v>474.42</v>
      </c>
      <c r="E91" s="62">
        <f>IFERROR(__xludf.DUMMYFUNCTION("AVERAGE(QUERY(SORT(GOOGLEFINANCE(A91,""price"",TODAY()-320,TODAY()),1,0),""select Col2 limit 100""))"),482.75)</f>
        <v>482.75</v>
      </c>
      <c r="F91" s="44">
        <f>IFERROR(__xludf.DUMMYFUNCTION("GOOGLEFINANCE(A91,""high52"")"),624.95)</f>
        <v>624.95</v>
      </c>
      <c r="G91" s="45">
        <f>IFERROR(__xludf.DUMMYFUNCTION("to_date(index(sort(GOOGLEFINANCE(A91, ""high"", today()-52*7, today(), ""DAILY""),2,0),2,1))"),45860.64583333333)</f>
        <v>45860.64583</v>
      </c>
      <c r="H91" s="44">
        <f>IFERROR(__xludf.DUMMYFUNCTION("GOOGLEFINANCE(A91,""low52"")"),394.0)</f>
        <v>394</v>
      </c>
      <c r="I91" s="45">
        <f>IFERROR(__xludf.DUMMYFUNCTION("to_date(index(sort(GOOGLEFINANCE(A91, ""low"", today()-52*7, today(), ""DAILY""),2,1),1,1))"),46104.64583333333)</f>
        <v>46104.64583</v>
      </c>
      <c r="J91" s="46" t="str">
        <f t="shared" si="1"/>
        <v>Do Not Buy Today</v>
      </c>
    </row>
    <row r="92">
      <c r="A92" s="58" t="s">
        <v>195</v>
      </c>
      <c r="B92" s="59">
        <f>IFERROR(__xludf.DUMMYFUNCTION("GOOGLEFINANCE(A92,""price"")"),447.55)</f>
        <v>447.55</v>
      </c>
      <c r="C92" s="60">
        <f>IFERROR(__xludf.DUMMYFUNCTION("GOOGLEFINANCE(A92,""closeyest"")"),458.15)</f>
        <v>458.15</v>
      </c>
      <c r="D92" s="61">
        <f>IFERROR(__xludf.DUMMYFUNCTION("MIN(index(GOOGLEFINANCE(A92,""ALL"",TODAY()-180,TODAY()),0,5))*1.2"),450.3)</f>
        <v>450.3</v>
      </c>
      <c r="E92" s="62">
        <f>IFERROR(__xludf.DUMMYFUNCTION("AVERAGE(QUERY(SORT(GOOGLEFINANCE(A92,""price"",TODAY()-320,TODAY()),1,0),""select Col2 limit 100""))"),440.7035000000002)</f>
        <v>440.7035</v>
      </c>
      <c r="F92" s="44">
        <f>IFERROR(__xludf.DUMMYFUNCTION("GOOGLEFINANCE(A92,""high52"")"),491.25)</f>
        <v>491.25</v>
      </c>
      <c r="G92" s="45">
        <f>IFERROR(__xludf.DUMMYFUNCTION("to_date(index(sort(GOOGLEFINANCE(A92, ""high"", today()-52*7, today(), ""DAILY""),2,0),2,1))"),46142.64583333333)</f>
        <v>46142.64583</v>
      </c>
      <c r="H92" s="44">
        <f>IFERROR(__xludf.DUMMYFUNCTION("GOOGLEFINANCE(A92,""low52"")"),368.65)</f>
        <v>368.65</v>
      </c>
      <c r="I92" s="45">
        <f>IFERROR(__xludf.DUMMYFUNCTION("to_date(index(sort(GOOGLEFINANCE(A92, ""low"", today()-52*7, today(), ""DAILY""),2,1),1,1))"),46129.64583333333)</f>
        <v>46129.64583</v>
      </c>
      <c r="J92" s="46" t="str">
        <f t="shared" si="1"/>
        <v>Do Not Buy Today</v>
      </c>
    </row>
    <row r="93">
      <c r="A93" s="58" t="s">
        <v>196</v>
      </c>
      <c r="B93" s="59">
        <f>IFERROR(__xludf.DUMMYFUNCTION("GOOGLEFINANCE(A93,""price"")"),271.6)</f>
        <v>271.6</v>
      </c>
      <c r="C93" s="60">
        <f>IFERROR(__xludf.DUMMYFUNCTION("GOOGLEFINANCE(A93,""closeyest"")"),270.55)</f>
        <v>270.55</v>
      </c>
      <c r="D93" s="61">
        <f>IFERROR(__xludf.DUMMYFUNCTION("MIN(index(GOOGLEFINANCE(A93,""ALL"",TODAY()-180,TODAY()),0,5))*1.2"),297.12)</f>
        <v>297.12</v>
      </c>
      <c r="E93" s="62">
        <f>IFERROR(__xludf.DUMMYFUNCTION("AVERAGE(QUERY(SORT(GOOGLEFINANCE(A93,""price"",TODAY()-320,TODAY()),1,0),""select Col2 limit 100""))"),285.3467)</f>
        <v>285.3467</v>
      </c>
      <c r="F93" s="44">
        <f>IFERROR(__xludf.DUMMYFUNCTION("GOOGLEFINANCE(A93,""high52"")"),325.5)</f>
        <v>325.5</v>
      </c>
      <c r="G93" s="45">
        <f>IFERROR(__xludf.DUMMYFUNCTION("to_date(index(sort(GOOGLEFINANCE(A93, ""high"", today()-52*7, today(), ""DAILY""),2,0),2,1))"),46079.64583333333)</f>
        <v>46079.64583</v>
      </c>
      <c r="H93" s="44">
        <f>IFERROR(__xludf.DUMMYFUNCTION("GOOGLEFINANCE(A93,""low52"")"),230.52)</f>
        <v>230.52</v>
      </c>
      <c r="I93" s="45">
        <f>IFERROR(__xludf.DUMMYFUNCTION("to_date(index(sort(GOOGLEFINANCE(A93, ""low"", today()-52*7, today(), ""DAILY""),2,1),1,1))"),45827.64583333333)</f>
        <v>45827.64583</v>
      </c>
      <c r="J93" s="46" t="str">
        <f t="shared" si="1"/>
        <v>Do Not Buy Today</v>
      </c>
    </row>
    <row r="94">
      <c r="A94" s="58" t="s">
        <v>197</v>
      </c>
      <c r="B94" s="59">
        <f>IFERROR(__xludf.DUMMYFUNCTION("GOOGLEFINANCE(A94,""price"")"),1789.2)</f>
        <v>1789.2</v>
      </c>
      <c r="C94" s="60">
        <f>IFERROR(__xludf.DUMMYFUNCTION("GOOGLEFINANCE(A94,""closeyest"")"),1789.0)</f>
        <v>1789</v>
      </c>
      <c r="D94" s="61">
        <f>IFERROR(__xludf.DUMMYFUNCTION("MIN(index(GOOGLEFINANCE(A94,""ALL"",TODAY()-180,TODAY()),0,5))*1.2"),1712.28)</f>
        <v>1712.28</v>
      </c>
      <c r="E94" s="62">
        <f>IFERROR(__xludf.DUMMYFUNCTION("AVERAGE(QUERY(SORT(GOOGLEFINANCE(A94,""price"",TODAY()-320,TODAY()),1,0),""select Col2 limit 100""))"),1601.2699999999995)</f>
        <v>1601.27</v>
      </c>
      <c r="F94" s="44">
        <f>IFERROR(__xludf.DUMMYFUNCTION("GOOGLEFINANCE(A94,""high52"")"),1978.0)</f>
        <v>1978</v>
      </c>
      <c r="G94" s="45">
        <f>IFERROR(__xludf.DUMMYFUNCTION("to_date(index(sort(GOOGLEFINANCE(A94, ""high"", today()-52*7, today(), ""DAILY""),2,0),2,1))"),45825.64583333333)</f>
        <v>45825.64583</v>
      </c>
      <c r="H94" s="44">
        <f>IFERROR(__xludf.DUMMYFUNCTION("GOOGLEFINANCE(A94,""low52"")"),1364.0)</f>
        <v>1364</v>
      </c>
      <c r="I94" s="45">
        <f>IFERROR(__xludf.DUMMYFUNCTION("to_date(index(sort(GOOGLEFINANCE(A94, ""low"", today()-52*7, today(), ""DAILY""),2,1),1,1))"),46090.64583333333)</f>
        <v>46090.64583</v>
      </c>
      <c r="J94" s="46" t="str">
        <f t="shared" si="1"/>
        <v>Do Not Buy Today</v>
      </c>
    </row>
    <row r="95">
      <c r="A95" s="58" t="s">
        <v>198</v>
      </c>
      <c r="B95" s="59">
        <f>IFERROR(__xludf.DUMMYFUNCTION("GOOGLEFINANCE(A95,""price"")"),7043.5)</f>
        <v>7043.5</v>
      </c>
      <c r="C95" s="60">
        <f>IFERROR(__xludf.DUMMYFUNCTION("GOOGLEFINANCE(A95,""closeyest"")"),6804.0)</f>
        <v>6804</v>
      </c>
      <c r="D95" s="61">
        <f>IFERROR(__xludf.DUMMYFUNCTION("MIN(index(GOOGLEFINANCE(A95,""ALL"",TODAY()-180,TODAY()),0,5))*1.2"),5629.8)</f>
        <v>5629.8</v>
      </c>
      <c r="E95" s="62">
        <f>IFERROR(__xludf.DUMMYFUNCTION("AVERAGE(QUERY(SORT(GOOGLEFINANCE(A95,""price"",TODAY()-320,TODAY()),1,0),""select Col2 limit 100""))"),6077.25)</f>
        <v>6077.25</v>
      </c>
      <c r="F95" s="44">
        <f>IFERROR(__xludf.DUMMYFUNCTION("GOOGLEFINANCE(A95,""high52"")"),7822.5)</f>
        <v>7822.5</v>
      </c>
      <c r="G95" s="45">
        <f>IFERROR(__xludf.DUMMYFUNCTION("to_date(index(sort(GOOGLEFINANCE(A95, ""high"", today()-52*7, today(), ""DAILY""),2,0),2,1))"),46134.64583333333)</f>
        <v>46134.64583</v>
      </c>
      <c r="H95" s="44">
        <f>IFERROR(__xludf.DUMMYFUNCTION("GOOGLEFINANCE(A95,""low52"")"),4637.5)</f>
        <v>4637.5</v>
      </c>
      <c r="I95" s="45">
        <f>IFERROR(__xludf.DUMMYFUNCTION("to_date(index(sort(GOOGLEFINANCE(A95, ""low"", today()-52*7, today(), ""DAILY""),2,1),1,1))"),46043.64583333333)</f>
        <v>46043.64583</v>
      </c>
      <c r="J95" s="46" t="str">
        <f t="shared" si="1"/>
        <v>Do Not Buy Today</v>
      </c>
    </row>
    <row r="96">
      <c r="A96" s="58" t="s">
        <v>199</v>
      </c>
      <c r="B96" s="59">
        <f>IFERROR(__xludf.DUMMYFUNCTION("GOOGLEFINANCE(A96,""price"")"),835.0)</f>
        <v>835</v>
      </c>
      <c r="C96" s="60">
        <f>IFERROR(__xludf.DUMMYFUNCTION("GOOGLEFINANCE(A96,""closeyest"")"),833.55)</f>
        <v>833.55</v>
      </c>
      <c r="D96" s="61">
        <f>IFERROR(__xludf.DUMMYFUNCTION("MIN(index(GOOGLEFINANCE(A96,""ALL"",TODAY()-180,TODAY()),0,5))*1.2"),927.78)</f>
        <v>927.78</v>
      </c>
      <c r="E96" s="62">
        <f>IFERROR(__xludf.DUMMYFUNCTION("AVERAGE(QUERY(SORT(GOOGLEFINANCE(A96,""price"",TODAY()-320,TODAY()),1,0),""select Col2 limit 100""))"),883.2409999999999)</f>
        <v>883.241</v>
      </c>
      <c r="F96" s="44">
        <f>IFERROR(__xludf.DUMMYFUNCTION("GOOGLEFINANCE(A96,""high52"")"),1000.9)</f>
        <v>1000.9</v>
      </c>
      <c r="G96" s="45">
        <f>IFERROR(__xludf.DUMMYFUNCTION("to_date(index(sort(GOOGLEFINANCE(A96, ""high"", today()-52*7, today(), ""DAILY""),2,0),2,1))"),46127.64583333333)</f>
        <v>46127.64583</v>
      </c>
      <c r="H96" s="44">
        <f>IFERROR(__xludf.DUMMYFUNCTION("GOOGLEFINANCE(A96,""low52"")"),586.25)</f>
        <v>586.25</v>
      </c>
      <c r="I96" s="45">
        <f>IFERROR(__xludf.DUMMYFUNCTION("to_date(index(sort(GOOGLEFINANCE(A96, ""low"", today()-52*7, today(), ""DAILY""),2,1),1,1))"),45805.64583333333)</f>
        <v>45805.64583</v>
      </c>
      <c r="J96" s="46" t="str">
        <f t="shared" si="1"/>
        <v>Do Not Buy Today</v>
      </c>
    </row>
    <row r="97">
      <c r="A97" s="58" t="s">
        <v>200</v>
      </c>
      <c r="B97" s="59">
        <f>IFERROR(__xludf.DUMMYFUNCTION("GOOGLEFINANCE(A97,""price"")"),1289.7)</f>
        <v>1289.7</v>
      </c>
      <c r="C97" s="60">
        <f>IFERROR(__xludf.DUMMYFUNCTION("GOOGLEFINANCE(A97,""closeyest"")"),1279.1)</f>
        <v>1279.1</v>
      </c>
      <c r="D97" s="61">
        <f>IFERROR(__xludf.DUMMYFUNCTION("MIN(index(GOOGLEFINANCE(A97,""ALL"",TODAY()-180,TODAY()),0,5))*1.2"),1447.0800000000002)</f>
        <v>1447.08</v>
      </c>
      <c r="E97" s="62">
        <f>IFERROR(__xludf.DUMMYFUNCTION("AVERAGE(QUERY(SORT(GOOGLEFINANCE(A97,""price"",TODAY()-320,TODAY()),1,0),""select Col2 limit 100""))"),1329.249)</f>
        <v>1329.249</v>
      </c>
      <c r="F97" s="44">
        <f>IFERROR(__xludf.DUMMYFUNCTION("GOOGLEFINANCE(A97,""high52"")"),1500.0)</f>
        <v>1500</v>
      </c>
      <c r="G97" s="45">
        <f>IFERROR(__xludf.DUMMYFUNCTION("to_date(index(sort(GOOGLEFINANCE(A97, ""high"", today()-52*7, today(), ""DAILY""),2,0),2,1))"),45863.64583333333)</f>
        <v>45863.64583</v>
      </c>
      <c r="H97" s="44">
        <f>IFERROR(__xludf.DUMMYFUNCTION("GOOGLEFINANCE(A97,""low52"")"),1187.6)</f>
        <v>1187.6</v>
      </c>
      <c r="I97" s="45">
        <f>IFERROR(__xludf.DUMMYFUNCTION("to_date(index(sort(GOOGLEFINANCE(A97, ""low"", today()-52*7, today(), ""DAILY""),2,1),1,1))"),46114.64583333333)</f>
        <v>46114.64583</v>
      </c>
      <c r="J97" s="46" t="str">
        <f t="shared" si="1"/>
        <v>Do Not Buy Today</v>
      </c>
    </row>
    <row r="98">
      <c r="A98" s="58" t="s">
        <v>201</v>
      </c>
      <c r="B98" s="59">
        <f>IFERROR(__xludf.DUMMYFUNCTION("GOOGLEFINANCE(A98,""price"")"),394.0)</f>
        <v>394</v>
      </c>
      <c r="C98" s="60">
        <f>IFERROR(__xludf.DUMMYFUNCTION("GOOGLEFINANCE(A98,""closeyest"")"),393.25)</f>
        <v>393.25</v>
      </c>
      <c r="D98" s="61">
        <f>IFERROR(__xludf.DUMMYFUNCTION("MIN(index(GOOGLEFINANCE(A98,""ALL"",TODAY()-180,TODAY()),0,5))*1.2"),446.16)</f>
        <v>446.16</v>
      </c>
      <c r="E98" s="62">
        <f>IFERROR(__xludf.DUMMYFUNCTION("AVERAGE(QUERY(SORT(GOOGLEFINANCE(A98,""price"",TODAY()-320,TODAY()),1,0),""select Col2 limit 100""))"),451.5004999999999)</f>
        <v>451.5005</v>
      </c>
      <c r="F98" s="44">
        <f>IFERROR(__xludf.DUMMYFUNCTION("GOOGLEFINANCE(A98,""high52"")"),540.5)</f>
        <v>540.5</v>
      </c>
      <c r="G98" s="45">
        <f>IFERROR(__xludf.DUMMYFUNCTION("to_date(index(sort(GOOGLEFINANCE(A98, ""high"", today()-52*7, today(), ""DAILY""),2,0),2,1))"),45975.64583333333)</f>
        <v>45975.64583</v>
      </c>
      <c r="H98" s="44">
        <f>IFERROR(__xludf.DUMMYFUNCTION("GOOGLEFINANCE(A98,""low52"")"),365.3)</f>
        <v>365.3</v>
      </c>
      <c r="I98" s="45">
        <f>IFERROR(__xludf.DUMMYFUNCTION("to_date(index(sort(GOOGLEFINANCE(A98, ""low"", today()-52*7, today(), ""DAILY""),2,1),1,1))"),46162.64583333333)</f>
        <v>46162.64583</v>
      </c>
      <c r="J98" s="46" t="str">
        <f t="shared" si="1"/>
        <v>Do Not Buy Today</v>
      </c>
    </row>
    <row r="99">
      <c r="A99" s="58" t="s">
        <v>202</v>
      </c>
      <c r="B99" s="59">
        <f>IFERROR(__xludf.DUMMYFUNCTION("GOOGLEFINANCE(A99,""price"")"),142.1)</f>
        <v>142.1</v>
      </c>
      <c r="C99" s="60">
        <f>IFERROR(__xludf.DUMMYFUNCTION("GOOGLEFINANCE(A99,""closeyest"")"),142.38)</f>
        <v>142.38</v>
      </c>
      <c r="D99" s="61">
        <f>IFERROR(__xludf.DUMMYFUNCTION("MIN(index(GOOGLEFINANCE(A99,""ALL"",TODAY()-180,TODAY()),0,5))*1.2"),158.172)</f>
        <v>158.172</v>
      </c>
      <c r="E99" s="62">
        <f>IFERROR(__xludf.DUMMYFUNCTION("AVERAGE(QUERY(SORT(GOOGLEFINANCE(A99,""price"",TODAY()-320,TODAY()),1,0),""select Col2 limit 100""))"),155.54149999999998)</f>
        <v>155.5415</v>
      </c>
      <c r="F99" s="44">
        <f>IFERROR(__xludf.DUMMYFUNCTION("GOOGLEFINANCE(A99,""high52"")"),188.96)</f>
        <v>188.96</v>
      </c>
      <c r="G99" s="45">
        <f>IFERROR(__xludf.DUMMYFUNCTION("to_date(index(sort(GOOGLEFINANCE(A99, ""high"", today()-52*7, today(), ""DAILY""),2,0),2,1))"),46080.64583333333)</f>
        <v>46080.64583</v>
      </c>
      <c r="H99" s="44">
        <f>IFERROR(__xludf.DUMMYFUNCTION("GOOGLEFINANCE(A99,""low52"")"),130.22)</f>
        <v>130.22</v>
      </c>
      <c r="I99" s="45">
        <f>IFERROR(__xludf.DUMMYFUNCTION("to_date(index(sort(GOOGLEFINANCE(A99, ""low"", today()-52*7, today(), ""DAILY""),2,1),1,1))"),46114.64583333333)</f>
        <v>46114.64583</v>
      </c>
      <c r="J99" s="46" t="str">
        <f t="shared" si="1"/>
        <v>Do Not Buy Today</v>
      </c>
    </row>
    <row r="100">
      <c r="A100" s="58" t="s">
        <v>203</v>
      </c>
      <c r="B100" s="59">
        <f>IFERROR(__xludf.DUMMYFUNCTION("GOOGLEFINANCE(A100,""price"")"),129.69)</f>
        <v>129.69</v>
      </c>
      <c r="C100" s="60">
        <f>IFERROR(__xludf.DUMMYFUNCTION("GOOGLEFINANCE(A100,""closeyest"")"),129.54)</f>
        <v>129.54</v>
      </c>
      <c r="D100" s="61">
        <f>IFERROR(__xludf.DUMMYFUNCTION("MIN(index(GOOGLEFINANCE(A100,""ALL"",TODAY()-180,TODAY()),0,5))*1.2"),130.776)</f>
        <v>130.776</v>
      </c>
      <c r="E100" s="62">
        <f>IFERROR(__xludf.DUMMYFUNCTION("AVERAGE(QUERY(SORT(GOOGLEFINANCE(A100,""price"",TODAY()-320,TODAY()),1,0),""select Col2 limit 100""))"),127.9509)</f>
        <v>127.9509</v>
      </c>
      <c r="F100" s="44">
        <f>IFERROR(__xludf.DUMMYFUNCTION("GOOGLEFINANCE(A100,""high52"")"),186.58)</f>
        <v>186.58</v>
      </c>
      <c r="G100" s="45">
        <f>IFERROR(__xludf.DUMMYFUNCTION("to_date(index(sort(GOOGLEFINANCE(A100, ""high"", today()-52*7, today(), ""DAILY""),2,0),2,1))"),45817.64583333333)</f>
        <v>45817.64583</v>
      </c>
      <c r="H100" s="44">
        <f>IFERROR(__xludf.DUMMYFUNCTION("GOOGLEFINANCE(A100,""low52"")"),108.65)</f>
        <v>108.65</v>
      </c>
      <c r="I100" s="45">
        <f>IFERROR(__xludf.DUMMYFUNCTION("to_date(index(sort(GOOGLEFINANCE(A100, ""low"", today()-52*7, today(), ""DAILY""),2,1),1,1))"),46111.64583333333)</f>
        <v>46111.64583</v>
      </c>
      <c r="J100" s="46" t="str">
        <f t="shared" si="1"/>
        <v>Do Not Buy Today</v>
      </c>
    </row>
    <row r="101">
      <c r="A101" s="58" t="s">
        <v>204</v>
      </c>
      <c r="B101" s="59">
        <f>IFERROR(__xludf.DUMMYFUNCTION("GOOGLEFINANCE(A101,""price"")"),1327.7)</f>
        <v>1327.7</v>
      </c>
      <c r="C101" s="60">
        <f>IFERROR(__xludf.DUMMYFUNCTION("GOOGLEFINANCE(A101,""closeyest"")"),1327.9)</f>
        <v>1327.9</v>
      </c>
      <c r="D101" s="61">
        <f>IFERROR(__xludf.DUMMYFUNCTION("MIN(index(GOOGLEFINANCE(A101,""ALL"",TODAY()-180,TODAY()),0,5))*1.2"),1388.64)</f>
        <v>1388.64</v>
      </c>
      <c r="E101" s="62">
        <f>IFERROR(__xludf.DUMMYFUNCTION("AVERAGE(QUERY(SORT(GOOGLEFINANCE(A101,""price"",TODAY()-320,TODAY()),1,0),""select Col2 limit 100""))"),1265.42)</f>
        <v>1265.42</v>
      </c>
      <c r="F101" s="44">
        <f>IFERROR(__xludf.DUMMYFUNCTION("GOOGLEFINANCE(A101,""high52"")"),1379.7)</f>
        <v>1379.7</v>
      </c>
      <c r="G101" s="45">
        <f>IFERROR(__xludf.DUMMYFUNCTION("to_date(index(sort(GOOGLEFINANCE(A101, ""high"", today()-52*7, today(), ""DAILY""),2,0),2,1))"),45820.64583333333)</f>
        <v>45820.64583</v>
      </c>
      <c r="H101" s="44">
        <f>IFERROR(__xludf.DUMMYFUNCTION("GOOGLEFINANCE(A101,""low52"")"),1148.4)</f>
        <v>1148.4</v>
      </c>
      <c r="I101" s="45">
        <f>IFERROR(__xludf.DUMMYFUNCTION("to_date(index(sort(GOOGLEFINANCE(A101, ""low"", today()-52*7, today(), ""DAILY""),2,1),1,1))"),46043.64583333333)</f>
        <v>46043.64583</v>
      </c>
      <c r="J101" s="46" t="str">
        <f t="shared" si="1"/>
        <v>Do Not Buy Today</v>
      </c>
    </row>
    <row r="102">
      <c r="A102" s="58" t="s">
        <v>205</v>
      </c>
      <c r="B102" s="59">
        <f>IFERROR(__xludf.DUMMYFUNCTION("GOOGLEFINANCE(A102,""price"")"),525.75)</f>
        <v>525.75</v>
      </c>
      <c r="C102" s="60">
        <f>IFERROR(__xludf.DUMMYFUNCTION("GOOGLEFINANCE(A102,""closeyest"")"),537.2)</f>
        <v>537.2</v>
      </c>
      <c r="D102" s="61">
        <f>IFERROR(__xludf.DUMMYFUNCTION("MIN(index(GOOGLEFINANCE(A102,""ALL"",TODAY()-180,TODAY()),0,5))*1.2"),593.4)</f>
        <v>593.4</v>
      </c>
      <c r="E102" s="62">
        <f>IFERROR(__xludf.DUMMYFUNCTION("AVERAGE(QUERY(SORT(GOOGLEFINANCE(A102,""price"",TODAY()-320,TODAY()),1,0),""select Col2 limit 100""))"),581.391)</f>
        <v>581.391</v>
      </c>
      <c r="F102" s="44">
        <f>IFERROR(__xludf.DUMMYFUNCTION("GOOGLEFINANCE(A102,""high52"")"),800.0)</f>
        <v>800</v>
      </c>
      <c r="G102" s="45">
        <f>IFERROR(__xludf.DUMMYFUNCTION("to_date(index(sort(GOOGLEFINANCE(A102, ""high"", today()-52*7, today(), ""DAILY""),2,0),2,1))"),45806.64583333333)</f>
        <v>45806.64583</v>
      </c>
      <c r="H102" s="44">
        <f>IFERROR(__xludf.DUMMYFUNCTION("GOOGLEFINANCE(A102,""low52"")"),492.65)</f>
        <v>492.65</v>
      </c>
      <c r="I102" s="45">
        <f>IFERROR(__xludf.DUMMYFUNCTION("to_date(index(sort(GOOGLEFINANCE(A102, ""low"", today()-52*7, today(), ""DAILY""),2,1),1,1))"),46111.64583333333)</f>
        <v>46111.64583</v>
      </c>
      <c r="J102" s="46" t="str">
        <f t="shared" si="1"/>
        <v>Do Not Buy Today</v>
      </c>
    </row>
    <row r="103">
      <c r="A103" s="58" t="s">
        <v>206</v>
      </c>
      <c r="B103" s="59">
        <f>IFERROR(__xludf.DUMMYFUNCTION("GOOGLEFINANCE(A103,""price"")"),283.05)</f>
        <v>283.05</v>
      </c>
      <c r="C103" s="60">
        <f>IFERROR(__xludf.DUMMYFUNCTION("GOOGLEFINANCE(A103,""closeyest"")"),282.7)</f>
        <v>282.7</v>
      </c>
      <c r="D103" s="61">
        <f>IFERROR(__xludf.DUMMYFUNCTION("MIN(index(GOOGLEFINANCE(A103,""ALL"",TODAY()-180,TODAY()),0,5))*1.2"),288.23999999999995)</f>
        <v>288.24</v>
      </c>
      <c r="E103" s="62">
        <f>IFERROR(__xludf.DUMMYFUNCTION("AVERAGE(QUERY(SORT(GOOGLEFINANCE(A103,""price"",TODAY()-320,TODAY()),1,0),""select Col2 limit 100""))"),284.0696)</f>
        <v>284.0696</v>
      </c>
      <c r="F103" s="44">
        <f>IFERROR(__xludf.DUMMYFUNCTION("GOOGLEFINANCE(A103,""high52"")"),329.45)</f>
        <v>329.45</v>
      </c>
      <c r="G103" s="45">
        <f>IFERROR(__xludf.DUMMYFUNCTION("to_date(index(sort(GOOGLEFINANCE(A103, ""high"", today()-52*7, today(), ""DAILY""),2,0),2,1))"),46028.64583333333)</f>
        <v>46028.64583</v>
      </c>
      <c r="H103" s="44">
        <f>IFERROR(__xludf.DUMMYFUNCTION("GOOGLEFINANCE(A103,""low52"")"),169.25)</f>
        <v>169.25</v>
      </c>
      <c r="I103" s="45">
        <f>IFERROR(__xludf.DUMMYFUNCTION("to_date(index(sort(GOOGLEFINANCE(A103, ""low"", today()-52*7, today(), ""DAILY""),2,1),1,1))"),45807.64583333333)</f>
        <v>45807.64583</v>
      </c>
      <c r="J103" s="46" t="str">
        <f t="shared" si="1"/>
        <v>Do Not Buy Today</v>
      </c>
    </row>
    <row r="104">
      <c r="A104" s="58" t="s">
        <v>207</v>
      </c>
      <c r="B104" s="59">
        <f>IFERROR(__xludf.DUMMYFUNCTION("GOOGLEFINANCE(A104,""price"")"),2712.4)</f>
        <v>2712.4</v>
      </c>
      <c r="C104" s="60">
        <f>IFERROR(__xludf.DUMMYFUNCTION("GOOGLEFINANCE(A104,""closeyest"")"),2739.8)</f>
        <v>2739.8</v>
      </c>
      <c r="D104" s="61">
        <f>IFERROR(__xludf.DUMMYFUNCTION("MIN(index(GOOGLEFINANCE(A104,""ALL"",TODAY()-180,TODAY()),0,5))*1.2"),2659.68)</f>
        <v>2659.68</v>
      </c>
      <c r="E104" s="62">
        <f>IFERROR(__xludf.DUMMYFUNCTION("AVERAGE(QUERY(SORT(GOOGLEFINANCE(A104,""price"",TODAY()-320,TODAY()),1,0),""select Col2 limit 100""))"),2616.0190000000007)</f>
        <v>2616.019</v>
      </c>
      <c r="F104" s="44">
        <f>IFERROR(__xludf.DUMMYFUNCTION("GOOGLEFINANCE(A104,""high52"")"),2967.25)</f>
        <v>2967.25</v>
      </c>
      <c r="G104" s="45">
        <f>IFERROR(__xludf.DUMMYFUNCTION("to_date(index(sort(GOOGLEFINANCE(A104, ""high"", today()-52*7, today(), ""DAILY""),2,0),2,1))"),45946.64583333333)</f>
        <v>45946.64583</v>
      </c>
      <c r="H104" s="44">
        <f>IFERROR(__xludf.DUMMYFUNCTION("GOOGLEFINANCE(A104,""low52"")"),2205.6)</f>
        <v>2205.6</v>
      </c>
      <c r="I104" s="45">
        <f>IFERROR(__xludf.DUMMYFUNCTION("to_date(index(sort(GOOGLEFINANCE(A104, ""low"", today()-52*7, today(), ""DAILY""),2,1),1,1))"),46111.64583333333)</f>
        <v>46111.64583</v>
      </c>
      <c r="J104" s="46" t="str">
        <f t="shared" si="1"/>
        <v>Do Not Buy Today</v>
      </c>
    </row>
    <row r="105">
      <c r="A105" s="58" t="s">
        <v>208</v>
      </c>
      <c r="B105" s="59">
        <f>IFERROR(__xludf.DUMMYFUNCTION("GOOGLEFINANCE(A105,""price"")"),145.85)</f>
        <v>145.85</v>
      </c>
      <c r="C105" s="60">
        <f>IFERROR(__xludf.DUMMYFUNCTION("GOOGLEFINANCE(A105,""closeyest"")"),144.99)</f>
        <v>144.99</v>
      </c>
      <c r="D105" s="61">
        <f>IFERROR(__xludf.DUMMYFUNCTION("MIN(index(GOOGLEFINANCE(A105,""ALL"",TODAY()-180,TODAY()),0,5))*1.2"),164.388)</f>
        <v>164.388</v>
      </c>
      <c r="E105" s="62">
        <f>IFERROR(__xludf.DUMMYFUNCTION("AVERAGE(QUERY(SORT(GOOGLEFINANCE(A105,""price"",TODAY()-320,TODAY()),1,0),""select Col2 limit 100""))"),152.40969999999996)</f>
        <v>152.4097</v>
      </c>
      <c r="F105" s="44">
        <f>IFERROR(__xludf.DUMMYFUNCTION("GOOGLEFINANCE(A105,""high52"")"),178.36)</f>
        <v>178.36</v>
      </c>
      <c r="G105" s="45">
        <f>IFERROR(__xludf.DUMMYFUNCTION("to_date(index(sort(GOOGLEFINANCE(A105, ""high"", today()-52*7, today(), ""DAILY""),2,0),2,1))"),46080.64583333333)</f>
        <v>46080.64583</v>
      </c>
      <c r="H105" s="44">
        <f>IFERROR(__xludf.DUMMYFUNCTION("GOOGLEFINANCE(A105,""low52"")"),108.81)</f>
        <v>108.81</v>
      </c>
      <c r="I105" s="45">
        <f>IFERROR(__xludf.DUMMYFUNCTION("to_date(index(sort(GOOGLEFINANCE(A105, ""low"", today()-52*7, today(), ""DAILY""),2,1),1,1))"),45870.64583333333)</f>
        <v>45870.64583</v>
      </c>
      <c r="J105" s="46" t="str">
        <f t="shared" si="1"/>
        <v>Do Not Buy Today</v>
      </c>
    </row>
    <row r="106">
      <c r="A106" s="58" t="s">
        <v>209</v>
      </c>
      <c r="B106" s="59">
        <f>IFERROR(__xludf.DUMMYFUNCTION("GOOGLEFINANCE(A106,""price"")"),11660.0)</f>
        <v>11660</v>
      </c>
      <c r="C106" s="60">
        <f>IFERROR(__xludf.DUMMYFUNCTION("GOOGLEFINANCE(A106,""closeyest"")"),11623.0)</f>
        <v>11623</v>
      </c>
      <c r="D106" s="61">
        <f>IFERROR(__xludf.DUMMYFUNCTION("MIN(index(GOOGLEFINANCE(A106,""ALL"",TODAY()-180,TODAY()),0,5))*1.2"),12434.4)</f>
        <v>12434.4</v>
      </c>
      <c r="E106" s="62">
        <f>IFERROR(__xludf.DUMMYFUNCTION("AVERAGE(QUERY(SORT(GOOGLEFINANCE(A106,""price"",TODAY()-320,TODAY()),1,0),""select Col2 limit 100""))"),11953.75)</f>
        <v>11953.75</v>
      </c>
      <c r="F106" s="44">
        <f>IFERROR(__xludf.DUMMYFUNCTION("GOOGLEFINANCE(A106,""high52"")"),13110.0)</f>
        <v>13110</v>
      </c>
      <c r="G106" s="45">
        <f>IFERROR(__xludf.DUMMYFUNCTION("to_date(index(sort(GOOGLEFINANCE(A106, ""high"", today()-52*7, today(), ""DAILY""),2,0),2,1))"),46063.64583333333)</f>
        <v>46063.64583</v>
      </c>
      <c r="H106" s="44">
        <f>IFERROR(__xludf.DUMMYFUNCTION("GOOGLEFINANCE(A106,""low52"")"),10325.0)</f>
        <v>10325</v>
      </c>
      <c r="I106" s="45">
        <f>IFERROR(__xludf.DUMMYFUNCTION("to_date(index(sort(GOOGLEFINANCE(A106, ""low"", today()-52*7, today(), ""DAILY""),2,1),1,1))"),46104.64583333333)</f>
        <v>46104.64583</v>
      </c>
      <c r="J106" s="46" t="str">
        <f t="shared" si="1"/>
        <v>Do Not Buy Today</v>
      </c>
    </row>
    <row r="107">
      <c r="A107" s="58" t="s">
        <v>210</v>
      </c>
      <c r="B107" s="59">
        <f>IFERROR(__xludf.DUMMYFUNCTION("GOOGLEFINANCE(A107,""price"")"),838.7)</f>
        <v>838.7</v>
      </c>
      <c r="C107" s="60">
        <f>IFERROR(__xludf.DUMMYFUNCTION("GOOGLEFINANCE(A107,""closeyest"")"),830.0)</f>
        <v>830</v>
      </c>
      <c r="D107" s="61">
        <f>IFERROR(__xludf.DUMMYFUNCTION("MIN(index(GOOGLEFINANCE(A107,""ALL"",TODAY()-180,TODAY()),0,5))*1.2"),852.78)</f>
        <v>852.78</v>
      </c>
      <c r="E107" s="62">
        <f>IFERROR(__xludf.DUMMYFUNCTION("AVERAGE(QUERY(SORT(GOOGLEFINANCE(A107,""price"",TODAY()-320,TODAY()),1,0),""select Col2 limit 100""))"),772.0955000000001)</f>
        <v>772.0955</v>
      </c>
      <c r="F107" s="44">
        <f>IFERROR(__xludf.DUMMYFUNCTION("GOOGLEFINANCE(A107,""high52"")"),848.8)</f>
        <v>848.8</v>
      </c>
      <c r="G107" s="45">
        <f>IFERROR(__xludf.DUMMYFUNCTION("to_date(index(sort(GOOGLEFINANCE(A107, ""high"", today()-52*7, today(), ""DAILY""),2,0),2,1))"),46153.64583333333)</f>
        <v>46153.64583</v>
      </c>
      <c r="H107" s="44">
        <f>IFERROR(__xludf.DUMMYFUNCTION("GOOGLEFINANCE(A107,""low52"")"),680.3)</f>
        <v>680.3</v>
      </c>
      <c r="I107" s="45">
        <f>IFERROR(__xludf.DUMMYFUNCTION("to_date(index(sort(GOOGLEFINANCE(A107, ""low"", today()-52*7, today(), ""DAILY""),2,1),1,1))"),45824.64583333333)</f>
        <v>45824.64583</v>
      </c>
      <c r="J107" s="46" t="str">
        <f t="shared" si="1"/>
        <v>Do Not Buy Today</v>
      </c>
    </row>
    <row r="108">
      <c r="A108" s="58" t="s">
        <v>211</v>
      </c>
      <c r="B108" s="59">
        <f>IFERROR(__xludf.DUMMYFUNCTION("GOOGLEFINANCE(A108,""price"")"),1534.3)</f>
        <v>1534.3</v>
      </c>
      <c r="C108" s="60">
        <f>IFERROR(__xludf.DUMMYFUNCTION("GOOGLEFINANCE(A108,""closeyest"")"),1526.2)</f>
        <v>1526.2</v>
      </c>
      <c r="D108" s="61">
        <f>IFERROR(__xludf.DUMMYFUNCTION("MIN(index(GOOGLEFINANCE(A108,""ALL"",TODAY()-180,TODAY()),0,5))*1.2"),1431.7199999999998)</f>
        <v>1431.72</v>
      </c>
      <c r="E108" s="62">
        <f>IFERROR(__xludf.DUMMYFUNCTION("AVERAGE(QUERY(SORT(GOOGLEFINANCE(A108,""price"",TODAY()-320,TODAY()),1,0),""select Col2 limit 100""))"),1520.046)</f>
        <v>1520.046</v>
      </c>
      <c r="F108" s="44">
        <f>IFERROR(__xludf.DUMMYFUNCTION("GOOGLEFINANCE(A108,""high52"")"),2545.0)</f>
        <v>2545</v>
      </c>
      <c r="G108" s="45">
        <f>IFERROR(__xludf.DUMMYFUNCTION("to_date(index(sort(GOOGLEFINANCE(A108, ""high"", today()-52*7, today(), ""DAILY""),2,0),2,1))"),45814.64583333333)</f>
        <v>45814.64583</v>
      </c>
      <c r="H108" s="44">
        <f>IFERROR(__xludf.DUMMYFUNCTION("GOOGLEFINANCE(A108,""low52"")"),1187.0)</f>
        <v>1187</v>
      </c>
      <c r="I108" s="45">
        <f>IFERROR(__xludf.DUMMYFUNCTION("to_date(index(sort(GOOGLEFINANCE(A108, ""low"", today()-52*7, today(), ""DAILY""),2,1),1,1))"),46111.64583333333)</f>
        <v>46111.64583</v>
      </c>
      <c r="J108" s="46" t="str">
        <f t="shared" si="1"/>
        <v>Do Not Buy Today</v>
      </c>
    </row>
    <row r="109">
      <c r="A109" s="58" t="s">
        <v>212</v>
      </c>
      <c r="B109" s="59">
        <f>IFERROR(__xludf.DUMMYFUNCTION("GOOGLEFINANCE(A109,""price"")"),2253.6)</f>
        <v>2253.6</v>
      </c>
      <c r="C109" s="60">
        <f>IFERROR(__xludf.DUMMYFUNCTION("GOOGLEFINANCE(A109,""closeyest"")"),2266.0)</f>
        <v>2266</v>
      </c>
      <c r="D109" s="61">
        <f>IFERROR(__xludf.DUMMYFUNCTION("MIN(index(GOOGLEFINANCE(A109,""ALL"",TODAY()-180,TODAY()),0,5))*1.2"),2462.1600000000003)</f>
        <v>2462.16</v>
      </c>
      <c r="E109" s="62">
        <f>IFERROR(__xludf.DUMMYFUNCTION("AVERAGE(QUERY(SORT(GOOGLEFINANCE(A109,""price"",TODAY()-320,TODAY()),1,0),""select Col2 limit 100""))"),2253.7390000000005)</f>
        <v>2253.739</v>
      </c>
      <c r="F109" s="44">
        <f>IFERROR(__xludf.DUMMYFUNCTION("GOOGLEFINANCE(A109,""high52"")"),2494.0)</f>
        <v>2494</v>
      </c>
      <c r="G109" s="45">
        <f>IFERROR(__xludf.DUMMYFUNCTION("to_date(index(sort(GOOGLEFINANCE(A109, ""high"", today()-52*7, today(), ""DAILY""),2,0),2,1))"),46149.64583333333)</f>
        <v>46149.64583</v>
      </c>
      <c r="H109" s="44">
        <f>IFERROR(__xludf.DUMMYFUNCTION("GOOGLEFINANCE(A109,""low52"")"),1836.8)</f>
        <v>1836.8</v>
      </c>
      <c r="I109" s="45">
        <f>IFERROR(__xludf.DUMMYFUNCTION("to_date(index(sort(GOOGLEFINANCE(A109, ""low"", today()-52*7, today(), ""DAILY""),2,1),1,1))"),45875.64583333333)</f>
        <v>45875.64583</v>
      </c>
      <c r="J109" s="46" t="str">
        <f t="shared" si="1"/>
        <v>Do Not Buy Today</v>
      </c>
    </row>
    <row r="110">
      <c r="A110" s="58" t="s">
        <v>213</v>
      </c>
      <c r="B110" s="59">
        <f>IFERROR(__xludf.DUMMYFUNCTION("GOOGLEFINANCE(A110,""price"")"),85.52)</f>
        <v>85.52</v>
      </c>
      <c r="C110" s="60">
        <f>IFERROR(__xludf.DUMMYFUNCTION("GOOGLEFINANCE(A110,""closeyest"")"),85.05)</f>
        <v>85.05</v>
      </c>
      <c r="D110" s="61">
        <f>IFERROR(__xludf.DUMMYFUNCTION("MIN(index(GOOGLEFINANCE(A110,""ALL"",TODAY()-180,TODAY()),0,5))*1.2"),87.708)</f>
        <v>87.708</v>
      </c>
      <c r="E110" s="62">
        <f>IFERROR(__xludf.DUMMYFUNCTION("AVERAGE(QUERY(SORT(GOOGLEFINANCE(A110,""price"",TODAY()-320,TODAY()),1,0),""select Col2 limit 100""))"),87.4545)</f>
        <v>87.4545</v>
      </c>
      <c r="F110" s="44">
        <f>IFERROR(__xludf.DUMMYFUNCTION("GOOGLEFINANCE(A110,""high52"")"),128.45)</f>
        <v>128.45</v>
      </c>
      <c r="G110" s="45">
        <f>IFERROR(__xludf.DUMMYFUNCTION("to_date(index(sort(GOOGLEFINANCE(A110, ""high"", today()-52*7, today(), ""DAILY""),2,0),2,1))"),45817.64583333333)</f>
        <v>45817.64583</v>
      </c>
      <c r="H110" s="44">
        <f>IFERROR(__xludf.DUMMYFUNCTION("GOOGLEFINANCE(A110,""low52"")"),72.65)</f>
        <v>72.65</v>
      </c>
      <c r="I110" s="45">
        <f>IFERROR(__xludf.DUMMYFUNCTION("to_date(index(sort(GOOGLEFINANCE(A110, ""low"", today()-52*7, today(), ""DAILY""),2,1),1,1))"),46111.64583333333)</f>
        <v>46111.64583</v>
      </c>
      <c r="J110" s="46" t="str">
        <f t="shared" si="1"/>
        <v>Do Not Buy Today</v>
      </c>
    </row>
    <row r="111">
      <c r="A111" s="58" t="s">
        <v>214</v>
      </c>
      <c r="B111" s="59">
        <f>IFERROR(__xludf.DUMMYFUNCTION("GOOGLEFINANCE(A111,""price"")"),778.0)</f>
        <v>778</v>
      </c>
      <c r="C111" s="60">
        <f>IFERROR(__xludf.DUMMYFUNCTION("GOOGLEFINANCE(A111,""closeyest"")"),784.7)</f>
        <v>784.7</v>
      </c>
      <c r="D111" s="61">
        <f>IFERROR(__xludf.DUMMYFUNCTION("MIN(index(GOOGLEFINANCE(A111,""ALL"",TODAY()-180,TODAY()),0,5))*1.2"),758.34)</f>
        <v>758.34</v>
      </c>
      <c r="E111" s="62">
        <f>IFERROR(__xludf.DUMMYFUNCTION("AVERAGE(QUERY(SORT(GOOGLEFINANCE(A111,""price"",TODAY()-320,TODAY()),1,0),""select Col2 limit 100""))"),852.7180000000001)</f>
        <v>852.718</v>
      </c>
      <c r="F111" s="44">
        <f>IFERROR(__xludf.DUMMYFUNCTION("GOOGLEFINANCE(A111,""high52"")"),1434.5)</f>
        <v>1434.5</v>
      </c>
      <c r="G111" s="45">
        <f>IFERROR(__xludf.DUMMYFUNCTION("to_date(index(sort(GOOGLEFINANCE(A111, ""high"", today()-52*7, today(), ""DAILY""),2,0),2,1))"),45827.64583333333)</f>
        <v>45827.64583</v>
      </c>
      <c r="H111" s="44">
        <f>IFERROR(__xludf.DUMMYFUNCTION("GOOGLEFINANCE(A111,""low52"")"),624.9)</f>
        <v>624.9</v>
      </c>
      <c r="I111" s="45">
        <f>IFERROR(__xludf.DUMMYFUNCTION("to_date(index(sort(GOOGLEFINANCE(A111, ""low"", today()-52*7, today(), ""DAILY""),2,1),1,1))"),46098.64583333333)</f>
        <v>46098.64583</v>
      </c>
      <c r="J111" s="46" t="str">
        <f t="shared" si="1"/>
        <v>Do Not Buy Today</v>
      </c>
    </row>
    <row r="112">
      <c r="A112" s="58" t="s">
        <v>215</v>
      </c>
      <c r="B112" s="59">
        <f>IFERROR(__xludf.DUMMYFUNCTION("GOOGLEFINANCE(A112,""price"")"),1087.4)</f>
        <v>1087.4</v>
      </c>
      <c r="C112" s="60">
        <f>IFERROR(__xludf.DUMMYFUNCTION("GOOGLEFINANCE(A112,""closeyest"")"),1079.05)</f>
        <v>1079.05</v>
      </c>
      <c r="D112" s="61">
        <f>IFERROR(__xludf.DUMMYFUNCTION("MIN(index(GOOGLEFINANCE(A112,""ALL"",TODAY()-180,TODAY()),0,5))*1.2"),1032.72)</f>
        <v>1032.72</v>
      </c>
      <c r="E112" s="62">
        <f>IFERROR(__xludf.DUMMYFUNCTION("AVERAGE(QUERY(SORT(GOOGLEFINANCE(A112,""price"",TODAY()-320,TODAY()),1,0),""select Col2 limit 100""))"),917.4985)</f>
        <v>917.4985</v>
      </c>
      <c r="F112" s="44">
        <f>IFERROR(__xludf.DUMMYFUNCTION("GOOGLEFINANCE(A112,""high52"")"),1093.65)</f>
        <v>1093.65</v>
      </c>
      <c r="G112" s="45">
        <f>IFERROR(__xludf.DUMMYFUNCTION("to_date(index(sort(GOOGLEFINANCE(A112, ""high"", today()-52*7, today(), ""DAILY""),2,0),2,1))"),46162.64583333333)</f>
        <v>46162.64583</v>
      </c>
      <c r="H112" s="44">
        <f>IFERROR(__xludf.DUMMYFUNCTION("GOOGLEFINANCE(A112,""low52"")"),835.5)</f>
        <v>835.5</v>
      </c>
      <c r="I112" s="45">
        <f>IFERROR(__xludf.DUMMYFUNCTION("to_date(index(sort(GOOGLEFINANCE(A112, ""low"", today()-52*7, today(), ""DAILY""),2,1),1,1))"),46114.64583333333)</f>
        <v>46114.64583</v>
      </c>
      <c r="J112" s="46" t="str">
        <f t="shared" si="1"/>
        <v>Do Not Buy Today</v>
      </c>
    </row>
    <row r="113">
      <c r="A113" s="58" t="s">
        <v>216</v>
      </c>
      <c r="B113" s="59">
        <f>IFERROR(__xludf.DUMMYFUNCTION("GOOGLEFINANCE(A113,""price"")"),1320.1)</f>
        <v>1320.1</v>
      </c>
      <c r="C113" s="60">
        <f>IFERROR(__xludf.DUMMYFUNCTION("GOOGLEFINANCE(A113,""closeyest"")"),1293.6)</f>
        <v>1293.6</v>
      </c>
      <c r="D113" s="61">
        <f>IFERROR(__xludf.DUMMYFUNCTION("MIN(index(GOOGLEFINANCE(A113,""ALL"",TODAY()-180,TODAY()),0,5))*1.2"),1295.1599999999999)</f>
        <v>1295.16</v>
      </c>
      <c r="E113" s="62">
        <f>IFERROR(__xludf.DUMMYFUNCTION("AVERAGE(QUERY(SORT(GOOGLEFINANCE(A113,""price"",TODAY()-320,TODAY()),1,0),""select Col2 limit 100""))"),1215.682)</f>
        <v>1215.682</v>
      </c>
      <c r="F113" s="44">
        <f>IFERROR(__xludf.DUMMYFUNCTION("GOOGLEFINANCE(A113,""high52"")"),1328.0)</f>
        <v>1328</v>
      </c>
      <c r="G113" s="45">
        <f>IFERROR(__xludf.DUMMYFUNCTION("to_date(index(sort(GOOGLEFINANCE(A113, ""high"", today()-52*7, today(), ""DAILY""),2,0),2,1))"),46157.64583333333)</f>
        <v>46157.64583</v>
      </c>
      <c r="H113" s="44">
        <f>IFERROR(__xludf.DUMMYFUNCTION("GOOGLEFINANCE(A113,""low52"")"),962.15)</f>
        <v>962.15</v>
      </c>
      <c r="I113" s="45">
        <f>IFERROR(__xludf.DUMMYFUNCTION("to_date(index(sort(GOOGLEFINANCE(A113, ""low"", today()-52*7, today(), ""DAILY""),2,1),1,1))"),45812.64583333333)</f>
        <v>45812.64583</v>
      </c>
      <c r="J113" s="46" t="str">
        <f t="shared" si="1"/>
        <v>Do Not Buy Today</v>
      </c>
    </row>
    <row r="114">
      <c r="A114" s="58" t="s">
        <v>217</v>
      </c>
      <c r="B114" s="59">
        <f>IFERROR(__xludf.DUMMYFUNCTION("GOOGLEFINANCE(A114,""price"")"),133.75)</f>
        <v>133.75</v>
      </c>
      <c r="C114" s="60">
        <f>IFERROR(__xludf.DUMMYFUNCTION("GOOGLEFINANCE(A114,""closeyest"")"),133.15)</f>
        <v>133.15</v>
      </c>
      <c r="D114" s="61">
        <f>IFERROR(__xludf.DUMMYFUNCTION("MIN(index(GOOGLEFINANCE(A114,""ALL"",TODAY()-180,TODAY()),0,5))*1.2"),148.14)</f>
        <v>148.14</v>
      </c>
      <c r="E114" s="62">
        <f>IFERROR(__xludf.DUMMYFUNCTION("AVERAGE(QUERY(SORT(GOOGLEFINANCE(A114,""price"",TODAY()-320,TODAY()),1,0),""select Col2 limit 100""))"),142.8947)</f>
        <v>142.8947</v>
      </c>
      <c r="F114" s="44">
        <f>IFERROR(__xludf.DUMMYFUNCTION("GOOGLEFINANCE(A114,""high52"")"),162.89)</f>
        <v>162.89</v>
      </c>
      <c r="G114" s="45">
        <f>IFERROR(__xludf.DUMMYFUNCTION("to_date(index(sort(GOOGLEFINANCE(A114, ""high"", today()-52*7, today(), ""DAILY""),2,0),2,1))"),46079.64583333333)</f>
        <v>46079.64583</v>
      </c>
      <c r="H114" s="44">
        <f>IFERROR(__xludf.DUMMYFUNCTION("GOOGLEFINANCE(A114,""low52"")"),103.55)</f>
        <v>103.55</v>
      </c>
      <c r="I114" s="45">
        <f>IFERROR(__xludf.DUMMYFUNCTION("to_date(index(sort(GOOGLEFINANCE(A114, ""low"", today()-52*7, today(), ""DAILY""),2,1),1,1))"),45898.64583333333)</f>
        <v>45898.64583</v>
      </c>
      <c r="J114" s="46" t="str">
        <f t="shared" si="1"/>
        <v>Do Not Buy Today</v>
      </c>
    </row>
    <row r="115">
      <c r="A115" s="58" t="s">
        <v>218</v>
      </c>
      <c r="B115" s="59">
        <f>IFERROR(__xludf.DUMMYFUNCTION("GOOGLEFINANCE(A115,""price"")"),303.45)</f>
        <v>303.45</v>
      </c>
      <c r="C115" s="60">
        <f>IFERROR(__xludf.DUMMYFUNCTION("GOOGLEFINANCE(A115,""closeyest"")"),305.1)</f>
        <v>305.1</v>
      </c>
      <c r="D115" s="61">
        <f>IFERROR(__xludf.DUMMYFUNCTION("MIN(index(GOOGLEFINANCE(A115,""ALL"",TODAY()-180,TODAY()),0,5))*1.2"),333.0)</f>
        <v>333</v>
      </c>
      <c r="E115" s="62">
        <f>IFERROR(__xludf.DUMMYFUNCTION("AVERAGE(QUERY(SORT(GOOGLEFINANCE(A115,""price"",TODAY()-320,TODAY()),1,0),""select Col2 limit 100""))"),340.92550000000017)</f>
        <v>340.9255</v>
      </c>
      <c r="F115" s="44">
        <f>IFERROR(__xludf.DUMMYFUNCTION("GOOGLEFINANCE(A115,""high52"")"),412.2)</f>
        <v>412.2</v>
      </c>
      <c r="G115" s="45">
        <f>IFERROR(__xludf.DUMMYFUNCTION("to_date(index(sort(GOOGLEFINANCE(A115, ""high"", today()-52*7, today(), ""DAILY""),2,0),2,1))"),46014.64583333333)</f>
        <v>46014.64583</v>
      </c>
      <c r="H115" s="44">
        <f>IFERROR(__xludf.DUMMYFUNCTION("GOOGLEFINANCE(A115,""low52"")"),246.35)</f>
        <v>246.35</v>
      </c>
      <c r="I115" s="45">
        <f>IFERROR(__xludf.DUMMYFUNCTION("to_date(index(sort(GOOGLEFINANCE(A115, ""low"", today()-52*7, today(), ""DAILY""),2,1),1,1))"),45867.64583333333)</f>
        <v>45867.64583</v>
      </c>
      <c r="J115" s="46" t="str">
        <f t="shared" si="1"/>
        <v>Do Not Buy Today</v>
      </c>
    </row>
    <row r="116">
      <c r="A116" s="58" t="s">
        <v>219</v>
      </c>
      <c r="B116" s="59">
        <f>IFERROR(__xludf.DUMMYFUNCTION("GOOGLEFINANCE(A116,""price"")"),337.9)</f>
        <v>337.9</v>
      </c>
      <c r="C116" s="60">
        <f>IFERROR(__xludf.DUMMYFUNCTION("GOOGLEFINANCE(A116,""closeyest"")"),337.6)</f>
        <v>337.6</v>
      </c>
      <c r="D116" s="61">
        <f>IFERROR(__xludf.DUMMYFUNCTION("MIN(index(GOOGLEFINANCE(A116,""ALL"",TODAY()-180,TODAY()),0,5))*1.2"),366.12)</f>
        <v>366.12</v>
      </c>
      <c r="E116" s="62">
        <f>IFERROR(__xludf.DUMMYFUNCTION("AVERAGE(QUERY(SORT(GOOGLEFINANCE(A116,""price"",TODAY()-320,TODAY()),1,0),""select Col2 limit 100""))"),353.26050000000004)</f>
        <v>353.2605</v>
      </c>
      <c r="F116" s="44">
        <f>IFERROR(__xludf.DUMMYFUNCTION("GOOGLEFINANCE(A116,""high52"")"),428.7)</f>
        <v>428.7</v>
      </c>
      <c r="G116" s="45">
        <f>IFERROR(__xludf.DUMMYFUNCTION("to_date(index(sort(GOOGLEFINANCE(A116, ""high"", today()-52*7, today(), ""DAILY""),2,0),2,1))"),45817.64583333333)</f>
        <v>45817.64583</v>
      </c>
      <c r="H116" s="44">
        <f>IFERROR(__xludf.DUMMYFUNCTION("GOOGLEFINANCE(A116,""low52"")"),304.05)</f>
        <v>304.05</v>
      </c>
      <c r="I116" s="45">
        <f>IFERROR(__xludf.DUMMYFUNCTION("to_date(index(sort(GOOGLEFINANCE(A116, ""low"", today()-52*7, today(), ""DAILY""),2,1),1,1))"),46111.64583333333)</f>
        <v>46111.64583</v>
      </c>
      <c r="J116" s="46" t="str">
        <f t="shared" si="1"/>
        <v>Do Not Buy Today</v>
      </c>
    </row>
    <row r="117">
      <c r="A117" s="58" t="s">
        <v>220</v>
      </c>
      <c r="B117" s="59">
        <f>IFERROR(__xludf.DUMMYFUNCTION("GOOGLEFINANCE(A117,""price"")"),1447.7)</f>
        <v>1447.7</v>
      </c>
      <c r="C117" s="60">
        <f>IFERROR(__xludf.DUMMYFUNCTION("GOOGLEFINANCE(A117,""closeyest"")"),1461.2)</f>
        <v>1461.2</v>
      </c>
      <c r="D117" s="61">
        <f>IFERROR(__xludf.DUMMYFUNCTION("MIN(index(GOOGLEFINANCE(A117,""ALL"",TODAY()-180,TODAY()),0,5))*1.2"),1346.04)</f>
        <v>1346.04</v>
      </c>
      <c r="E117" s="62">
        <f>IFERROR(__xludf.DUMMYFUNCTION("AVERAGE(QUERY(SORT(GOOGLEFINANCE(A117,""price"",TODAY()-320,TODAY()),1,0),""select Col2 limit 100""))"),1287.6609999999996)</f>
        <v>1287.661</v>
      </c>
      <c r="F117" s="44">
        <f>IFERROR(__xludf.DUMMYFUNCTION("GOOGLEFINANCE(A117,""high52"")"),1550.0)</f>
        <v>1550</v>
      </c>
      <c r="G117" s="45">
        <f>IFERROR(__xludf.DUMMYFUNCTION("to_date(index(sort(GOOGLEFINANCE(A117, ""high"", today()-52*7, today(), ""DAILY""),2,0),2,1))"),46163.64583333333)</f>
        <v>46163.64583</v>
      </c>
      <c r="H117" s="44">
        <f>IFERROR(__xludf.DUMMYFUNCTION("GOOGLEFINANCE(A117,""low52"")"),1016.1)</f>
        <v>1016.1</v>
      </c>
      <c r="I117" s="45">
        <f>IFERROR(__xludf.DUMMYFUNCTION("to_date(index(sort(GOOGLEFINANCE(A117, ""low"", today()-52*7, today(), ""DAILY""),2,1),1,1))"),45901.64583333333)</f>
        <v>45901.64583</v>
      </c>
      <c r="J117" s="46" t="str">
        <f t="shared" si="1"/>
        <v>Do Not Buy Today</v>
      </c>
    </row>
    <row r="118">
      <c r="A118" s="58" t="s">
        <v>221</v>
      </c>
      <c r="B118" s="59">
        <f>IFERROR(__xludf.DUMMYFUNCTION("GOOGLEFINANCE(A118,""price"")"),3130.2)</f>
        <v>3130.2</v>
      </c>
      <c r="C118" s="60">
        <f>IFERROR(__xludf.DUMMYFUNCTION("GOOGLEFINANCE(A118,""closeyest"")"),3107.3)</f>
        <v>3107.3</v>
      </c>
      <c r="D118" s="61">
        <f>IFERROR(__xludf.DUMMYFUNCTION("MIN(index(GOOGLEFINANCE(A118,""ALL"",TODAY()-180,TODAY()),0,5))*1.2"),3517.3199999999997)</f>
        <v>3517.32</v>
      </c>
      <c r="E118" s="62">
        <f>IFERROR(__xludf.DUMMYFUNCTION("AVERAGE(QUERY(SORT(GOOGLEFINANCE(A118,""price"",TODAY()-320,TODAY()),1,0),""select Col2 limit 100""))"),3336.231)</f>
        <v>3336.231</v>
      </c>
      <c r="F118" s="44">
        <f>IFERROR(__xludf.DUMMYFUNCTION("GOOGLEFINANCE(A118,""high52"")"),3839.9)</f>
        <v>3839.9</v>
      </c>
      <c r="G118" s="45">
        <f>IFERROR(__xludf.DUMMYFUNCTION("to_date(index(sort(GOOGLEFINANCE(A118, ""high"", today()-52*7, today(), ""DAILY""),2,0),2,1))"),46027.64583333333)</f>
        <v>46027.64583</v>
      </c>
      <c r="H118" s="44">
        <f>IFERROR(__xludf.DUMMYFUNCTION("GOOGLEFINANCE(A118,""low52"")"),2896.0)</f>
        <v>2896</v>
      </c>
      <c r="I118" s="45">
        <f>IFERROR(__xludf.DUMMYFUNCTION("to_date(index(sort(GOOGLEFINANCE(A118, ""low"", today()-52*7, today(), ""DAILY""),2,1),1,1))"),46097.64583333333)</f>
        <v>46097.64583</v>
      </c>
      <c r="J118" s="46" t="str">
        <f t="shared" si="1"/>
        <v>Do Not Buy Today</v>
      </c>
    </row>
    <row r="119">
      <c r="A119" s="58" t="s">
        <v>222</v>
      </c>
      <c r="B119" s="59">
        <f>IFERROR(__xludf.DUMMYFUNCTION("GOOGLEFINANCE(A119,""price"")"),168.96)</f>
        <v>168.96</v>
      </c>
      <c r="C119" s="60">
        <f>IFERROR(__xludf.DUMMYFUNCTION("GOOGLEFINANCE(A119,""closeyest"")"),167.56)</f>
        <v>167.56</v>
      </c>
      <c r="D119" s="61">
        <f>IFERROR(__xludf.DUMMYFUNCTION("MIN(index(GOOGLEFINANCE(A119,""ALL"",TODAY()-180,TODAY()),0,5))*1.2"),177.672)</f>
        <v>177.672</v>
      </c>
      <c r="E119" s="62">
        <f>IFERROR(__xludf.DUMMYFUNCTION("AVERAGE(QUERY(SORT(GOOGLEFINANCE(A119,""price"",TODAY()-320,TODAY()),1,0),""select Col2 limit 100""))"),175.40030000000002)</f>
        <v>175.4003</v>
      </c>
      <c r="F119" s="44">
        <f>IFERROR(__xludf.DUMMYFUNCTION("GOOGLEFINANCE(A119,""high52"")"),205.49)</f>
        <v>205.49</v>
      </c>
      <c r="G119" s="45">
        <f>IFERROR(__xludf.DUMMYFUNCTION("to_date(index(sort(GOOGLEFINANCE(A119, ""high"", today()-52*7, today(), ""DAILY""),2,0),2,1))"),46080.64583333333)</f>
        <v>46080.64583</v>
      </c>
      <c r="H119" s="44">
        <f>IFERROR(__xludf.DUMMYFUNCTION("GOOGLEFINANCE(A119,""low52"")"),124.64)</f>
        <v>124.64</v>
      </c>
      <c r="I119" s="45">
        <f>IFERROR(__xludf.DUMMYFUNCTION("to_date(index(sort(GOOGLEFINANCE(A119, ""low"", today()-52*7, today(), ""DAILY""),2,1),1,1))"),45898.64583333333)</f>
        <v>45898.64583</v>
      </c>
      <c r="J119" s="46" t="str">
        <f t="shared" si="1"/>
        <v>Do Not Buy Today</v>
      </c>
    </row>
    <row r="120">
      <c r="A120" s="58" t="s">
        <v>223</v>
      </c>
      <c r="B120" s="59">
        <f>IFERROR(__xludf.DUMMYFUNCTION("GOOGLEFINANCE(A120,""price"")"),70.3)</f>
        <v>70.3</v>
      </c>
      <c r="C120" s="60">
        <f>IFERROR(__xludf.DUMMYFUNCTION("GOOGLEFINANCE(A120,""closeyest"")"),70.22)</f>
        <v>70.22</v>
      </c>
      <c r="D120" s="61">
        <f>IFERROR(__xludf.DUMMYFUNCTION("MIN(index(GOOGLEFINANCE(A120,""ALL"",TODAY()-180,TODAY()),0,5))*1.2"),70.62)</f>
        <v>70.62</v>
      </c>
      <c r="E120" s="62">
        <f>IFERROR(__xludf.DUMMYFUNCTION("AVERAGE(QUERY(SORT(GOOGLEFINANCE(A120,""price"",TODAY()-320,TODAY()),1,0),""select Col2 limit 100""))"),73.61639999999998)</f>
        <v>73.6164</v>
      </c>
      <c r="F120" s="44">
        <f>IFERROR(__xludf.DUMMYFUNCTION("GOOGLEFINANCE(A120,""high52"")"),87.0)</f>
        <v>87</v>
      </c>
      <c r="G120" s="45">
        <f>IFERROR(__xludf.DUMMYFUNCTION("to_date(index(sort(GOOGLEFINANCE(A120, ""high"", today()-52*7, today(), ""DAILY""),2,0),2,1))"),46024.64583333333)</f>
        <v>46024.64583</v>
      </c>
      <c r="H120" s="44">
        <f>IFERROR(__xludf.DUMMYFUNCTION("GOOGLEFINANCE(A120,""low52"")"),58.08)</f>
        <v>58.08</v>
      </c>
      <c r="I120" s="45">
        <f>IFERROR(__xludf.DUMMYFUNCTION("to_date(index(sort(GOOGLEFINANCE(A120, ""low"", today()-52*7, today(), ""DAILY""),2,1),1,1))"),46114.64583333333)</f>
        <v>46114.64583</v>
      </c>
      <c r="J120" s="46" t="str">
        <f t="shared" si="1"/>
        <v>Do Not Buy Today</v>
      </c>
    </row>
    <row r="121">
      <c r="A121" s="58" t="s">
        <v>224</v>
      </c>
      <c r="B121" s="59">
        <f>IFERROR(__xludf.DUMMYFUNCTION("GOOGLEFINANCE(A121,""price"")"),365.25)</f>
        <v>365.25</v>
      </c>
      <c r="C121" s="60">
        <f>IFERROR(__xludf.DUMMYFUNCTION("GOOGLEFINANCE(A121,""closeyest"")"),363.05)</f>
        <v>363.05</v>
      </c>
      <c r="D121" s="61">
        <f>IFERROR(__xludf.DUMMYFUNCTION("MIN(index(GOOGLEFINANCE(A121,""ALL"",TODAY()-180,TODAY()),0,5))*1.2"),350.7)</f>
        <v>350.7</v>
      </c>
      <c r="E121" s="62">
        <f>IFERROR(__xludf.DUMMYFUNCTION("AVERAGE(QUERY(SORT(GOOGLEFINANCE(A121,""price"",TODAY()-320,TODAY()),1,0),""select Col2 limit 100""))"),341.8669999999999)</f>
        <v>341.867</v>
      </c>
      <c r="F121" s="44">
        <f>IFERROR(__xludf.DUMMYFUNCTION("GOOGLEFINANCE(A121,""high52"")"),375.95)</f>
        <v>375.95</v>
      </c>
      <c r="G121" s="45">
        <f>IFERROR(__xludf.DUMMYFUNCTION("to_date(index(sort(GOOGLEFINANCE(A121, ""high"", today()-52*7, today(), ""DAILY""),2,0),2,1))"),46149.64583333333)</f>
        <v>46149.64583</v>
      </c>
      <c r="H121" s="44">
        <f>IFERROR(__xludf.DUMMYFUNCTION("GOOGLEFINANCE(A121,""low52"")"),217.14)</f>
        <v>217.14</v>
      </c>
      <c r="I121" s="45">
        <f>IFERROR(__xludf.DUMMYFUNCTION("to_date(index(sort(GOOGLEFINANCE(A121, ""low"", today()-52*7, today(), ""DAILY""),2,1),1,1))"),45805.64583333333)</f>
        <v>45805.64583</v>
      </c>
      <c r="J121" s="46" t="str">
        <f t="shared" si="1"/>
        <v>Do Not Buy Today</v>
      </c>
    </row>
    <row r="122">
      <c r="A122" s="58" t="s">
        <v>225</v>
      </c>
      <c r="B122" s="59">
        <f>IFERROR(__xludf.DUMMYFUNCTION("GOOGLEFINANCE(A122,""price"")"),206.58)</f>
        <v>206.58</v>
      </c>
      <c r="C122" s="60">
        <f>IFERROR(__xludf.DUMMYFUNCTION("GOOGLEFINANCE(A122,""closeyest"")"),203.84)</f>
        <v>203.84</v>
      </c>
      <c r="D122" s="61">
        <f>IFERROR(__xludf.DUMMYFUNCTION("MIN(index(GOOGLEFINANCE(A122,""ALL"",TODAY()-180,TODAY()),0,5))*1.2"),151.09199999999998)</f>
        <v>151.092</v>
      </c>
      <c r="E122" s="62">
        <f>IFERROR(__xludf.DUMMYFUNCTION("AVERAGE(QUERY(SORT(GOOGLEFINANCE(A122,""price"",TODAY()-320,TODAY()),1,0),""select Col2 limit 100""))"),162.77800000000002)</f>
        <v>162.778</v>
      </c>
      <c r="F122" s="44">
        <f>IFERROR(__xludf.DUMMYFUNCTION("GOOGLEFINANCE(A122,""high52"")"),209.7)</f>
        <v>209.7</v>
      </c>
      <c r="G122" s="45">
        <f>IFERROR(__xludf.DUMMYFUNCTION("to_date(index(sort(GOOGLEFINANCE(A122, ""high"", today()-52*7, today(), ""DAILY""),2,0),2,1))"),46156.64583333333)</f>
        <v>46156.64583</v>
      </c>
      <c r="H122" s="44">
        <f>IFERROR(__xludf.DUMMYFUNCTION("GOOGLEFINANCE(A122,""low52"")"),118.1)</f>
        <v>118.1</v>
      </c>
      <c r="I122" s="45">
        <f>IFERROR(__xludf.DUMMYFUNCTION("to_date(index(sort(GOOGLEFINANCE(A122, ""low"", today()-52*7, today(), ""DAILY""),2,1),1,1))"),45897.64583333333)</f>
        <v>45897.64583</v>
      </c>
      <c r="J122" s="46" t="str">
        <f t="shared" si="1"/>
        <v>Do Not Buy Today</v>
      </c>
    </row>
    <row r="123">
      <c r="A123" s="58" t="s">
        <v>226</v>
      </c>
      <c r="B123" s="59">
        <f>IFERROR(__xludf.DUMMYFUNCTION("GOOGLEFINANCE(A123,""price"")"),1301.6)</f>
        <v>1301.6</v>
      </c>
      <c r="C123" s="60">
        <f>IFERROR(__xludf.DUMMYFUNCTION("GOOGLEFINANCE(A123,""closeyest"")"),1293.4)</f>
        <v>1293.4</v>
      </c>
      <c r="D123" s="61">
        <f>IFERROR(__xludf.DUMMYFUNCTION("MIN(index(GOOGLEFINANCE(A123,""ALL"",TODAY()-180,TODAY()),0,5))*1.2"),1462.56)</f>
        <v>1462.56</v>
      </c>
      <c r="E123" s="62">
        <f>IFERROR(__xludf.DUMMYFUNCTION("AVERAGE(QUERY(SORT(GOOGLEFINANCE(A123,""price"",TODAY()-320,TODAY()),1,0),""select Col2 limit 100""))"),1335.9860000000003)</f>
        <v>1335.986</v>
      </c>
      <c r="F123" s="44">
        <f>IFERROR(__xludf.DUMMYFUNCTION("GOOGLEFINANCE(A123,""high52"")"),1645.0)</f>
        <v>1645</v>
      </c>
      <c r="G123" s="45">
        <f>IFERROR(__xludf.DUMMYFUNCTION("to_date(index(sort(GOOGLEFINANCE(A123, ""high"", today()-52*7, today(), ""DAILY""),2,0),2,1))"),45818.64583333333)</f>
        <v>45818.64583</v>
      </c>
      <c r="H123" s="44">
        <f>IFERROR(__xludf.DUMMYFUNCTION("GOOGLEFINANCE(A123,""low52"")"),1210.8)</f>
        <v>1210.8</v>
      </c>
      <c r="I123" s="45">
        <f>IFERROR(__xludf.DUMMYFUNCTION("to_date(index(sort(GOOGLEFINANCE(A123, ""low"", today()-52*7, today(), ""DAILY""),2,1),1,1))"),46119.64583333333)</f>
        <v>46119.64583</v>
      </c>
      <c r="J123" s="46" t="str">
        <f t="shared" si="1"/>
        <v>Do Not Buy Today</v>
      </c>
    </row>
    <row r="124">
      <c r="A124" s="58" t="s">
        <v>227</v>
      </c>
      <c r="B124" s="59">
        <f>IFERROR(__xludf.DUMMYFUNCTION("GOOGLEFINANCE(A124,""price"")"),1935.7)</f>
        <v>1935.7</v>
      </c>
      <c r="C124" s="60">
        <f>IFERROR(__xludf.DUMMYFUNCTION("GOOGLEFINANCE(A124,""closeyest"")"),1930.4)</f>
        <v>1930.4</v>
      </c>
      <c r="D124" s="61">
        <f>IFERROR(__xludf.DUMMYFUNCTION("MIN(index(GOOGLEFINANCE(A124,""ALL"",TODAY()-180,TODAY()),0,5))*1.2"),1648.32)</f>
        <v>1648.32</v>
      </c>
      <c r="E124" s="62">
        <f>IFERROR(__xludf.DUMMYFUNCTION("AVERAGE(QUERY(SORT(GOOGLEFINANCE(A124,""price"",TODAY()-320,TODAY()),1,0),""select Col2 limit 100""))"),1710.7320000000002)</f>
        <v>1710.732</v>
      </c>
      <c r="F124" s="44">
        <f>IFERROR(__xludf.DUMMYFUNCTION("GOOGLEFINANCE(A124,""high52"")"),2044.0)</f>
        <v>2044</v>
      </c>
      <c r="G124" s="45">
        <f>IFERROR(__xludf.DUMMYFUNCTION("to_date(index(sort(GOOGLEFINANCE(A124, ""high"", today()-52*7, today(), ""DAILY""),2,0),2,1))"),46150.64583333333)</f>
        <v>46150.64583</v>
      </c>
      <c r="H124" s="44">
        <f>IFERROR(__xludf.DUMMYFUNCTION("GOOGLEFINANCE(A124,""low52"")"),1100.5)</f>
        <v>1100.5</v>
      </c>
      <c r="I124" s="45">
        <f>IFERROR(__xludf.DUMMYFUNCTION("to_date(index(sort(GOOGLEFINANCE(A124, ""low"", today()-52*7, today(), ""DAILY""),2,1),1,1))"),45898.64583333333)</f>
        <v>45898.64583</v>
      </c>
      <c r="J124" s="46" t="str">
        <f t="shared" si="1"/>
        <v>Do Not Buy Today</v>
      </c>
    </row>
    <row r="125">
      <c r="A125" s="58" t="s">
        <v>228</v>
      </c>
      <c r="B125" s="59">
        <f>IFERROR(__xludf.DUMMYFUNCTION("GOOGLEFINANCE(A125,""price"")"),1491.5)</f>
        <v>1491.5</v>
      </c>
      <c r="C125" s="60">
        <f>IFERROR(__xludf.DUMMYFUNCTION("GOOGLEFINANCE(A125,""closeyest"")"),1457.4)</f>
        <v>1457.4</v>
      </c>
      <c r="D125" s="61">
        <f>IFERROR(__xludf.DUMMYFUNCTION("MIN(index(GOOGLEFINANCE(A125,""ALL"",TODAY()-180,TODAY()),0,5))*1.2"),927.3599999999999)</f>
        <v>927.36</v>
      </c>
      <c r="E125" s="62">
        <f>IFERROR(__xludf.DUMMYFUNCTION("AVERAGE(QUERY(SORT(GOOGLEFINANCE(A125,""price"",TODAY()-320,TODAY()),1,0),""select Col2 limit 100""))"),1034.9350000000004)</f>
        <v>1034.935</v>
      </c>
      <c r="F125" s="44">
        <f>IFERROR(__xludf.DUMMYFUNCTION("GOOGLEFINANCE(A125,""high52"")"),1518.0)</f>
        <v>1518</v>
      </c>
      <c r="G125" s="45">
        <f>IFERROR(__xludf.DUMMYFUNCTION("to_date(index(sort(GOOGLEFINANCE(A125, ""high"", today()-52*7, today(), ""DAILY""),2,0),2,1))"),46157.64583333333)</f>
        <v>46157.64583</v>
      </c>
      <c r="H125" s="44">
        <f>IFERROR(__xludf.DUMMYFUNCTION("GOOGLEFINANCE(A125,""low52"")"),765.0)</f>
        <v>765</v>
      </c>
      <c r="I125" s="45">
        <f>IFERROR(__xludf.DUMMYFUNCTION("to_date(index(sort(GOOGLEFINANCE(A125, ""low"", today()-52*7, today(), ""DAILY""),2,1),1,1))"),46045.64583333333)</f>
        <v>46045.64583</v>
      </c>
      <c r="J125" s="46" t="str">
        <f t="shared" si="1"/>
        <v>Do Not Buy Today</v>
      </c>
    </row>
    <row r="126">
      <c r="A126" s="58" t="s">
        <v>229</v>
      </c>
      <c r="B126" s="59">
        <f>IFERROR(__xludf.DUMMYFUNCTION("GOOGLEFINANCE(A126,""price"")"),14.23)</f>
        <v>14.23</v>
      </c>
      <c r="C126" s="60">
        <f>IFERROR(__xludf.DUMMYFUNCTION("GOOGLEFINANCE(A126,""closeyest"")"),14.14)</f>
        <v>14.14</v>
      </c>
      <c r="D126" s="61">
        <f>IFERROR(__xludf.DUMMYFUNCTION("MIN(index(GOOGLEFINANCE(A126,""ALL"",TODAY()-180,TODAY()),0,5))*1.2"),10.235999999999999)</f>
        <v>10.236</v>
      </c>
      <c r="E126" s="62">
        <f>IFERROR(__xludf.DUMMYFUNCTION("AVERAGE(QUERY(SORT(GOOGLEFINANCE(A126,""price"",TODAY()-320,TODAY()),1,0),""select Col2 limit 100""))"),10.683999999999996)</f>
        <v>10.684</v>
      </c>
      <c r="F126" s="44">
        <f>IFERROR(__xludf.DUMMYFUNCTION("GOOGLEFINANCE(A126,""high52"")"),14.29)</f>
        <v>14.29</v>
      </c>
      <c r="G126" s="45">
        <f>IFERROR(__xludf.DUMMYFUNCTION("to_date(index(sort(GOOGLEFINANCE(A126, ""high"", today()-52*7, today(), ""DAILY""),2,0),2,1))"),46168.64583333333)</f>
        <v>46168.64583</v>
      </c>
      <c r="H126" s="44">
        <f>IFERROR(__xludf.DUMMYFUNCTION("GOOGLEFINANCE(A126,""low52"")"),6.12)</f>
        <v>6.12</v>
      </c>
      <c r="I126" s="45">
        <f>IFERROR(__xludf.DUMMYFUNCTION("to_date(index(sort(GOOGLEFINANCE(A126, ""low"", today()-52*7, today(), ""DAILY""),2,1),1,1))"),45883.64583333333)</f>
        <v>45883.64583</v>
      </c>
      <c r="J126" s="46" t="str">
        <f t="shared" si="1"/>
        <v>Do Not Buy Today</v>
      </c>
    </row>
    <row r="127">
      <c r="A127" s="58" t="s">
        <v>230</v>
      </c>
      <c r="B127" s="59">
        <f>IFERROR(__xludf.DUMMYFUNCTION("GOOGLEFINANCE(A127,""price"")"),4487.6)</f>
        <v>4487.6</v>
      </c>
      <c r="C127" s="60">
        <f>IFERROR(__xludf.DUMMYFUNCTION("GOOGLEFINANCE(A127,""closeyest"")"),4480.8)</f>
        <v>4480.8</v>
      </c>
      <c r="D127" s="61">
        <f>IFERROR(__xludf.DUMMYFUNCTION("MIN(index(GOOGLEFINANCE(A127,""ALL"",TODAY()-180,TODAY()),0,5))*1.2"),4732.2)</f>
        <v>4732.2</v>
      </c>
      <c r="E127" s="62">
        <f>IFERROR(__xludf.DUMMYFUNCTION("AVERAGE(QUERY(SORT(GOOGLEFINANCE(A127,""price"",TODAY()-320,TODAY()),1,0),""select Col2 limit 100""))"),4601.279)</f>
        <v>4601.279</v>
      </c>
      <c r="F127" s="44">
        <f>IFERROR(__xludf.DUMMYFUNCTION("GOOGLEFINANCE(A127,""high52"")"),6232.5)</f>
        <v>6232.5</v>
      </c>
      <c r="G127" s="45">
        <f>IFERROR(__xludf.DUMMYFUNCTION("to_date(index(sort(GOOGLEFINANCE(A127, ""high"", today()-52*7, today(), ""DAILY""),2,0),2,1))"),45887.64583333333)</f>
        <v>45887.64583</v>
      </c>
      <c r="H127" s="44">
        <f>IFERROR(__xludf.DUMMYFUNCTION("GOOGLEFINANCE(A127,""low52"")"),3895.2)</f>
        <v>3895.2</v>
      </c>
      <c r="I127" s="45">
        <f>IFERROR(__xludf.DUMMYFUNCTION("to_date(index(sort(GOOGLEFINANCE(A127, ""low"", today()-52*7, today(), ""DAILY""),2,1),1,1))"),46085.64583333333)</f>
        <v>46085.64583</v>
      </c>
      <c r="J127" s="46" t="str">
        <f t="shared" si="1"/>
        <v>Do Not Buy Today</v>
      </c>
    </row>
    <row r="128">
      <c r="A128" s="58" t="s">
        <v>231</v>
      </c>
      <c r="B128" s="59">
        <f>IFERROR(__xludf.DUMMYFUNCTION("GOOGLEFINANCE(A128,""price"")"),7361.0)</f>
        <v>7361</v>
      </c>
      <c r="C128" s="60">
        <f>IFERROR(__xludf.DUMMYFUNCTION("GOOGLEFINANCE(A128,""closeyest"")"),7376.0)</f>
        <v>7376</v>
      </c>
      <c r="D128" s="61">
        <f>IFERROR(__xludf.DUMMYFUNCTION("MIN(index(GOOGLEFINANCE(A128,""ALL"",TODAY()-180,TODAY()),0,5))*1.2"),7903.2)</f>
        <v>7903.2</v>
      </c>
      <c r="E128" s="62">
        <f>IFERROR(__xludf.DUMMYFUNCTION("AVERAGE(QUERY(SORT(GOOGLEFINANCE(A128,""price"",TODAY()-320,TODAY()),1,0),""select Col2 limit 100""))"),7267.785)</f>
        <v>7267.785</v>
      </c>
      <c r="F128" s="44">
        <f>IFERROR(__xludf.DUMMYFUNCTION("GOOGLEFINANCE(A128,""high52"")"),8230.0)</f>
        <v>8230</v>
      </c>
      <c r="G128" s="45">
        <f>IFERROR(__xludf.DUMMYFUNCTION("to_date(index(sort(GOOGLEFINANCE(A128, ""high"", today()-52*7, today(), ""DAILY""),2,0),2,1))"),46080.64583333333)</f>
        <v>46080.64583</v>
      </c>
      <c r="H128" s="44">
        <f>IFERROR(__xludf.DUMMYFUNCTION("GOOGLEFINANCE(A128,""low52"")"),5219.5)</f>
        <v>5219.5</v>
      </c>
      <c r="I128" s="45">
        <f>IFERROR(__xludf.DUMMYFUNCTION("to_date(index(sort(GOOGLEFINANCE(A128, ""low"", today()-52*7, today(), ""DAILY""),2,1),1,1))"),45821.64583333333)</f>
        <v>45821.64583</v>
      </c>
      <c r="J128" s="46" t="str">
        <f t="shared" si="1"/>
        <v>Do Not Buy Today</v>
      </c>
    </row>
    <row r="129">
      <c r="A129" s="58" t="s">
        <v>232</v>
      </c>
      <c r="B129" s="59">
        <f>IFERROR(__xludf.DUMMYFUNCTION("GOOGLEFINANCE(A129,""price"")"),13188.0)</f>
        <v>13188</v>
      </c>
      <c r="C129" s="60">
        <f>IFERROR(__xludf.DUMMYFUNCTION("GOOGLEFINANCE(A129,""closeyest"")"),13208.0)</f>
        <v>13208</v>
      </c>
      <c r="D129" s="61">
        <f>IFERROR(__xludf.DUMMYFUNCTION("MIN(index(GOOGLEFINANCE(A129,""ALL"",TODAY()-180,TODAY()),0,5))*1.2"),14767.199999999999)</f>
        <v>14767.2</v>
      </c>
      <c r="E129" s="62">
        <f>IFERROR(__xludf.DUMMYFUNCTION("AVERAGE(QUERY(SORT(GOOGLEFINANCE(A129,""price"",TODAY()-320,TODAY()),1,0),""select Col2 limit 100""))"),14279.27)</f>
        <v>14279.27</v>
      </c>
      <c r="F129" s="44">
        <f>IFERROR(__xludf.DUMMYFUNCTION("GOOGLEFINANCE(A129,""high52"")"),17370.0)</f>
        <v>17370</v>
      </c>
      <c r="G129" s="45">
        <f>IFERROR(__xludf.DUMMYFUNCTION("to_date(index(sort(GOOGLEFINANCE(A129, ""high"", today()-52*7, today(), ""DAILY""),2,0),2,1))"),46027.64583333333)</f>
        <v>46027.64583</v>
      </c>
      <c r="H129" s="44">
        <f>IFERROR(__xludf.DUMMYFUNCTION("GOOGLEFINANCE(A129,""low52"")"),12016.0)</f>
        <v>12016</v>
      </c>
      <c r="I129" s="45">
        <f>IFERROR(__xludf.DUMMYFUNCTION("to_date(index(sort(GOOGLEFINANCE(A129, ""low"", today()-52*7, today(), ""DAILY""),2,1),1,1))"),45813.64583333333)</f>
        <v>45813.64583</v>
      </c>
      <c r="J129" s="46" t="str">
        <f t="shared" si="1"/>
        <v>Do Not Buy Today</v>
      </c>
    </row>
    <row r="130">
      <c r="A130" s="58" t="s">
        <v>233</v>
      </c>
      <c r="B130" s="59">
        <f>IFERROR(__xludf.DUMMYFUNCTION("GOOGLEFINANCE(A130,""price"")"),930.7)</f>
        <v>930.7</v>
      </c>
      <c r="C130" s="60">
        <f>IFERROR(__xludf.DUMMYFUNCTION("GOOGLEFINANCE(A130,""closeyest"")"),903.7)</f>
        <v>903.7</v>
      </c>
      <c r="D130" s="61">
        <f>IFERROR(__xludf.DUMMYFUNCTION("MIN(index(GOOGLEFINANCE(A130,""ALL"",TODAY()-180,TODAY()),0,5))*1.2"),812.4)</f>
        <v>812.4</v>
      </c>
      <c r="E130" s="62">
        <f>IFERROR(__xludf.DUMMYFUNCTION("AVERAGE(QUERY(SORT(GOOGLEFINANCE(A130,""price"",TODAY()-320,TODAY()),1,0),""select Col2 limit 100""))"),936.2754999999999)</f>
        <v>936.2755</v>
      </c>
      <c r="F130" s="44">
        <f>IFERROR(__xludf.DUMMYFUNCTION("GOOGLEFINANCE(A130,""high52"")"),1531.0)</f>
        <v>1531</v>
      </c>
      <c r="G130" s="45">
        <f>IFERROR(__xludf.DUMMYFUNCTION("to_date(index(sort(GOOGLEFINANCE(A130, ""high"", today()-52*7, today(), ""DAILY""),2,0),2,1))"),45817.64583333333)</f>
        <v>45817.64583</v>
      </c>
      <c r="H130" s="44">
        <f>IFERROR(__xludf.DUMMYFUNCTION("GOOGLEFINANCE(A130,""low52"")"),650.8)</f>
        <v>650.8</v>
      </c>
      <c r="I130" s="45">
        <f>IFERROR(__xludf.DUMMYFUNCTION("to_date(index(sort(GOOGLEFINANCE(A130, ""low"", today()-52*7, today(), ""DAILY""),2,1),1,1))"),46114.64583333333)</f>
        <v>46114.64583</v>
      </c>
      <c r="J130" s="46" t="str">
        <f t="shared" si="1"/>
        <v>Do Not Buy Today</v>
      </c>
    </row>
    <row r="131">
      <c r="A131" s="58" t="s">
        <v>234</v>
      </c>
      <c r="B131" s="59" t="str">
        <f>IFERROR(__xludf.DUMMYFUNCTION("GOOGLEFINANCE(A131,""price"")"),"#N/A")</f>
        <v>#N/A</v>
      </c>
      <c r="C131" s="60" t="str">
        <f>IFERROR(__xludf.DUMMYFUNCTION("GOOGLEFINANCE(A131,""closeyest"")"),"#N/A")</f>
        <v>#N/A</v>
      </c>
      <c r="D131" s="61" t="str">
        <f>IFERROR(__xludf.DUMMYFUNCTION("MIN(index(GOOGLEFINANCE(A131,""ALL"",TODAY()-180,TODAY()),0,5))*1.2"),"#N/A")</f>
        <v>#N/A</v>
      </c>
      <c r="E131" s="62" t="str">
        <f>IFERROR(__xludf.DUMMYFUNCTION("AVERAGE(QUERY(SORT(GOOGLEFINANCE(A131,""price"",TODAY()-320,TODAY()),1,0),""select Col2 limit 100""))"),"#N/A")</f>
        <v>#N/A</v>
      </c>
      <c r="F131" s="44" t="str">
        <f>IFERROR(__xludf.DUMMYFUNCTION("GOOGLEFINANCE(A131,""high52"")"),"#N/A")</f>
        <v>#N/A</v>
      </c>
      <c r="G131" s="45" t="str">
        <f>IFERROR(__xludf.DUMMYFUNCTION("to_date(index(sort(GOOGLEFINANCE(A131, ""high"", today()-52*7, today(), ""DAILY""),2,0),2,1))"),"#N/A")</f>
        <v>#N/A</v>
      </c>
      <c r="H131" s="44" t="str">
        <f>IFERROR(__xludf.DUMMYFUNCTION("GOOGLEFINANCE(A131,""low52"")"),"#N/A")</f>
        <v>#N/A</v>
      </c>
      <c r="I131" s="45" t="str">
        <f>IFERROR(__xludf.DUMMYFUNCTION("to_date(index(sort(GOOGLEFINANCE(A131, ""low"", today()-52*7, today(), ""DAILY""),2,1),1,1))"),"#N/A")</f>
        <v>#N/A</v>
      </c>
      <c r="J131" s="46" t="str">
        <f t="shared" si="1"/>
        <v>#N/A</v>
      </c>
    </row>
    <row r="132">
      <c r="A132" s="58" t="s">
        <v>235</v>
      </c>
      <c r="B132" s="59">
        <f>IFERROR(__xludf.DUMMYFUNCTION("GOOGLEFINANCE(A132,""price"")"),1146.4)</f>
        <v>1146.4</v>
      </c>
      <c r="C132" s="60">
        <f>IFERROR(__xludf.DUMMYFUNCTION("GOOGLEFINANCE(A132,""closeyest"")"),1103.8)</f>
        <v>1103.8</v>
      </c>
      <c r="D132" s="61">
        <f>IFERROR(__xludf.DUMMYFUNCTION("MIN(index(GOOGLEFINANCE(A132,""ALL"",TODAY()-180,TODAY()),0,5))*1.2"),968.22)</f>
        <v>968.22</v>
      </c>
      <c r="E132" s="62">
        <f>IFERROR(__xludf.DUMMYFUNCTION("AVERAGE(QUERY(SORT(GOOGLEFINANCE(A132,""price"",TODAY()-320,TODAY()),1,0),""select Col2 limit 100""))"),966.7654999999994)</f>
        <v>966.7655</v>
      </c>
      <c r="F132" s="44">
        <f>IFERROR(__xludf.DUMMYFUNCTION("GOOGLEFINANCE(A132,""high52"")"),1154.0)</f>
        <v>1154</v>
      </c>
      <c r="G132" s="45">
        <f>IFERROR(__xludf.DUMMYFUNCTION("to_date(index(sort(GOOGLEFINANCE(A132, ""high"", today()-52*7, today(), ""DAILY""),2,0),2,1))"),46167.64583333333)</f>
        <v>46167.64583</v>
      </c>
      <c r="H132" s="44">
        <f>IFERROR(__xludf.DUMMYFUNCTION("GOOGLEFINANCE(A132,""low52"")"),618.0)</f>
        <v>618</v>
      </c>
      <c r="I132" s="45">
        <f>IFERROR(__xludf.DUMMYFUNCTION("to_date(index(sort(GOOGLEFINANCE(A132, ""low"", today()-52*7, today(), ""DAILY""),2,1),1,1))"),45810.64583333333)</f>
        <v>45810.64583</v>
      </c>
      <c r="J132" s="46" t="str">
        <f t="shared" si="1"/>
        <v>Do Not Buy Today</v>
      </c>
    </row>
    <row r="133">
      <c r="A133" s="58" t="s">
        <v>236</v>
      </c>
      <c r="B133" s="59">
        <f>IFERROR(__xludf.DUMMYFUNCTION("GOOGLEFINANCE(A133,""price"")"),1944.9)</f>
        <v>1944.9</v>
      </c>
      <c r="C133" s="60">
        <f>IFERROR(__xludf.DUMMYFUNCTION("GOOGLEFINANCE(A133,""closeyest"")"),2009.1)</f>
        <v>2009.1</v>
      </c>
      <c r="D133" s="61">
        <f>IFERROR(__xludf.DUMMYFUNCTION("MIN(index(GOOGLEFINANCE(A133,""ALL"",TODAY()-180,TODAY()),0,5))*1.2"),1617.48)</f>
        <v>1617.48</v>
      </c>
      <c r="E133" s="62">
        <f>IFERROR(__xludf.DUMMYFUNCTION("AVERAGE(QUERY(SORT(GOOGLEFINANCE(A133,""price"",TODAY()-320,TODAY()),1,0),""select Col2 limit 100""))"),1601.2890000000004)</f>
        <v>1601.289</v>
      </c>
      <c r="F133" s="44">
        <f>IFERROR(__xludf.DUMMYFUNCTION("GOOGLEFINANCE(A133,""high52"")"),2048.0)</f>
        <v>2048</v>
      </c>
      <c r="G133" s="45">
        <f>IFERROR(__xludf.DUMMYFUNCTION("to_date(index(sort(GOOGLEFINANCE(A133, ""high"", today()-52*7, today(), ""DAILY""),2,0),2,1))"),46168.64583333333)</f>
        <v>46168.64583</v>
      </c>
      <c r="H133" s="44">
        <f>IFERROR(__xludf.DUMMYFUNCTION("GOOGLEFINANCE(A133,""low52"")"),1322.5)</f>
        <v>1322.5</v>
      </c>
      <c r="I133" s="45">
        <f>IFERROR(__xludf.DUMMYFUNCTION("to_date(index(sort(GOOGLEFINANCE(A133, ""low"", today()-52*7, today(), ""DAILY""),2,1),1,1))"),46114.64583333333)</f>
        <v>46114.64583</v>
      </c>
      <c r="J133" s="46" t="str">
        <f t="shared" si="1"/>
        <v>Do Not Buy Today</v>
      </c>
    </row>
    <row r="134">
      <c r="A134" s="58" t="s">
        <v>237</v>
      </c>
      <c r="B134" s="59">
        <f>IFERROR(__xludf.DUMMYFUNCTION("GOOGLEFINANCE(A134,""price"")"),10733.5)</f>
        <v>10733.5</v>
      </c>
      <c r="C134" s="60">
        <f>IFERROR(__xludf.DUMMYFUNCTION("GOOGLEFINANCE(A134,""closeyest"")"),10593.0)</f>
        <v>10593</v>
      </c>
      <c r="D134" s="61">
        <f>IFERROR(__xludf.DUMMYFUNCTION("MIN(index(GOOGLEFINANCE(A134,""ALL"",TODAY()-180,TODAY()),0,5))*1.2"),10510.199999999999)</f>
        <v>10510.2</v>
      </c>
      <c r="E134" s="62">
        <f>IFERROR(__xludf.DUMMYFUNCTION("AVERAGE(QUERY(SORT(GOOGLEFINANCE(A134,""price"",TODAY()-320,TODAY()),1,0),""select Col2 limit 100""))"),9653.93)</f>
        <v>9653.93</v>
      </c>
      <c r="F134" s="44">
        <f>IFERROR(__xludf.DUMMYFUNCTION("GOOGLEFINANCE(A134,""high52"")"),10785.0)</f>
        <v>10785</v>
      </c>
      <c r="G134" s="45">
        <f>IFERROR(__xludf.DUMMYFUNCTION("to_date(index(sort(GOOGLEFINANCE(A134, ""high"", today()-52*7, today(), ""DAILY""),2,0),2,1))"),46150.64583333333)</f>
        <v>46150.64583</v>
      </c>
      <c r="H134" s="44">
        <f>IFERROR(__xludf.DUMMYFUNCTION("GOOGLEFINANCE(A134,""low52"")"),7858.5)</f>
        <v>7858.5</v>
      </c>
      <c r="I134" s="45">
        <f>IFERROR(__xludf.DUMMYFUNCTION("to_date(index(sort(GOOGLEFINANCE(A134, ""low"", today()-52*7, today(), ""DAILY""),2,1),1,1))"),45876.64583333333)</f>
        <v>45876.64583</v>
      </c>
      <c r="J134" s="46" t="str">
        <f t="shared" si="1"/>
        <v>Do Not Buy Today</v>
      </c>
    </row>
    <row r="135">
      <c r="A135" s="58" t="s">
        <v>238</v>
      </c>
      <c r="B135" s="59">
        <f>IFERROR(__xludf.DUMMYFUNCTION("GOOGLEFINANCE(A135,""price"")"),1916.0)</f>
        <v>1916</v>
      </c>
      <c r="C135" s="60">
        <f>IFERROR(__xludf.DUMMYFUNCTION("GOOGLEFINANCE(A135,""closeyest"")"),1874.1)</f>
        <v>1874.1</v>
      </c>
      <c r="D135" s="61">
        <f>IFERROR(__xludf.DUMMYFUNCTION("MIN(index(GOOGLEFINANCE(A135,""ALL"",TODAY()-180,TODAY()),0,5))*1.2"),2062.68)</f>
        <v>2062.68</v>
      </c>
      <c r="E135" s="62">
        <f>IFERROR(__xludf.DUMMYFUNCTION("AVERAGE(QUERY(SORT(GOOGLEFINANCE(A135,""price"",TODAY()-320,TODAY()),1,0),""select Col2 limit 100""))"),2017.2900000000009)</f>
        <v>2017.29</v>
      </c>
      <c r="F135" s="44">
        <f>IFERROR(__xludf.DUMMYFUNCTION("GOOGLEFINANCE(A135,""high52"")"),2301.4)</f>
        <v>2301.4</v>
      </c>
      <c r="G135" s="45">
        <f>IFERROR(__xludf.DUMMYFUNCTION("to_date(index(sort(GOOGLEFINANCE(A135, ""high"", today()-52*7, today(), ""DAILY""),2,0),2,1))"),46065.64583333333)</f>
        <v>46065.64583</v>
      </c>
      <c r="H135" s="44">
        <f>IFERROR(__xludf.DUMMYFUNCTION("GOOGLEFINANCE(A135,""low52"")"),1492.0)</f>
        <v>1492</v>
      </c>
      <c r="I135" s="45">
        <f>IFERROR(__xludf.DUMMYFUNCTION("to_date(index(sort(GOOGLEFINANCE(A135, ""low"", today()-52*7, today(), ""DAILY""),2,1),1,1))"),45866.64583333333)</f>
        <v>45866.64583</v>
      </c>
      <c r="J135" s="46" t="str">
        <f t="shared" si="1"/>
        <v>Do Not Buy Today</v>
      </c>
    </row>
    <row r="136">
      <c r="A136" s="58" t="s">
        <v>239</v>
      </c>
      <c r="B136" s="59">
        <f>IFERROR(__xludf.DUMMYFUNCTION("GOOGLEFINANCE(A136,""price"")"),5391.0)</f>
        <v>5391</v>
      </c>
      <c r="C136" s="60">
        <f>IFERROR(__xludf.DUMMYFUNCTION("GOOGLEFINANCE(A136,""closeyest"")"),5380.0)</f>
        <v>5380</v>
      </c>
      <c r="D136" s="61">
        <f>IFERROR(__xludf.DUMMYFUNCTION("MIN(index(GOOGLEFINANCE(A136,""ALL"",TODAY()-180,TODAY()),0,5))*1.2"),6173.4)</f>
        <v>6173.4</v>
      </c>
      <c r="E136" s="62">
        <f>IFERROR(__xludf.DUMMYFUNCTION("AVERAGE(QUERY(SORT(GOOGLEFINANCE(A136,""price"",TODAY()-320,TODAY()),1,0),""select Col2 limit 100""))"),5526.995)</f>
        <v>5526.995</v>
      </c>
      <c r="F136" s="44">
        <f>IFERROR(__xludf.DUMMYFUNCTION("GOOGLEFINANCE(A136,""high52"")"),5933.5)</f>
        <v>5933.5</v>
      </c>
      <c r="G136" s="45">
        <f>IFERROR(__xludf.DUMMYFUNCTION("to_date(index(sort(GOOGLEFINANCE(A136, ""high"", today()-52*7, today(), ""DAILY""),2,0),2,1))"),46035.64583333333)</f>
        <v>46035.64583</v>
      </c>
      <c r="H136" s="44">
        <f>IFERROR(__xludf.DUMMYFUNCTION("GOOGLEFINANCE(A136,""low52"")"),4716.2)</f>
        <v>4716.2</v>
      </c>
      <c r="I136" s="45">
        <f>IFERROR(__xludf.DUMMYFUNCTION("to_date(index(sort(GOOGLEFINANCE(A136, ""low"", today()-52*7, today(), ""DAILY""),2,1),1,1))"),45848.64583333333)</f>
        <v>45848.64583</v>
      </c>
      <c r="J136" s="46" t="str">
        <f t="shared" si="1"/>
        <v>Do Not Buy Today</v>
      </c>
    </row>
    <row r="137">
      <c r="A137" s="58" t="s">
        <v>240</v>
      </c>
      <c r="B137" s="59">
        <f>IFERROR(__xludf.DUMMYFUNCTION("GOOGLEFINANCE(A137,""price"")"),249.7)</f>
        <v>249.7</v>
      </c>
      <c r="C137" s="60">
        <f>IFERROR(__xludf.DUMMYFUNCTION("GOOGLEFINANCE(A137,""closeyest"")"),244.53)</f>
        <v>244.53</v>
      </c>
      <c r="D137" s="61">
        <f>IFERROR(__xludf.DUMMYFUNCTION("MIN(index(GOOGLEFINANCE(A137,""ALL"",TODAY()-180,TODAY()),0,5))*1.2"),159.552)</f>
        <v>159.552</v>
      </c>
      <c r="E137" s="62">
        <f>IFERROR(__xludf.DUMMYFUNCTION("AVERAGE(QUERY(SORT(GOOGLEFINANCE(A137,""price"",TODAY()-320,TODAY()),1,0),""select Col2 limit 100""))"),167.4224)</f>
        <v>167.4224</v>
      </c>
      <c r="F137" s="44">
        <f>IFERROR(__xludf.DUMMYFUNCTION("GOOGLEFINANCE(A137,""high52"")"),252.0)</f>
        <v>252</v>
      </c>
      <c r="G137" s="45">
        <f>IFERROR(__xludf.DUMMYFUNCTION("to_date(index(sort(GOOGLEFINANCE(A137, ""high"", today()-52*7, today(), ""DAILY""),2,0),2,1))"),46168.64583333333)</f>
        <v>46168.64583</v>
      </c>
      <c r="H137" s="44">
        <f>IFERROR(__xludf.DUMMYFUNCTION("GOOGLEFINANCE(A137,""low52"")"),105.42)</f>
        <v>105.42</v>
      </c>
      <c r="I137" s="45">
        <f>IFERROR(__xludf.DUMMYFUNCTION("to_date(index(sort(GOOGLEFINANCE(A137, ""low"", today()-52*7, today(), ""DAILY""),2,1),1,1))"),45828.64583333333)</f>
        <v>45828.64583</v>
      </c>
      <c r="J137" s="46" t="str">
        <f t="shared" si="1"/>
        <v>Do Not Buy Today</v>
      </c>
    </row>
    <row r="138">
      <c r="A138" s="58" t="s">
        <v>241</v>
      </c>
      <c r="B138" s="59">
        <f>IFERROR(__xludf.DUMMYFUNCTION("GOOGLEFINANCE(A138,""price"")"),719.35)</f>
        <v>719.35</v>
      </c>
      <c r="C138" s="60">
        <f>IFERROR(__xludf.DUMMYFUNCTION("GOOGLEFINANCE(A138,""closeyest"")"),706.3)</f>
        <v>706.3</v>
      </c>
      <c r="D138" s="61">
        <f>IFERROR(__xludf.DUMMYFUNCTION("MIN(index(GOOGLEFINANCE(A138,""ALL"",TODAY()-180,TODAY()),0,5))*1.2"),611.04)</f>
        <v>611.04</v>
      </c>
      <c r="E138" s="62">
        <f>IFERROR(__xludf.DUMMYFUNCTION("AVERAGE(QUERY(SORT(GOOGLEFINANCE(A138,""price"",TODAY()-320,TODAY()),1,0),""select Col2 limit 100""))"),605.6019999999999)</f>
        <v>605.602</v>
      </c>
      <c r="F138" s="44">
        <f>IFERROR(__xludf.DUMMYFUNCTION("GOOGLEFINANCE(A138,""high52"")"),797.0)</f>
        <v>797</v>
      </c>
      <c r="G138" s="45">
        <f>IFERROR(__xludf.DUMMYFUNCTION("to_date(index(sort(GOOGLEFINANCE(A138, ""high"", today()-52*7, today(), ""DAILY""),2,0),2,1))"),45819.64583333333)</f>
        <v>45819.64583</v>
      </c>
      <c r="H138" s="44">
        <f>IFERROR(__xludf.DUMMYFUNCTION("GOOGLEFINANCE(A138,""low52"")"),507.4)</f>
        <v>507.4</v>
      </c>
      <c r="I138" s="45">
        <f>IFERROR(__xludf.DUMMYFUNCTION("to_date(index(sort(GOOGLEFINANCE(A138, ""low"", today()-52*7, today(), ""DAILY""),2,1),1,1))"),46111.64583333333)</f>
        <v>46111.64583</v>
      </c>
      <c r="J138" s="46" t="str">
        <f t="shared" si="1"/>
        <v>Do Not Buy Today</v>
      </c>
    </row>
    <row r="139">
      <c r="A139" s="58" t="s">
        <v>242</v>
      </c>
      <c r="B139" s="59">
        <f>IFERROR(__xludf.DUMMYFUNCTION("GOOGLEFINANCE(A139,""price"")"),25535.0)</f>
        <v>25535</v>
      </c>
      <c r="C139" s="60">
        <f>IFERROR(__xludf.DUMMYFUNCTION("GOOGLEFINANCE(A139,""closeyest"")"),25180.0)</f>
        <v>25180</v>
      </c>
      <c r="D139" s="61">
        <f>IFERROR(__xludf.DUMMYFUNCTION("MIN(index(GOOGLEFINANCE(A139,""ALL"",TODAY()-180,TODAY()),0,5))*1.2"),27270.0)</f>
        <v>27270</v>
      </c>
      <c r="E139" s="62">
        <f>IFERROR(__xludf.DUMMYFUNCTION("AVERAGE(QUERY(SORT(GOOGLEFINANCE(A139,""price"",TODAY()-320,TODAY()),1,0),""select Col2 limit 100""))"),25543.05)</f>
        <v>25543.05</v>
      </c>
      <c r="F139" s="44">
        <f>IFERROR(__xludf.DUMMYFUNCTION("GOOGLEFINANCE(A139,""high52"")"),32490.0)</f>
        <v>32490</v>
      </c>
      <c r="G139" s="45">
        <f>IFERROR(__xludf.DUMMYFUNCTION("to_date(index(sort(GOOGLEFINANCE(A139, ""high"", today()-52*7, today(), ""DAILY""),2,0),2,1))"),45860.64583333333)</f>
        <v>45860.64583</v>
      </c>
      <c r="H139" s="44">
        <f>IFERROR(__xludf.DUMMYFUNCTION("GOOGLEFINANCE(A139,""low52"")"),22550.0)</f>
        <v>22550</v>
      </c>
      <c r="I139" s="45">
        <f>IFERROR(__xludf.DUMMYFUNCTION("to_date(index(sort(GOOGLEFINANCE(A139, ""low"", today()-52*7, today(), ""DAILY""),2,1),1,1))"),46104.64583333333)</f>
        <v>46104.64583</v>
      </c>
      <c r="J139" s="46" t="str">
        <f t="shared" si="1"/>
        <v>Do Not Buy Today</v>
      </c>
    </row>
    <row r="140">
      <c r="A140" s="58" t="s">
        <v>243</v>
      </c>
      <c r="B140" s="59">
        <f>IFERROR(__xludf.DUMMYFUNCTION("GOOGLEFINANCE(A140,""price"")"),106.45)</f>
        <v>106.45</v>
      </c>
      <c r="C140" s="60">
        <f>IFERROR(__xludf.DUMMYFUNCTION("GOOGLEFINANCE(A140,""closeyest"")"),105.91)</f>
        <v>105.91</v>
      </c>
      <c r="D140" s="61">
        <f>IFERROR(__xludf.DUMMYFUNCTION("MIN(index(GOOGLEFINANCE(A140,""ALL"",TODAY()-180,TODAY()),0,5))*1.2"),119.38799999999999)</f>
        <v>119.388</v>
      </c>
      <c r="E140" s="62">
        <f>IFERROR(__xludf.DUMMYFUNCTION("AVERAGE(QUERY(SORT(GOOGLEFINANCE(A140,""price"",TODAY()-320,TODAY()),1,0),""select Col2 limit 100""))"),116.43580000000001)</f>
        <v>116.4358</v>
      </c>
      <c r="F140" s="44">
        <f>IFERROR(__xludf.DUMMYFUNCTION("GOOGLEFINANCE(A140,""high52"")"),135.15)</f>
        <v>135.15</v>
      </c>
      <c r="G140" s="45">
        <f>IFERROR(__xludf.DUMMYFUNCTION("to_date(index(sort(GOOGLEFINANCE(A140, ""high"", today()-52*7, today(), ""DAILY""),2,0),2,1))"),46041.64583333333)</f>
        <v>46041.64583</v>
      </c>
      <c r="H140" s="44">
        <f>IFERROR(__xludf.DUMMYFUNCTION("GOOGLEFINANCE(A140,""low52"")"),98.5)</f>
        <v>98.5</v>
      </c>
      <c r="I140" s="45">
        <f>IFERROR(__xludf.DUMMYFUNCTION("to_date(index(sort(GOOGLEFINANCE(A140, ""low"", today()-52*7, today(), ""DAILY""),2,1),1,1))"),46160.64583333333)</f>
        <v>46160.64583</v>
      </c>
      <c r="J140" s="46" t="str">
        <f t="shared" si="1"/>
        <v>Do Not Buy Today</v>
      </c>
    </row>
    <row r="141">
      <c r="A141" s="58" t="s">
        <v>244</v>
      </c>
      <c r="B141" s="59">
        <f>IFERROR(__xludf.DUMMYFUNCTION("GOOGLEFINANCE(A141,""price"")"),544.95)</f>
        <v>544.95</v>
      </c>
      <c r="C141" s="60">
        <f>IFERROR(__xludf.DUMMYFUNCTION("GOOGLEFINANCE(A141,""closeyest"")"),544.15)</f>
        <v>544.15</v>
      </c>
      <c r="D141" s="61">
        <f>IFERROR(__xludf.DUMMYFUNCTION("MIN(index(GOOGLEFINANCE(A141,""ALL"",TODAY()-180,TODAY()),0,5))*1.2"),552.8399999999999)</f>
        <v>552.84</v>
      </c>
      <c r="E141" s="62">
        <f>IFERROR(__xludf.DUMMYFUNCTION("AVERAGE(QUERY(SORT(GOOGLEFINANCE(A141,""price"",TODAY()-320,TODAY()),1,0),""select Col2 limit 100""))"),528.7020000000001)</f>
        <v>528.702</v>
      </c>
      <c r="F141" s="44">
        <f>IFERROR(__xludf.DUMMYFUNCTION("GOOGLEFINANCE(A141,""high52"")"),646.5)</f>
        <v>646.5</v>
      </c>
      <c r="G141" s="45">
        <f>IFERROR(__xludf.DUMMYFUNCTION("to_date(index(sort(GOOGLEFINANCE(A141, ""high"", today()-52*7, today(), ""DAILY""),2,0),2,1))"),45856.64583333333)</f>
        <v>45856.64583</v>
      </c>
      <c r="H141" s="44">
        <f>IFERROR(__xludf.DUMMYFUNCTION("GOOGLEFINANCE(A141,""low52"")"),458.9)</f>
        <v>458.9</v>
      </c>
      <c r="I141" s="45">
        <f>IFERROR(__xludf.DUMMYFUNCTION("to_date(index(sort(GOOGLEFINANCE(A141, ""low"", today()-52*7, today(), ""DAILY""),2,1),1,1))"),46104.64583333333)</f>
        <v>46104.64583</v>
      </c>
      <c r="J141" s="46" t="str">
        <f t="shared" si="1"/>
        <v>Do Not Buy Today</v>
      </c>
    </row>
    <row r="142">
      <c r="A142" s="58" t="s">
        <v>245</v>
      </c>
      <c r="B142" s="59">
        <f>IFERROR(__xludf.DUMMYFUNCTION("GOOGLEFINANCE(A142,""price"")"),913.2)</f>
        <v>913.2</v>
      </c>
      <c r="C142" s="60">
        <f>IFERROR(__xludf.DUMMYFUNCTION("GOOGLEFINANCE(A142,""closeyest"")"),879.15)</f>
        <v>879.15</v>
      </c>
      <c r="D142" s="61">
        <f>IFERROR(__xludf.DUMMYFUNCTION("MIN(index(GOOGLEFINANCE(A142,""ALL"",TODAY()-180,TODAY()),0,5))*1.2"),636.78)</f>
        <v>636.78</v>
      </c>
      <c r="E142" s="62">
        <f>IFERROR(__xludf.DUMMYFUNCTION("AVERAGE(QUERY(SORT(GOOGLEFINANCE(A142,""price"",TODAY()-320,TODAY()),1,0),""select Col2 limit 100""))"),711.8305)</f>
        <v>711.8305</v>
      </c>
      <c r="F142" s="44">
        <f>IFERROR(__xludf.DUMMYFUNCTION("GOOGLEFINANCE(A142,""high52"")"),920.9)</f>
        <v>920.9</v>
      </c>
      <c r="G142" s="45">
        <f>IFERROR(__xludf.DUMMYFUNCTION("to_date(index(sort(GOOGLEFINANCE(A142, ""high"", today()-52*7, today(), ""DAILY""),2,0),2,1))"),46168.64583333333)</f>
        <v>46168.64583</v>
      </c>
      <c r="H142" s="44">
        <f>IFERROR(__xludf.DUMMYFUNCTION("GOOGLEFINANCE(A142,""low52"")"),525.5)</f>
        <v>525.5</v>
      </c>
      <c r="I142" s="45">
        <f>IFERROR(__xludf.DUMMYFUNCTION("to_date(index(sort(GOOGLEFINANCE(A142, ""low"", today()-52*7, today(), ""DAILY""),2,1),1,1))"),46049.64583333333)</f>
        <v>46049.64583</v>
      </c>
      <c r="J142" s="46" t="str">
        <f t="shared" si="1"/>
        <v>Do Not Buy Today</v>
      </c>
    </row>
    <row r="143">
      <c r="A143" s="58" t="s">
        <v>246</v>
      </c>
      <c r="B143" s="59">
        <f>IFERROR(__xludf.DUMMYFUNCTION("GOOGLEFINANCE(A143,""price"")"),2459.8)</f>
        <v>2459.8</v>
      </c>
      <c r="C143" s="60">
        <f>IFERROR(__xludf.DUMMYFUNCTION("GOOGLEFINANCE(A143,""closeyest"")"),2460.1)</f>
        <v>2460.1</v>
      </c>
      <c r="D143" s="61">
        <f>IFERROR(__xludf.DUMMYFUNCTION("MIN(index(GOOGLEFINANCE(A143,""ALL"",TODAY()-180,TODAY()),0,5))*1.2"),2478.24)</f>
        <v>2478.24</v>
      </c>
      <c r="E143" s="62">
        <f>IFERROR(__xludf.DUMMYFUNCTION("AVERAGE(QUERY(SORT(GOOGLEFINANCE(A143,""price"",TODAY()-320,TODAY()),1,0),""select Col2 limit 100""))"),2443.6649999999995)</f>
        <v>2443.665</v>
      </c>
      <c r="F143" s="44">
        <f>IFERROR(__xludf.DUMMYFUNCTION("GOOGLEFINANCE(A143,""high52"")"),3775.0)</f>
        <v>3775</v>
      </c>
      <c r="G143" s="45">
        <f>IFERROR(__xludf.DUMMYFUNCTION("to_date(index(sort(GOOGLEFINANCE(A143, ""high"", today()-52*7, today(), ""DAILY""),2,0),2,1))"),45806.64583333333)</f>
        <v>45806.64583</v>
      </c>
      <c r="H143" s="44">
        <f>IFERROR(__xludf.DUMMYFUNCTION("GOOGLEFINANCE(A143,""low52"")"),2057.4)</f>
        <v>2057.4</v>
      </c>
      <c r="I143" s="45">
        <f>IFERROR(__xludf.DUMMYFUNCTION("to_date(index(sort(GOOGLEFINANCE(A143, ""low"", today()-52*7, today(), ""DAILY""),2,1),1,1))"),46111.64583333333)</f>
        <v>46111.64583</v>
      </c>
      <c r="J143" s="46" t="str">
        <f t="shared" si="1"/>
        <v>Do Not Buy Today</v>
      </c>
    </row>
    <row r="144">
      <c r="A144" s="58" t="s">
        <v>247</v>
      </c>
      <c r="B144" s="59">
        <f>IFERROR(__xludf.DUMMYFUNCTION("GOOGLEFINANCE(A144,""price"")"),418.9)</f>
        <v>418.9</v>
      </c>
      <c r="C144" s="60">
        <f>IFERROR(__xludf.DUMMYFUNCTION("GOOGLEFINANCE(A144,""closeyest"")"),420.1)</f>
        <v>420.1</v>
      </c>
      <c r="D144" s="61">
        <f>IFERROR(__xludf.DUMMYFUNCTION("MIN(index(GOOGLEFINANCE(A144,""ALL"",TODAY()-180,TODAY()),0,5))*1.2"),460.14)</f>
        <v>460.14</v>
      </c>
      <c r="E144" s="62">
        <f>IFERROR(__xludf.DUMMYFUNCTION("AVERAGE(QUERY(SORT(GOOGLEFINANCE(A144,""price"",TODAY()-320,TODAY()),1,0),""select Col2 limit 100""))"),430.9344999999999)</f>
        <v>430.9345</v>
      </c>
      <c r="F144" s="44">
        <f>IFERROR(__xludf.DUMMYFUNCTION("GOOGLEFINANCE(A144,""high52"")"),473.45)</f>
        <v>473.45</v>
      </c>
      <c r="G144" s="45">
        <f>IFERROR(__xludf.DUMMYFUNCTION("to_date(index(sort(GOOGLEFINANCE(A144, ""high"", today()-52*7, today(), ""DAILY""),2,0),2,1))"),46087.64583333333)</f>
        <v>46087.64583</v>
      </c>
      <c r="H144" s="44">
        <f>IFERROR(__xludf.DUMMYFUNCTION("GOOGLEFINANCE(A144,""low52"")"),361.2)</f>
        <v>361.2</v>
      </c>
      <c r="I144" s="45">
        <f>IFERROR(__xludf.DUMMYFUNCTION("to_date(index(sort(GOOGLEFINANCE(A144, ""low"", today()-52*7, today(), ""DAILY""),2,1),1,1))"),45897.64583333333)</f>
        <v>45897.64583</v>
      </c>
      <c r="J144" s="46" t="str">
        <f t="shared" si="1"/>
        <v>Do Not Buy Today</v>
      </c>
    </row>
    <row r="145">
      <c r="A145" s="58" t="s">
        <v>248</v>
      </c>
      <c r="B145" s="59">
        <f>IFERROR(__xludf.DUMMYFUNCTION("GOOGLEFINANCE(A145,""price"")"),663.6)</f>
        <v>663.6</v>
      </c>
      <c r="C145" s="60">
        <f>IFERROR(__xludf.DUMMYFUNCTION("GOOGLEFINANCE(A145,""closeyest"")"),657.15)</f>
        <v>657.15</v>
      </c>
      <c r="D145" s="61">
        <f>IFERROR(__xludf.DUMMYFUNCTION("MIN(index(GOOGLEFINANCE(A145,""ALL"",TODAY()-180,TODAY()),0,5))*1.2"),685.14)</f>
        <v>685.14</v>
      </c>
      <c r="E145" s="62">
        <f>IFERROR(__xludf.DUMMYFUNCTION("AVERAGE(QUERY(SORT(GOOGLEFINANCE(A145,""price"",TODAY()-320,TODAY()),1,0),""select Col2 limit 100""))"),659.3375)</f>
        <v>659.3375</v>
      </c>
      <c r="F145" s="44">
        <f>IFERROR(__xludf.DUMMYFUNCTION("GOOGLEFINANCE(A145,""high52"")"),811.95)</f>
        <v>811.95</v>
      </c>
      <c r="G145" s="45">
        <f>IFERROR(__xludf.DUMMYFUNCTION("to_date(index(sort(GOOGLEFINANCE(A145, ""high"", today()-52*7, today(), ""DAILY""),2,0),2,1))"),45890.64583333333)</f>
        <v>45890.64583</v>
      </c>
      <c r="H145" s="44">
        <f>IFERROR(__xludf.DUMMYFUNCTION("GOOGLEFINANCE(A145,""low52"")"),565.0)</f>
        <v>565</v>
      </c>
      <c r="I145" s="45">
        <f>IFERROR(__xludf.DUMMYFUNCTION("to_date(index(sort(GOOGLEFINANCE(A145, ""low"", today()-52*7, today(), ""DAILY""),2,1),1,1))"),46114.64583333333)</f>
        <v>46114.64583</v>
      </c>
      <c r="J145" s="46" t="str">
        <f t="shared" si="1"/>
        <v>Do Not Buy Today</v>
      </c>
    </row>
    <row r="146">
      <c r="A146" s="58" t="s">
        <v>249</v>
      </c>
      <c r="B146" s="59">
        <f>IFERROR(__xludf.DUMMYFUNCTION("GOOGLEFINANCE(A146,""price"")"),1567.7)</f>
        <v>1567.7</v>
      </c>
      <c r="C146" s="60">
        <f>IFERROR(__xludf.DUMMYFUNCTION("GOOGLEFINANCE(A146,""closeyest"")"),1567.3)</f>
        <v>1567.3</v>
      </c>
      <c r="D146" s="61">
        <f>IFERROR(__xludf.DUMMYFUNCTION("MIN(index(GOOGLEFINANCE(A146,""ALL"",TODAY()-180,TODAY()),0,5))*1.2"),1625.64)</f>
        <v>1625.64</v>
      </c>
      <c r="E146" s="62">
        <f>IFERROR(__xludf.DUMMYFUNCTION("AVERAGE(QUERY(SORT(GOOGLEFINANCE(A146,""price"",TODAY()-320,TODAY()),1,0),""select Col2 limit 100""))"),1615.5150000000003)</f>
        <v>1615.515</v>
      </c>
      <c r="F146" s="44">
        <f>IFERROR(__xludf.DUMMYFUNCTION("GOOGLEFINANCE(A146,""high52"")"),1831.5)</f>
        <v>1831.5</v>
      </c>
      <c r="G146" s="45">
        <f>IFERROR(__xludf.DUMMYFUNCTION("to_date(index(sort(GOOGLEFINANCE(A146, ""high"", today()-52*7, today(), ""DAILY""),2,0),2,1))"),46028.64583333333)</f>
        <v>46028.64583</v>
      </c>
      <c r="H146" s="44">
        <f>IFERROR(__xludf.DUMMYFUNCTION("GOOGLEFINANCE(A146,""low52"")"),1299.4)</f>
        <v>1299.4</v>
      </c>
      <c r="I146" s="45">
        <f>IFERROR(__xludf.DUMMYFUNCTION("to_date(index(sort(GOOGLEFINANCE(A146, ""low"", today()-52*7, today(), ""DAILY""),2,1),1,1))"),46114.64583333333)</f>
        <v>46114.64583</v>
      </c>
      <c r="J146" s="46" t="str">
        <f t="shared" si="1"/>
        <v>Do Not Buy Today</v>
      </c>
    </row>
    <row r="147">
      <c r="A147" s="58" t="s">
        <v>250</v>
      </c>
      <c r="B147" s="59">
        <f>IFERROR(__xludf.DUMMYFUNCTION("GOOGLEFINANCE(A147,""price"")"),1858.4)</f>
        <v>1858.4</v>
      </c>
      <c r="C147" s="60">
        <f>IFERROR(__xludf.DUMMYFUNCTION("GOOGLEFINANCE(A147,""closeyest"")"),1846.9)</f>
        <v>1846.9</v>
      </c>
      <c r="D147" s="61">
        <f>IFERROR(__xludf.DUMMYFUNCTION("MIN(index(GOOGLEFINANCE(A147,""ALL"",TODAY()-180,TODAY()),0,5))*1.2"),2108.16)</f>
        <v>2108.16</v>
      </c>
      <c r="E147" s="62">
        <f>IFERROR(__xludf.DUMMYFUNCTION("AVERAGE(QUERY(SORT(GOOGLEFINANCE(A147,""price"",TODAY()-320,TODAY()),1,0),""select Col2 limit 100""))"),1919.3099999999995)</f>
        <v>1919.31</v>
      </c>
      <c r="F147" s="44">
        <f>IFERROR(__xludf.DUMMYFUNCTION("GOOGLEFINANCE(A147,""high52"")"),2174.5)</f>
        <v>2174.5</v>
      </c>
      <c r="G147" s="45">
        <f>IFERROR(__xludf.DUMMYFUNCTION("to_date(index(sort(GOOGLEFINANCE(A147, ""high"", today()-52*7, today(), ""DAILY""),2,0),2,1))"),45982.64583333333)</f>
        <v>45982.64583</v>
      </c>
      <c r="H147" s="44">
        <f>IFERROR(__xludf.DUMMYFUNCTION("GOOGLEFINANCE(A147,""low52"")"),1740.5)</f>
        <v>1740.5</v>
      </c>
      <c r="I147" s="45">
        <f>IFERROR(__xludf.DUMMYFUNCTION("to_date(index(sort(GOOGLEFINANCE(A147, ""low"", today()-52*7, today(), ""DAILY""),2,1),1,1))"),46155.64583333333)</f>
        <v>46155.64583</v>
      </c>
      <c r="J147" s="46" t="str">
        <f t="shared" si="1"/>
        <v>Do Not Buy Today</v>
      </c>
    </row>
    <row r="148">
      <c r="A148" s="58" t="s">
        <v>251</v>
      </c>
      <c r="B148" s="59">
        <f>IFERROR(__xludf.DUMMYFUNCTION("GOOGLEFINANCE(A148,""price"")"),207.34)</f>
        <v>207.34</v>
      </c>
      <c r="C148" s="60">
        <f>IFERROR(__xludf.DUMMYFUNCTION("GOOGLEFINANCE(A148,""closeyest"")"),206.64)</f>
        <v>206.64</v>
      </c>
      <c r="D148" s="61">
        <f>IFERROR(__xludf.DUMMYFUNCTION("MIN(index(GOOGLEFINANCE(A148,""ALL"",TODAY()-180,TODAY()),0,5))*1.2"),191.496)</f>
        <v>191.496</v>
      </c>
      <c r="E148" s="62">
        <f>IFERROR(__xludf.DUMMYFUNCTION("AVERAGE(QUERY(SORT(GOOGLEFINANCE(A148,""price"",TODAY()-320,TODAY()),1,0),""select Col2 limit 100""))"),198.58360000000008)</f>
        <v>198.5836</v>
      </c>
      <c r="F148" s="44">
        <f>IFERROR(__xludf.DUMMYFUNCTION("GOOGLEFINANCE(A148,""high52"")"),253.73)</f>
        <v>253.73</v>
      </c>
      <c r="G148" s="45">
        <f>IFERROR(__xludf.DUMMYFUNCTION("to_date(index(sort(GOOGLEFINANCE(A148, ""high"", today()-52*7, today(), ""DAILY""),2,0),2,1))"),45811.64583333333)</f>
        <v>45811.64583</v>
      </c>
      <c r="H148" s="44">
        <f>IFERROR(__xludf.DUMMYFUNCTION("GOOGLEFINANCE(A148,""low52"")"),159.0)</f>
        <v>159</v>
      </c>
      <c r="I148" s="45">
        <f>IFERROR(__xludf.DUMMYFUNCTION("to_date(index(sort(GOOGLEFINANCE(A148, ""low"", today()-52*7, today(), ""DAILY""),2,1),1,1))"),46111.64583333333)</f>
        <v>46111.64583</v>
      </c>
      <c r="J148" s="46" t="str">
        <f t="shared" si="1"/>
        <v>Do Not Buy Today</v>
      </c>
    </row>
    <row r="149">
      <c r="A149" s="58" t="s">
        <v>252</v>
      </c>
      <c r="B149" s="59">
        <f>IFERROR(__xludf.DUMMYFUNCTION("GOOGLEFINANCE(A149,""price"")"),355.65)</f>
        <v>355.65</v>
      </c>
      <c r="C149" s="60">
        <f>IFERROR(__xludf.DUMMYFUNCTION("GOOGLEFINANCE(A149,""closeyest"")"),355.45)</f>
        <v>355.45</v>
      </c>
      <c r="D149" s="61">
        <f>IFERROR(__xludf.DUMMYFUNCTION("MIN(index(GOOGLEFINANCE(A149,""ALL"",TODAY()-180,TODAY()),0,5))*1.2"),412.26)</f>
        <v>412.26</v>
      </c>
      <c r="E149" s="62">
        <f>IFERROR(__xludf.DUMMYFUNCTION("AVERAGE(QUERY(SORT(GOOGLEFINANCE(A149,""price"",TODAY()-320,TODAY()),1,0),""select Col2 limit 100""))"),413.26349999999996)</f>
        <v>413.2635</v>
      </c>
      <c r="F149" s="44">
        <f>IFERROR(__xludf.DUMMYFUNCTION("GOOGLEFINANCE(A149,""high52"")"),617.7)</f>
        <v>617.7</v>
      </c>
      <c r="G149" s="45">
        <f>IFERROR(__xludf.DUMMYFUNCTION("to_date(index(sort(GOOGLEFINANCE(A149, ""high"", today()-52*7, today(), ""DAILY""),2,0),2,1))"),45862.64583333333)</f>
        <v>45862.64583</v>
      </c>
      <c r="H149" s="44">
        <f>IFERROR(__xludf.DUMMYFUNCTION("GOOGLEFINANCE(A149,""low52"")"),337.0)</f>
        <v>337</v>
      </c>
      <c r="I149" s="45">
        <f>IFERROR(__xludf.DUMMYFUNCTION("to_date(index(sort(GOOGLEFINANCE(A149, ""low"", today()-52*7, today(), ""DAILY""),2,1),1,1))"),46160.64583333333)</f>
        <v>46160.64583</v>
      </c>
      <c r="J149" s="46" t="str">
        <f t="shared" si="1"/>
        <v>Do Not Buy Today</v>
      </c>
    </row>
    <row r="150">
      <c r="A150" s="58" t="s">
        <v>253</v>
      </c>
      <c r="B150" s="59">
        <f>IFERROR(__xludf.DUMMYFUNCTION("GOOGLEFINANCE(A150,""price"")"),770.9)</f>
        <v>770.9</v>
      </c>
      <c r="C150" s="60">
        <f>IFERROR(__xludf.DUMMYFUNCTION("GOOGLEFINANCE(A150,""closeyest"")"),713.1)</f>
        <v>713.1</v>
      </c>
      <c r="D150" s="61">
        <f>IFERROR(__xludf.DUMMYFUNCTION("MIN(index(GOOGLEFINANCE(A150,""ALL"",TODAY()-180,TODAY()),0,5))*1.2"),561.4799999999999)</f>
        <v>561.48</v>
      </c>
      <c r="E150" s="62">
        <f>IFERROR(__xludf.DUMMYFUNCTION("AVERAGE(QUERY(SORT(GOOGLEFINANCE(A150,""price"",TODAY()-320,TODAY()),1,0),""select Col2 limit 100""))"),563.9525000000001)</f>
        <v>563.9525</v>
      </c>
      <c r="F150" s="44">
        <f>IFERROR(__xludf.DUMMYFUNCTION("GOOGLEFINANCE(A150,""high52"")"),798.0)</f>
        <v>798</v>
      </c>
      <c r="G150" s="45">
        <f>IFERROR(__xludf.DUMMYFUNCTION("to_date(index(sort(GOOGLEFINANCE(A150, ""high"", today()-52*7, today(), ""DAILY""),2,0),2,1))"),45923.64583333333)</f>
        <v>45923.64583</v>
      </c>
      <c r="H150" s="44">
        <f>IFERROR(__xludf.DUMMYFUNCTION("GOOGLEFINANCE(A150,""low52"")"),462.8)</f>
        <v>462.8</v>
      </c>
      <c r="I150" s="45">
        <f>IFERROR(__xludf.DUMMYFUNCTION("to_date(index(sort(GOOGLEFINANCE(A150, ""low"", today()-52*7, today(), ""DAILY""),2,1),1,1))"),46090.64583333333)</f>
        <v>46090.64583</v>
      </c>
      <c r="J150" s="46" t="str">
        <f t="shared" si="1"/>
        <v>Do Not Buy Today</v>
      </c>
    </row>
    <row r="151">
      <c r="A151" s="58" t="s">
        <v>254</v>
      </c>
      <c r="B151" s="59">
        <f>IFERROR(__xludf.DUMMYFUNCTION("GOOGLEFINANCE(A151,""price"")"),388.35)</f>
        <v>388.35</v>
      </c>
      <c r="C151" s="60">
        <f>IFERROR(__xludf.DUMMYFUNCTION("GOOGLEFINANCE(A151,""closeyest"")"),366.25)</f>
        <v>366.25</v>
      </c>
      <c r="D151" s="61">
        <f>IFERROR(__xludf.DUMMYFUNCTION("MIN(index(GOOGLEFINANCE(A151,""ALL"",TODAY()-180,TODAY()),0,5))*1.2"),345.47999999999996)</f>
        <v>345.48</v>
      </c>
      <c r="E151" s="62">
        <f>IFERROR(__xludf.DUMMYFUNCTION("AVERAGE(QUERY(SORT(GOOGLEFINANCE(A151,""price"",TODAY()-320,TODAY()),1,0),""select Col2 limit 100""))"),335.04150000000004)</f>
        <v>335.0415</v>
      </c>
      <c r="F151" s="44">
        <f>IFERROR(__xludf.DUMMYFUNCTION("GOOGLEFINANCE(A151,""high52"")"),431.0)</f>
        <v>431</v>
      </c>
      <c r="G151" s="45">
        <f>IFERROR(__xludf.DUMMYFUNCTION("to_date(index(sort(GOOGLEFINANCE(A151, ""high"", today()-52*7, today(), ""DAILY""),2,0),2,1))"),45910.64583333333)</f>
        <v>45910.64583</v>
      </c>
      <c r="H151" s="44">
        <f>IFERROR(__xludf.DUMMYFUNCTION("GOOGLEFINANCE(A151,""low52"")"),287.0)</f>
        <v>287</v>
      </c>
      <c r="I151" s="45">
        <f>IFERROR(__xludf.DUMMYFUNCTION("to_date(index(sort(GOOGLEFINANCE(A151, ""low"", today()-52*7, today(), ""DAILY""),2,1),1,1))"),46111.64583333333)</f>
        <v>46111.64583</v>
      </c>
      <c r="J151" s="46" t="str">
        <f t="shared" si="1"/>
        <v>Do Not Buy Today</v>
      </c>
    </row>
    <row r="152">
      <c r="A152" s="58" t="s">
        <v>255</v>
      </c>
      <c r="B152" s="59">
        <f>IFERROR(__xludf.DUMMYFUNCTION("GOOGLEFINANCE(A152,""price"")"),136.1)</f>
        <v>136.1</v>
      </c>
      <c r="C152" s="60">
        <f>IFERROR(__xludf.DUMMYFUNCTION("GOOGLEFINANCE(A152,""closeyest"")"),135.82)</f>
        <v>135.82</v>
      </c>
      <c r="D152" s="61">
        <f>IFERROR(__xludf.DUMMYFUNCTION("MIN(index(GOOGLEFINANCE(A152,""ALL"",TODAY()-180,TODAY()),0,5))*1.2"),126.09599999999999)</f>
        <v>126.096</v>
      </c>
      <c r="E152" s="62">
        <f>IFERROR(__xludf.DUMMYFUNCTION("AVERAGE(QUERY(SORT(GOOGLEFINANCE(A152,""price"",TODAY()-320,TODAY()),1,0),""select Col2 limit 100""))"),121.63370000000003)</f>
        <v>121.6337</v>
      </c>
      <c r="F152" s="44">
        <f>IFERROR(__xludf.DUMMYFUNCTION("GOOGLEFINANCE(A152,""high52"")"),139.01)</f>
        <v>139.01</v>
      </c>
      <c r="G152" s="45">
        <f>IFERROR(__xludf.DUMMYFUNCTION("to_date(index(sort(GOOGLEFINANCE(A152, ""high"", today()-52*7, today(), ""DAILY""),2,0),2,1))"),46164.64583333333)</f>
        <v>46164.64583</v>
      </c>
      <c r="H152" s="44">
        <f>IFERROR(__xludf.DUMMYFUNCTION("GOOGLEFINANCE(A152,""low52"")"),89.7)</f>
        <v>89.7</v>
      </c>
      <c r="I152" s="45">
        <f>IFERROR(__xludf.DUMMYFUNCTION("to_date(index(sort(GOOGLEFINANCE(A152, ""low"", today()-52*7, today(), ""DAILY""),2,1),1,1))"),45880.64583333333)</f>
        <v>45880.64583</v>
      </c>
      <c r="J152" s="46" t="str">
        <f t="shared" si="1"/>
        <v>Do Not Buy Today</v>
      </c>
    </row>
    <row r="153">
      <c r="A153" s="58" t="s">
        <v>256</v>
      </c>
      <c r="B153" s="59">
        <f>IFERROR(__xludf.DUMMYFUNCTION("GOOGLEFINANCE(A153,""price"")"),99.53)</f>
        <v>99.53</v>
      </c>
      <c r="C153" s="60">
        <f>IFERROR(__xludf.DUMMYFUNCTION("GOOGLEFINANCE(A153,""closeyest"")"),99.28)</f>
        <v>99.28</v>
      </c>
      <c r="D153" s="61">
        <f>IFERROR(__xludf.DUMMYFUNCTION("MIN(index(GOOGLEFINANCE(A153,""ALL"",TODAY()-180,TODAY()),0,5))*1.2"),104.676)</f>
        <v>104.676</v>
      </c>
      <c r="E153" s="62">
        <f>IFERROR(__xludf.DUMMYFUNCTION("AVERAGE(QUERY(SORT(GOOGLEFINANCE(A153,""price"",TODAY()-320,TODAY()),1,0),""select Col2 limit 100""))"),107.45889999999997)</f>
        <v>107.4589</v>
      </c>
      <c r="F153" s="44">
        <f>IFERROR(__xludf.DUMMYFUNCTION("GOOGLEFINANCE(A153,""high52"")"),148.95)</f>
        <v>148.95</v>
      </c>
      <c r="G153" s="45">
        <f>IFERROR(__xludf.DUMMYFUNCTION("to_date(index(sort(GOOGLEFINANCE(A153, ""high"", today()-52*7, today(), ""DAILY""),2,0),2,1))"),45817.64583333333)</f>
        <v>45817.64583</v>
      </c>
      <c r="H153" s="44">
        <f>IFERROR(__xludf.DUMMYFUNCTION("GOOGLEFINANCE(A153,""low52"")"),87.0)</f>
        <v>87</v>
      </c>
      <c r="I153" s="45">
        <f>IFERROR(__xludf.DUMMYFUNCTION("to_date(index(sort(GOOGLEFINANCE(A153, ""low"", today()-52*7, today(), ""DAILY""),2,1),1,1))"),46111.64583333333)</f>
        <v>46111.64583</v>
      </c>
      <c r="J153" s="46" t="str">
        <f t="shared" si="1"/>
        <v>Do Not Buy Today</v>
      </c>
    </row>
    <row r="154">
      <c r="A154" s="58" t="s">
        <v>257</v>
      </c>
      <c r="B154" s="59">
        <f>IFERROR(__xludf.DUMMYFUNCTION("GOOGLEFINANCE(A154,""price"")"),430.95)</f>
        <v>430.95</v>
      </c>
      <c r="C154" s="60">
        <f>IFERROR(__xludf.DUMMYFUNCTION("GOOGLEFINANCE(A154,""closeyest"")"),433.7)</f>
        <v>433.7</v>
      </c>
      <c r="D154" s="61">
        <f>IFERROR(__xludf.DUMMYFUNCTION("MIN(index(GOOGLEFINANCE(A154,""ALL"",TODAY()-180,TODAY()),0,5))*1.2"),402.06)</f>
        <v>402.06</v>
      </c>
      <c r="E154" s="62">
        <f>IFERROR(__xludf.DUMMYFUNCTION("AVERAGE(QUERY(SORT(GOOGLEFINANCE(A154,""price"",TODAY()-320,TODAY()),1,0),""select Col2 limit 100""))"),412.3425)</f>
        <v>412.3425</v>
      </c>
      <c r="F154" s="44">
        <f>IFERROR(__xludf.DUMMYFUNCTION("GOOGLEFINANCE(A154,""high52"")"),486.5)</f>
        <v>486.5</v>
      </c>
      <c r="G154" s="45">
        <f>IFERROR(__xludf.DUMMYFUNCTION("to_date(index(sort(GOOGLEFINANCE(A154, ""high"", today()-52*7, today(), ""DAILY""),2,0),2,1))"),46140.64583333333)</f>
        <v>46140.64583</v>
      </c>
      <c r="H154" s="44">
        <f>IFERROR(__xludf.DUMMYFUNCTION("GOOGLEFINANCE(A154,""low52"")"),329.9)</f>
        <v>329.9</v>
      </c>
      <c r="I154" s="45">
        <f>IFERROR(__xludf.DUMMYFUNCTION("to_date(index(sort(GOOGLEFINANCE(A154, ""low"", today()-52*7, today(), ""DAILY""),2,1),1,1))"),46009.64583333333)</f>
        <v>46009.64583</v>
      </c>
      <c r="J154" s="46" t="str">
        <f t="shared" si="1"/>
        <v>Do Not Buy Today</v>
      </c>
      <c r="K154" s="70" t="s">
        <v>258</v>
      </c>
    </row>
    <row r="155">
      <c r="A155" s="58" t="s">
        <v>259</v>
      </c>
      <c r="B155" s="59">
        <f>IFERROR(__xludf.DUMMYFUNCTION("GOOGLEFINANCE(A155,""price"")"),656.9)</f>
        <v>656.9</v>
      </c>
      <c r="C155" s="60">
        <f>IFERROR(__xludf.DUMMYFUNCTION("GOOGLEFINANCE(A155,""closeyest"")"),655.0)</f>
        <v>655</v>
      </c>
      <c r="D155" s="61">
        <f>IFERROR(__xludf.DUMMYFUNCTION("MIN(index(GOOGLEFINANCE(A155,""ALL"",TODAY()-180,TODAY()),0,5))*1.2"),681.5400000000001)</f>
        <v>681.54</v>
      </c>
      <c r="E155" s="62">
        <f>IFERROR(__xludf.DUMMYFUNCTION("AVERAGE(QUERY(SORT(GOOGLEFINANCE(A155,""price"",TODAY()-320,TODAY()),1,0),""select Col2 limit 100""))"),679.9785)</f>
        <v>679.9785</v>
      </c>
      <c r="F155" s="44">
        <f>IFERROR(__xludf.DUMMYFUNCTION("GOOGLEFINANCE(A155,""high52"")"),812.2)</f>
        <v>812.2</v>
      </c>
      <c r="G155" s="45">
        <f>IFERROR(__xludf.DUMMYFUNCTION("to_date(index(sort(GOOGLEFINANCE(A155, ""high"", today()-52*7, today(), ""DAILY""),2,0),2,1))"),46024.64583333333)</f>
        <v>46024.64583</v>
      </c>
      <c r="H155" s="44">
        <f>IFERROR(__xludf.DUMMYFUNCTION("GOOGLEFINANCE(A155,""low52"")"),565.15)</f>
        <v>565.15</v>
      </c>
      <c r="I155" s="45">
        <f>IFERROR(__xludf.DUMMYFUNCTION("to_date(index(sort(GOOGLEFINANCE(A155, ""low"", today()-52*7, today(), ""DAILY""),2,1),1,1))"),46111.64583333333)</f>
        <v>46111.64583</v>
      </c>
      <c r="J155" s="46" t="str">
        <f t="shared" si="1"/>
        <v>Do Not Buy Today</v>
      </c>
    </row>
    <row r="156">
      <c r="A156" s="58" t="s">
        <v>260</v>
      </c>
      <c r="B156" s="59">
        <f>IFERROR(__xludf.DUMMYFUNCTION("GOOGLEFINANCE(A156,""price"")"),1780.0)</f>
        <v>1780</v>
      </c>
      <c r="C156" s="60">
        <f>IFERROR(__xludf.DUMMYFUNCTION("GOOGLEFINANCE(A156,""closeyest"")"),1785.4)</f>
        <v>1785.4</v>
      </c>
      <c r="D156" s="61">
        <f>IFERROR(__xludf.DUMMYFUNCTION("MIN(index(GOOGLEFINANCE(A156,""ALL"",TODAY()-180,TODAY()),0,5))*1.2"),1772.88)</f>
        <v>1772.88</v>
      </c>
      <c r="E156" s="62">
        <f>IFERROR(__xludf.DUMMYFUNCTION("AVERAGE(QUERY(SORT(GOOGLEFINANCE(A156,""price"",TODAY()-320,TODAY()),1,0),""select Col2 limit 100""))"),1731.5770000000005)</f>
        <v>1731.577</v>
      </c>
      <c r="F156" s="44">
        <f>IFERROR(__xludf.DUMMYFUNCTION("GOOGLEFINANCE(A156,""high52"")"),1993.0)</f>
        <v>1993</v>
      </c>
      <c r="G156" s="45">
        <f>IFERROR(__xludf.DUMMYFUNCTION("to_date(index(sort(GOOGLEFINANCE(A156, ""high"", today()-52*7, today(), ""DAILY""),2,0),2,1))"),46034.64583333333)</f>
        <v>46034.64583</v>
      </c>
      <c r="H156" s="44">
        <f>IFERROR(__xludf.DUMMYFUNCTION("GOOGLEFINANCE(A156,""low52"")"),1402.5)</f>
        <v>1402.5</v>
      </c>
      <c r="I156" s="45">
        <f>IFERROR(__xludf.DUMMYFUNCTION("to_date(index(sort(GOOGLEFINANCE(A156, ""low"", today()-52*7, today(), ""DAILY""),2,1),1,1))"),45880.64583333333)</f>
        <v>45880.64583</v>
      </c>
      <c r="J156" s="46" t="str">
        <f t="shared" si="1"/>
        <v>Do Not Buy Today</v>
      </c>
    </row>
    <row r="157">
      <c r="A157" s="58" t="s">
        <v>261</v>
      </c>
      <c r="B157" s="59">
        <f>IFERROR(__xludf.DUMMYFUNCTION("GOOGLEFINANCE(A157,""price"")"),2091.7)</f>
        <v>2091.7</v>
      </c>
      <c r="C157" s="60">
        <f>IFERROR(__xludf.DUMMYFUNCTION("GOOGLEFINANCE(A157,""closeyest"")"),2077.1)</f>
        <v>2077.1</v>
      </c>
      <c r="D157" s="61">
        <f>IFERROR(__xludf.DUMMYFUNCTION("MIN(index(GOOGLEFINANCE(A157,""ALL"",TODAY()-180,TODAY()),0,5))*1.2"),2146.44)</f>
        <v>2146.44</v>
      </c>
      <c r="E157" s="62">
        <f>IFERROR(__xludf.DUMMYFUNCTION("AVERAGE(QUERY(SORT(GOOGLEFINANCE(A157,""price"",TODAY()-320,TODAY()),1,0),""select Col2 limit 100""))"),2088.831)</f>
        <v>2088.831</v>
      </c>
      <c r="F157" s="44">
        <f>IFERROR(__xludf.DUMMYFUNCTION("GOOGLEFINANCE(A157,""high52"")"),2519.0)</f>
        <v>2519</v>
      </c>
      <c r="G157" s="45">
        <f>IFERROR(__xludf.DUMMYFUNCTION("to_date(index(sort(GOOGLEFINANCE(A157, ""high"", today()-52*7, today(), ""DAILY""),2,0),2,1))"),45805.64583333333)</f>
        <v>45805.64583</v>
      </c>
      <c r="H157" s="44">
        <f>IFERROR(__xludf.DUMMYFUNCTION("GOOGLEFINANCE(A157,""low52"")"),1782.0)</f>
        <v>1782</v>
      </c>
      <c r="I157" s="45">
        <f>IFERROR(__xludf.DUMMYFUNCTION("to_date(index(sort(GOOGLEFINANCE(A157, ""low"", today()-52*7, today(), ""DAILY""),2,1),1,1))"),46111.64583333333)</f>
        <v>46111.64583</v>
      </c>
      <c r="J157" s="46" t="str">
        <f t="shared" si="1"/>
        <v>Do Not Buy Today</v>
      </c>
    </row>
    <row r="158">
      <c r="A158" s="58" t="s">
        <v>262</v>
      </c>
      <c r="B158" s="59">
        <f>IFERROR(__xludf.DUMMYFUNCTION("GOOGLEFINANCE(A158,""price"")"),204.6)</f>
        <v>204.6</v>
      </c>
      <c r="C158" s="60">
        <f>IFERROR(__xludf.DUMMYFUNCTION("GOOGLEFINANCE(A158,""closeyest"")"),200.4)</f>
        <v>200.4</v>
      </c>
      <c r="D158" s="61">
        <f>IFERROR(__xludf.DUMMYFUNCTION("MIN(index(GOOGLEFINANCE(A158,""ALL"",TODAY()-180,TODAY()),0,5))*1.2"),162.564)</f>
        <v>162.564</v>
      </c>
      <c r="E158" s="62">
        <f>IFERROR(__xludf.DUMMYFUNCTION("AVERAGE(QUERY(SORT(GOOGLEFINANCE(A158,""price"",TODAY()-320,TODAY()),1,0),""select Col2 limit 100""))"),168.2132)</f>
        <v>168.2132</v>
      </c>
      <c r="F158" s="44">
        <f>IFERROR(__xludf.DUMMYFUNCTION("GOOGLEFINANCE(A158,""high52"")"),212.66)</f>
        <v>212.66</v>
      </c>
      <c r="G158" s="45">
        <f>IFERROR(__xludf.DUMMYFUNCTION("to_date(index(sort(GOOGLEFINANCE(A158, ""high"", today()-52*7, today(), ""DAILY""),2,0),2,1))"),46146.64583333333)</f>
        <v>46146.64583</v>
      </c>
      <c r="H158" s="44">
        <f>IFERROR(__xludf.DUMMYFUNCTION("GOOGLEFINANCE(A158,""low52"")"),134.25)</f>
        <v>134.25</v>
      </c>
      <c r="I158" s="45">
        <f>IFERROR(__xludf.DUMMYFUNCTION("to_date(index(sort(GOOGLEFINANCE(A158, ""low"", today()-52*7, today(), ""DAILY""),2,1),1,1))"),46000.64583333333)</f>
        <v>46000.64583</v>
      </c>
      <c r="J158" s="46" t="str">
        <f t="shared" si="1"/>
        <v>Do Not Buy Today</v>
      </c>
    </row>
    <row r="159">
      <c r="A159" s="58" t="s">
        <v>263</v>
      </c>
      <c r="B159" s="59">
        <f>IFERROR(__xludf.DUMMYFUNCTION("GOOGLEFINANCE(A159,""price"")"),2253.3)</f>
        <v>2253.3</v>
      </c>
      <c r="C159" s="60">
        <f>IFERROR(__xludf.DUMMYFUNCTION("GOOGLEFINANCE(A159,""closeyest"")"),2265.3)</f>
        <v>2265.3</v>
      </c>
      <c r="D159" s="61">
        <f>IFERROR(__xludf.DUMMYFUNCTION("MIN(index(GOOGLEFINANCE(A159,""ALL"",TODAY()-180,TODAY()),0,5))*1.2"),2456.88)</f>
        <v>2456.88</v>
      </c>
      <c r="E159" s="62">
        <f>IFERROR(__xludf.DUMMYFUNCTION("AVERAGE(QUERY(SORT(GOOGLEFINANCE(A159,""price"",TODAY()-320,TODAY()),1,0),""select Col2 limit 100""))"),2422.014000000001)</f>
        <v>2422.014</v>
      </c>
      <c r="F159" s="44">
        <f>IFERROR(__xludf.DUMMYFUNCTION("GOOGLEFINANCE(A159,""high52"")"),3037.2)</f>
        <v>3037.2</v>
      </c>
      <c r="G159" s="45">
        <f>IFERROR(__xludf.DUMMYFUNCTION("to_date(index(sort(GOOGLEFINANCE(A159, ""high"", today()-52*7, today(), ""DAILY""),2,0),2,1))"),45918.64583333333)</f>
        <v>45918.64583</v>
      </c>
      <c r="H159" s="44">
        <f>IFERROR(__xludf.DUMMYFUNCTION("GOOGLEFINANCE(A159,""low52"")"),2013.0)</f>
        <v>2013</v>
      </c>
      <c r="I159" s="45">
        <f>IFERROR(__xludf.DUMMYFUNCTION("to_date(index(sort(GOOGLEFINANCE(A159, ""low"", today()-52*7, today(), ""DAILY""),2,1),1,1))"),46111.64583333333)</f>
        <v>46111.64583</v>
      </c>
      <c r="J159" s="46" t="str">
        <f t="shared" si="1"/>
        <v>Do Not Buy Today</v>
      </c>
    </row>
    <row r="160">
      <c r="A160" s="58" t="s">
        <v>264</v>
      </c>
      <c r="B160" s="59">
        <f>IFERROR(__xludf.DUMMYFUNCTION("GOOGLEFINANCE(A160,""price"")"),2913.3)</f>
        <v>2913.3</v>
      </c>
      <c r="C160" s="60">
        <f>IFERROR(__xludf.DUMMYFUNCTION("GOOGLEFINANCE(A160,""closeyest"")"),2939.6)</f>
        <v>2939.6</v>
      </c>
      <c r="D160" s="61">
        <f>IFERROR(__xludf.DUMMYFUNCTION("MIN(index(GOOGLEFINANCE(A160,""ALL"",TODAY()-180,TODAY()),0,5))*1.2"),3288.36)</f>
        <v>3288.36</v>
      </c>
      <c r="E160" s="62">
        <f>IFERROR(__xludf.DUMMYFUNCTION("AVERAGE(QUERY(SORT(GOOGLEFINANCE(A160,""price"",TODAY()-320,TODAY()),1,0),""select Col2 limit 100""))"),3342.8469999999984)</f>
        <v>3342.847</v>
      </c>
      <c r="F160" s="44">
        <f>IFERROR(__xludf.DUMMYFUNCTION("GOOGLEFINANCE(A160,""high52"")"),4180.0)</f>
        <v>4180</v>
      </c>
      <c r="G160" s="45">
        <f>IFERROR(__xludf.DUMMYFUNCTION("to_date(index(sort(GOOGLEFINANCE(A160, ""high"", today()-52*7, today(), ""DAILY""),2,0),2,1))"),45904.64583333333)</f>
        <v>45904.64583</v>
      </c>
      <c r="H160" s="44">
        <f>IFERROR(__xludf.DUMMYFUNCTION("GOOGLEFINANCE(A160,""low52"")"),2710.1)</f>
        <v>2710.1</v>
      </c>
      <c r="I160" s="45">
        <f>IFERROR(__xludf.DUMMYFUNCTION("to_date(index(sort(GOOGLEFINANCE(A160, ""low"", today()-52*7, today(), ""DAILY""),2,1),1,1))"),46114.64583333333)</f>
        <v>46114.64583</v>
      </c>
      <c r="J160" s="46" t="str">
        <f t="shared" si="1"/>
        <v>Do Not Buy Today</v>
      </c>
    </row>
    <row r="161">
      <c r="A161" s="58" t="s">
        <v>265</v>
      </c>
      <c r="B161" s="59">
        <f>IFERROR(__xludf.DUMMYFUNCTION("GOOGLEFINANCE(A161,""price"")"),160.76)</f>
        <v>160.76</v>
      </c>
      <c r="C161" s="60">
        <f>IFERROR(__xludf.DUMMYFUNCTION("GOOGLEFINANCE(A161,""closeyest"")"),160.54)</f>
        <v>160.54</v>
      </c>
      <c r="D161" s="61">
        <f>IFERROR(__xludf.DUMMYFUNCTION("MIN(index(GOOGLEFINANCE(A161,""ALL"",TODAY()-180,TODAY()),0,5))*1.2"),178.128)</f>
        <v>178.128</v>
      </c>
      <c r="E161" s="62">
        <f>IFERROR(__xludf.DUMMYFUNCTION("AVERAGE(QUERY(SORT(GOOGLEFINANCE(A161,""price"",TODAY()-320,TODAY()),1,0),""select Col2 limit 100""))"),180.5698)</f>
        <v>180.5698</v>
      </c>
      <c r="F161" s="44">
        <f>IFERROR(__xludf.DUMMYFUNCTION("GOOGLEFINANCE(A161,""high52"")"),215.42)</f>
        <v>215.42</v>
      </c>
      <c r="G161" s="45">
        <f>IFERROR(__xludf.DUMMYFUNCTION("to_date(index(sort(GOOGLEFINANCE(A161, ""high"", today()-52*7, today(), ""DAILY""),2,0),2,1))"),46064.64583333333)</f>
        <v>46064.64583</v>
      </c>
      <c r="H161" s="44">
        <f>IFERROR(__xludf.DUMMYFUNCTION("GOOGLEFINANCE(A161,""low52"")"),114.96)</f>
        <v>114.96</v>
      </c>
      <c r="I161" s="45">
        <f>IFERROR(__xludf.DUMMYFUNCTION("to_date(index(sort(GOOGLEFINANCE(A161, ""low"", today()-52*7, today(), ""DAILY""),2,1),1,1))"),45880.64583333333)</f>
        <v>45880.64583</v>
      </c>
      <c r="J161" s="46" t="str">
        <f t="shared" si="1"/>
        <v>Do Not Buy Today</v>
      </c>
    </row>
    <row r="162">
      <c r="A162" s="58" t="s">
        <v>266</v>
      </c>
      <c r="B162" s="59">
        <f>IFERROR(__xludf.DUMMYFUNCTION("GOOGLEFINANCE(A162,""price"")"),277.85)</f>
        <v>277.85</v>
      </c>
      <c r="C162" s="60">
        <f>IFERROR(__xludf.DUMMYFUNCTION("GOOGLEFINANCE(A162,""closeyest"")"),280.2)</f>
        <v>280.2</v>
      </c>
      <c r="D162" s="61">
        <f>IFERROR(__xludf.DUMMYFUNCTION("MIN(index(GOOGLEFINANCE(A162,""ALL"",TODAY()-180,TODAY()),0,5))*1.2"),285.66)</f>
        <v>285.66</v>
      </c>
      <c r="E162" s="62">
        <f>IFERROR(__xludf.DUMMYFUNCTION("AVERAGE(QUERY(SORT(GOOGLEFINANCE(A162,""price"",TODAY()-320,TODAY()),1,0),""select Col2 limit 100""))"),281.80740000000003)</f>
        <v>281.8074</v>
      </c>
      <c r="F162" s="44">
        <f>IFERROR(__xludf.DUMMYFUNCTION("GOOGLEFINANCE(A162,""high52"")"),326.4)</f>
        <v>326.4</v>
      </c>
      <c r="G162" s="45">
        <f>IFERROR(__xludf.DUMMYFUNCTION("to_date(index(sort(GOOGLEFINANCE(A162, ""high"", today()-52*7, today(), ""DAILY""),2,0),2,1))"),46080.64583333333)</f>
        <v>46080.64583</v>
      </c>
      <c r="H162" s="44">
        <f>IFERROR(__xludf.DUMMYFUNCTION("GOOGLEFINANCE(A162,""low52"")"),235.35)</f>
        <v>235.35</v>
      </c>
      <c r="I162" s="45">
        <f>IFERROR(__xludf.DUMMYFUNCTION("to_date(index(sort(GOOGLEFINANCE(A162, ""low"", today()-52*7, today(), ""DAILY""),2,1),1,1))"),46104.64583333333)</f>
        <v>46104.64583</v>
      </c>
      <c r="J162" s="46" t="str">
        <f t="shared" si="1"/>
        <v>Do Not Buy Today</v>
      </c>
    </row>
    <row r="163">
      <c r="A163" s="58" t="s">
        <v>267</v>
      </c>
      <c r="B163" s="59">
        <f>IFERROR(__xludf.DUMMYFUNCTION("GOOGLEFINANCE(A163,""price"")"),597.45)</f>
        <v>597.45</v>
      </c>
      <c r="C163" s="60">
        <f>IFERROR(__xludf.DUMMYFUNCTION("GOOGLEFINANCE(A163,""closeyest"")"),589.8)</f>
        <v>589.8</v>
      </c>
      <c r="D163" s="61">
        <f>IFERROR(__xludf.DUMMYFUNCTION("MIN(index(GOOGLEFINANCE(A163,""ALL"",TODAY()-180,TODAY()),0,5))*1.2"),604.92)</f>
        <v>604.92</v>
      </c>
      <c r="E163" s="62">
        <f>IFERROR(__xludf.DUMMYFUNCTION("AVERAGE(QUERY(SORT(GOOGLEFINANCE(A163,""price"",TODAY()-320,TODAY()),1,0),""select Col2 limit 100""))"),606.0825000000003)</f>
        <v>606.0825</v>
      </c>
      <c r="F163" s="44">
        <f>IFERROR(__xludf.DUMMYFUNCTION("GOOGLEFINANCE(A163,""high52"")"),886.8)</f>
        <v>886.8</v>
      </c>
      <c r="G163" s="45">
        <f>IFERROR(__xludf.DUMMYFUNCTION("to_date(index(sort(GOOGLEFINANCE(A163, ""high"", today()-52*7, today(), ""DAILY""),2,0),2,1))"),45817.64583333333)</f>
        <v>45817.64583</v>
      </c>
      <c r="H163" s="44">
        <f>IFERROR(__xludf.DUMMYFUNCTION("GOOGLEFINANCE(A163,""low52"")"),489.4)</f>
        <v>489.4</v>
      </c>
      <c r="I163" s="45">
        <f>IFERROR(__xludf.DUMMYFUNCTION("to_date(index(sort(GOOGLEFINANCE(A163, ""low"", today()-52*7, today(), ""DAILY""),2,1),1,1))"),46114.64583333333)</f>
        <v>46114.64583</v>
      </c>
      <c r="J163" s="46" t="str">
        <f t="shared" si="1"/>
        <v>Do Not Buy Today</v>
      </c>
    </row>
    <row r="164">
      <c r="A164" s="58" t="s">
        <v>268</v>
      </c>
      <c r="B164" s="59">
        <f>IFERROR(__xludf.DUMMYFUNCTION("GOOGLEFINANCE(A164,""price"")"),2745.1)</f>
        <v>2745.1</v>
      </c>
      <c r="C164" s="60">
        <f>IFERROR(__xludf.DUMMYFUNCTION("GOOGLEFINANCE(A164,""closeyest"")"),2749.7)</f>
        <v>2749.7</v>
      </c>
      <c r="D164" s="61">
        <f>IFERROR(__xludf.DUMMYFUNCTION("MIN(index(GOOGLEFINANCE(A164,""ALL"",TODAY()-180,TODAY()),0,5))*1.2"),2869.7999999999997)</f>
        <v>2869.8</v>
      </c>
      <c r="E164" s="62">
        <f>IFERROR(__xludf.DUMMYFUNCTION("AVERAGE(QUERY(SORT(GOOGLEFINANCE(A164,""price"",TODAY()-320,TODAY()),1,0),""select Col2 limit 100""))"),2697.4720000000007)</f>
        <v>2697.472</v>
      </c>
      <c r="F164" s="44">
        <f>IFERROR(__xludf.DUMMYFUNCTION("GOOGLEFINANCE(A164,""high52"")"),3325.0)</f>
        <v>3325</v>
      </c>
      <c r="G164" s="45">
        <f>IFERROR(__xludf.DUMMYFUNCTION("to_date(index(sort(GOOGLEFINANCE(A164, ""high"", today()-52*7, today(), ""DAILY""),2,0),2,1))"),45848.64583333333)</f>
        <v>45848.64583</v>
      </c>
      <c r="H164" s="44">
        <f>IFERROR(__xludf.DUMMYFUNCTION("GOOGLEFINANCE(A164,""low52"")"),2355.0)</f>
        <v>2355</v>
      </c>
      <c r="I164" s="45">
        <f>IFERROR(__xludf.DUMMYFUNCTION("to_date(index(sort(GOOGLEFINANCE(A164, ""low"", today()-52*7, today(), ""DAILY""),2,1),1,1))"),46118.64583333333)</f>
        <v>46118.64583</v>
      </c>
      <c r="J164" s="46" t="str">
        <f t="shared" si="1"/>
        <v>Do Not Buy Today</v>
      </c>
    </row>
    <row r="165">
      <c r="A165" s="58" t="s">
        <v>269</v>
      </c>
      <c r="B165" s="59">
        <f>IFERROR(__xludf.DUMMYFUNCTION("GOOGLEFINANCE(A165,""price"")"),438.25)</f>
        <v>438.25</v>
      </c>
      <c r="C165" s="60">
        <f>IFERROR(__xludf.DUMMYFUNCTION("GOOGLEFINANCE(A165,""closeyest"")"),433.25)</f>
        <v>433.25</v>
      </c>
      <c r="D165" s="61">
        <f>IFERROR(__xludf.DUMMYFUNCTION("MIN(index(GOOGLEFINANCE(A165,""ALL"",TODAY()-180,TODAY()),0,5))*1.2"),475.92)</f>
        <v>475.92</v>
      </c>
      <c r="E165" s="62">
        <f>IFERROR(__xludf.DUMMYFUNCTION("AVERAGE(QUERY(SORT(GOOGLEFINANCE(A165,""price"",TODAY()-320,TODAY()),1,0),""select Col2 limit 100""))"),432.3500000000002)</f>
        <v>432.35</v>
      </c>
      <c r="F165" s="44">
        <f>IFERROR(__xludf.DUMMYFUNCTION("GOOGLEFINANCE(A165,""high52"")"),481.5)</f>
        <v>481.5</v>
      </c>
      <c r="G165" s="45">
        <f>IFERROR(__xludf.DUMMYFUNCTION("to_date(index(sort(GOOGLEFINANCE(A165, ""high"", today()-52*7, today(), ""DAILY""),2,0),2,1))"),46072.64583333333)</f>
        <v>46072.64583</v>
      </c>
      <c r="H165" s="44">
        <f>IFERROR(__xludf.DUMMYFUNCTION("GOOGLEFINANCE(A165,""low52"")"),312.55)</f>
        <v>312.55</v>
      </c>
      <c r="I165" s="45">
        <f>IFERROR(__xludf.DUMMYFUNCTION("to_date(index(sort(GOOGLEFINANCE(A165, ""low"", today()-52*7, today(), ""DAILY""),2,1),1,1))"),45903.64583333333)</f>
        <v>45903.64583</v>
      </c>
      <c r="J165" s="46" t="str">
        <f t="shared" si="1"/>
        <v>Do Not Buy Today</v>
      </c>
    </row>
    <row r="166">
      <c r="A166" s="58" t="s">
        <v>270</v>
      </c>
      <c r="B166" s="59">
        <f>IFERROR(__xludf.DUMMYFUNCTION("GOOGLEFINANCE(A166,""price"")"),1537.3)</f>
        <v>1537.3</v>
      </c>
      <c r="C166" s="60">
        <f>IFERROR(__xludf.DUMMYFUNCTION("GOOGLEFINANCE(A166,""closeyest"")"),1463.3)</f>
        <v>1463.3</v>
      </c>
      <c r="D166" s="61">
        <f>IFERROR(__xludf.DUMMYFUNCTION("MIN(index(GOOGLEFINANCE(A166,""ALL"",TODAY()-180,TODAY()),0,5))*1.2"),975.24)</f>
        <v>975.24</v>
      </c>
      <c r="E166" s="62">
        <f>IFERROR(__xludf.DUMMYFUNCTION("AVERAGE(QUERY(SORT(GOOGLEFINANCE(A166,""price"",TODAY()-320,TODAY()),1,0),""select Col2 limit 100""))"),1092.1120000000003)</f>
        <v>1092.112</v>
      </c>
      <c r="F166" s="44">
        <f>IFERROR(__xludf.DUMMYFUNCTION("GOOGLEFINANCE(A166,""high52"")"),1558.8)</f>
        <v>1558.8</v>
      </c>
      <c r="G166" s="45">
        <f>IFERROR(__xludf.DUMMYFUNCTION("to_date(index(sort(GOOGLEFINANCE(A166, ""high"", today()-52*7, today(), ""DAILY""),2,0),2,1))"),46168.64583333333)</f>
        <v>46168.64583</v>
      </c>
      <c r="H166" s="44">
        <f>IFERROR(__xludf.DUMMYFUNCTION("GOOGLEFINANCE(A166,""low52"")"),744.9)</f>
        <v>744.9</v>
      </c>
      <c r="I166" s="45">
        <f>IFERROR(__xludf.DUMMYFUNCTION("to_date(index(sort(GOOGLEFINANCE(A166, ""low"", today()-52*7, today(), ""DAILY""),2,1),1,1))"),45905.64583333333)</f>
        <v>45905.64583</v>
      </c>
      <c r="J166" s="46" t="str">
        <f t="shared" si="1"/>
        <v>Do Not Buy Today</v>
      </c>
    </row>
    <row r="167">
      <c r="A167" s="58" t="s">
        <v>271</v>
      </c>
      <c r="B167" s="59">
        <f>IFERROR(__xludf.DUMMYFUNCTION("GOOGLEFINANCE(A167,""price"")"),3336.0)</f>
        <v>3336</v>
      </c>
      <c r="C167" s="60">
        <f>IFERROR(__xludf.DUMMYFUNCTION("GOOGLEFINANCE(A167,""closeyest"")"),3331.5)</f>
        <v>3331.5</v>
      </c>
      <c r="D167" s="61">
        <f>IFERROR(__xludf.DUMMYFUNCTION("MIN(index(GOOGLEFINANCE(A167,""ALL"",TODAY()-180,TODAY()),0,5))*1.2"),3738.72)</f>
        <v>3738.72</v>
      </c>
      <c r="E167" s="62">
        <f>IFERROR(__xludf.DUMMYFUNCTION("AVERAGE(QUERY(SORT(GOOGLEFINANCE(A167,""price"",TODAY()-320,TODAY()),1,0),""select Col2 limit 100""))"),3550.6469999999995)</f>
        <v>3550.647</v>
      </c>
      <c r="F167" s="44">
        <f>IFERROR(__xludf.DUMMYFUNCTION("GOOGLEFINANCE(A167,""high52"")"),4149.5)</f>
        <v>4149.5</v>
      </c>
      <c r="G167" s="45">
        <f>IFERROR(__xludf.DUMMYFUNCTION("to_date(index(sort(GOOGLEFINANCE(A167, ""high"", today()-52*7, today(), ""DAILY""),2,0),2,1))"),46051.64583333333)</f>
        <v>46051.64583</v>
      </c>
      <c r="H167" s="44">
        <f>IFERROR(__xludf.DUMMYFUNCTION("GOOGLEFINANCE(A167,""low52"")"),2058.5)</f>
        <v>2058.5</v>
      </c>
      <c r="I167" s="45">
        <f>IFERROR(__xludf.DUMMYFUNCTION("to_date(index(sort(GOOGLEFINANCE(A167, ""low"", today()-52*7, today(), ""DAILY""),2,1),1,1))"),45806.64583333333)</f>
        <v>45806.64583</v>
      </c>
      <c r="J167" s="46" t="str">
        <f t="shared" si="1"/>
        <v>Do Not Buy Today</v>
      </c>
    </row>
    <row r="168">
      <c r="A168" s="58" t="s">
        <v>272</v>
      </c>
      <c r="B168" s="59">
        <f>IFERROR(__xludf.DUMMYFUNCTION("GOOGLEFINANCE(A168,""price"")"),435.15)</f>
        <v>435.15</v>
      </c>
      <c r="C168" s="60">
        <f>IFERROR(__xludf.DUMMYFUNCTION("GOOGLEFINANCE(A168,""closeyest"")"),416.2)</f>
        <v>416.2</v>
      </c>
      <c r="D168" s="61">
        <f>IFERROR(__xludf.DUMMYFUNCTION("MIN(index(GOOGLEFINANCE(A168,""ALL"",TODAY()-180,TODAY()),0,5))*1.2"),311.976)</f>
        <v>311.976</v>
      </c>
      <c r="E168" s="62">
        <f>IFERROR(__xludf.DUMMYFUNCTION("AVERAGE(QUERY(SORT(GOOGLEFINANCE(A168,""price"",TODAY()-320,TODAY()),1,0),""select Col2 limit 100""))"),381.48800000000017)</f>
        <v>381.488</v>
      </c>
      <c r="F168" s="44">
        <f>IFERROR(__xludf.DUMMYFUNCTION("GOOGLEFINANCE(A168,""high52"")"),445.15)</f>
        <v>445.15</v>
      </c>
      <c r="G168" s="45">
        <f>IFERROR(__xludf.DUMMYFUNCTION("to_date(index(sort(GOOGLEFINANCE(A168, ""high"", today()-52*7, today(), ""DAILY""),2,0),2,1))"),46139.64583333333)</f>
        <v>46139.64583</v>
      </c>
      <c r="H168" s="44">
        <f>IFERROR(__xludf.DUMMYFUNCTION("GOOGLEFINANCE(A168,""low52"")"),176.34)</f>
        <v>176.34</v>
      </c>
      <c r="I168" s="45">
        <f>IFERROR(__xludf.DUMMYFUNCTION("to_date(index(sort(GOOGLEFINANCE(A168, ""low"", today()-52*7, today(), ""DAILY""),2,1),1,1))"),45810.64583333333)</f>
        <v>45810.64583</v>
      </c>
      <c r="J168" s="46" t="str">
        <f t="shared" si="1"/>
        <v>Do Not Buy Today</v>
      </c>
    </row>
    <row r="169">
      <c r="A169" s="58" t="s">
        <v>273</v>
      </c>
      <c r="B169" s="59">
        <f>IFERROR(__xludf.DUMMYFUNCTION("GOOGLEFINANCE(A169,""price"")"),1238.0)</f>
        <v>1238</v>
      </c>
      <c r="C169" s="60">
        <f>IFERROR(__xludf.DUMMYFUNCTION("GOOGLEFINANCE(A169,""closeyest"")"),1222.9)</f>
        <v>1222.9</v>
      </c>
      <c r="D169" s="61">
        <f>IFERROR(__xludf.DUMMYFUNCTION("MIN(index(GOOGLEFINANCE(A169,""ALL"",TODAY()-180,TODAY()),0,5))*1.2"),1183.2)</f>
        <v>1183.2</v>
      </c>
      <c r="E169" s="62">
        <f>IFERROR(__xludf.DUMMYFUNCTION("AVERAGE(QUERY(SORT(GOOGLEFINANCE(A169,""price"",TODAY()-320,TODAY()),1,0),""select Col2 limit 100""))"),1169.718)</f>
        <v>1169.718</v>
      </c>
      <c r="F169" s="44">
        <f>IFERROR(__xludf.DUMMYFUNCTION("GOOGLEFINANCE(A169,""high52"")"),1306.2)</f>
        <v>1306.2</v>
      </c>
      <c r="G169" s="45">
        <f>IFERROR(__xludf.DUMMYFUNCTION("to_date(index(sort(GOOGLEFINANCE(A169, ""high"", today()-52*7, today(), ""DAILY""),2,0),2,1))"),46133.64583333333)</f>
        <v>46133.64583</v>
      </c>
      <c r="H169" s="44">
        <f>IFERROR(__xludf.DUMMYFUNCTION("GOOGLEFINANCE(A169,""low52"")"),882.65)</f>
        <v>882.65</v>
      </c>
      <c r="I169" s="45">
        <f>IFERROR(__xludf.DUMMYFUNCTION("to_date(index(sort(GOOGLEFINANCE(A169, ""low"", today()-52*7, today(), ""DAILY""),2,1),1,1))"),45827.64583333333)</f>
        <v>45827.64583</v>
      </c>
      <c r="J169" s="46" t="str">
        <f t="shared" si="1"/>
        <v>Do Not Buy Today</v>
      </c>
    </row>
    <row r="170">
      <c r="A170" s="58" t="s">
        <v>274</v>
      </c>
      <c r="B170" s="59">
        <f>IFERROR(__xludf.DUMMYFUNCTION("GOOGLEFINANCE(A170,""price"")"),75.66)</f>
        <v>75.66</v>
      </c>
      <c r="C170" s="60">
        <f>IFERROR(__xludf.DUMMYFUNCTION("GOOGLEFINANCE(A170,""closeyest"")"),73.79)</f>
        <v>73.79</v>
      </c>
      <c r="D170" s="61">
        <f>IFERROR(__xludf.DUMMYFUNCTION("MIN(index(GOOGLEFINANCE(A170,""ALL"",TODAY()-180,TODAY()),0,5))*1.2"),76.02)</f>
        <v>76.02</v>
      </c>
      <c r="E170" s="62">
        <f>IFERROR(__xludf.DUMMYFUNCTION("AVERAGE(QUERY(SORT(GOOGLEFINANCE(A170,""price"",TODAY()-320,TODAY()),1,0),""select Col2 limit 100""))"),74.33330000000001)</f>
        <v>74.3333</v>
      </c>
      <c r="F170" s="44">
        <f>IFERROR(__xludf.DUMMYFUNCTION("GOOGLEFINANCE(A170,""high52"")"),105.85)</f>
        <v>105.85</v>
      </c>
      <c r="G170" s="45">
        <f>IFERROR(__xludf.DUMMYFUNCTION("to_date(index(sort(GOOGLEFINANCE(A170, ""high"", today()-52*7, today(), ""DAILY""),2,0),2,1))"),45819.64583333333)</f>
        <v>45819.64583</v>
      </c>
      <c r="H170" s="44">
        <f>IFERROR(__xludf.DUMMYFUNCTION("GOOGLEFINANCE(A170,""low52"")"),63.02)</f>
        <v>63.02</v>
      </c>
      <c r="I170" s="45">
        <f>IFERROR(__xludf.DUMMYFUNCTION("to_date(index(sort(GOOGLEFINANCE(A170, ""low"", today()-52*7, today(), ""DAILY""),2,1),1,1))"),46111.64583333333)</f>
        <v>46111.64583</v>
      </c>
      <c r="J170" s="46" t="str">
        <f t="shared" si="1"/>
        <v>Do Not Buy Today</v>
      </c>
    </row>
    <row r="171">
      <c r="A171" s="58" t="s">
        <v>275</v>
      </c>
      <c r="B171" s="59">
        <f>IFERROR(__xludf.DUMMYFUNCTION("GOOGLEFINANCE(A171,""price"")"),2406.9)</f>
        <v>2406.9</v>
      </c>
      <c r="C171" s="60">
        <f>IFERROR(__xludf.DUMMYFUNCTION("GOOGLEFINANCE(A171,""closeyest"")"),2423.6)</f>
        <v>2423.6</v>
      </c>
      <c r="D171" s="61">
        <f>IFERROR(__xludf.DUMMYFUNCTION("MIN(index(GOOGLEFINANCE(A171,""ALL"",TODAY()-180,TODAY()),0,5))*1.2"),2312.88)</f>
        <v>2312.88</v>
      </c>
      <c r="E171" s="62">
        <f>IFERROR(__xludf.DUMMYFUNCTION("AVERAGE(QUERY(SORT(GOOGLEFINANCE(A171,""price"",TODAY()-320,TODAY()),1,0),""select Col2 limit 100""))"),2184.552999999999)</f>
        <v>2184.553</v>
      </c>
      <c r="F171" s="44">
        <f>IFERROR(__xludf.DUMMYFUNCTION("GOOGLEFINANCE(A171,""high52"")"),2716.5)</f>
        <v>2716.5</v>
      </c>
      <c r="G171" s="45">
        <f>IFERROR(__xludf.DUMMYFUNCTION("to_date(index(sort(GOOGLEFINANCE(A171, ""high"", today()-52*7, today(), ""DAILY""),2,0),2,1))"),45853.64583333333)</f>
        <v>45853.64583</v>
      </c>
      <c r="H171" s="44">
        <f>IFERROR(__xludf.DUMMYFUNCTION("GOOGLEFINANCE(A171,""low52"")"),1909.7)</f>
        <v>1909.7</v>
      </c>
      <c r="I171" s="45">
        <f>IFERROR(__xludf.DUMMYFUNCTION("to_date(index(sort(GOOGLEFINANCE(A171, ""low"", today()-52*7, today(), ""DAILY""),2,1),1,1))"),46104.64583333333)</f>
        <v>46104.64583</v>
      </c>
      <c r="J171" s="46" t="str">
        <f t="shared" si="1"/>
        <v>Do Not Buy Today</v>
      </c>
    </row>
    <row r="172">
      <c r="A172" s="58" t="s">
        <v>276</v>
      </c>
      <c r="B172" s="59">
        <f>IFERROR(__xludf.DUMMYFUNCTION("GOOGLEFINANCE(A172,""price"")"),21.73)</f>
        <v>21.73</v>
      </c>
      <c r="C172" s="60">
        <f>IFERROR(__xludf.DUMMYFUNCTION("GOOGLEFINANCE(A172,""closeyest"")"),21.66)</f>
        <v>21.66</v>
      </c>
      <c r="D172" s="61">
        <f>IFERROR(__xludf.DUMMYFUNCTION("MIN(index(GOOGLEFINANCE(A172,""ALL"",TODAY()-180,TODAY()),0,5))*1.2"),23.4)</f>
        <v>23.4</v>
      </c>
      <c r="E172" s="62">
        <f>IFERROR(__xludf.DUMMYFUNCTION("AVERAGE(QUERY(SORT(GOOGLEFINANCE(A172,""price"",TODAY()-320,TODAY()),1,0),""select Col2 limit 100""))"),21.030799999999996)</f>
        <v>21.0308</v>
      </c>
      <c r="F172" s="44">
        <f>IFERROR(__xludf.DUMMYFUNCTION("GOOGLEFINANCE(A172,""high52"")"),27.14)</f>
        <v>27.14</v>
      </c>
      <c r="G172" s="45">
        <f>IFERROR(__xludf.DUMMYFUNCTION("to_date(index(sort(GOOGLEFINANCE(A172, ""high"", today()-52*7, today(), ""DAILY""),2,0),2,1))"),45818.64583333333)</f>
        <v>45818.64583</v>
      </c>
      <c r="H172" s="44">
        <f>IFERROR(__xludf.DUMMYFUNCTION("GOOGLEFINANCE(A172,""low52"")"),19.15)</f>
        <v>19.15</v>
      </c>
      <c r="I172" s="45">
        <f>IFERROR(__xludf.DUMMYFUNCTION("to_date(index(sort(GOOGLEFINANCE(A172, ""low"", today()-52*7, today(), ""DAILY""),2,1),1,1))"),46083.64583333333)</f>
        <v>46083.64583</v>
      </c>
      <c r="J172" s="46" t="str">
        <f t="shared" si="1"/>
        <v>Do Not Buy Today</v>
      </c>
    </row>
    <row r="173">
      <c r="A173" s="58" t="s">
        <v>277</v>
      </c>
      <c r="B173" s="59">
        <f>IFERROR(__xludf.DUMMYFUNCTION("GOOGLEFINANCE(A173,""price"")"),434.15)</f>
        <v>434.15</v>
      </c>
      <c r="C173" s="60">
        <f>IFERROR(__xludf.DUMMYFUNCTION("GOOGLEFINANCE(A173,""closeyest"")"),436.15)</f>
        <v>436.15</v>
      </c>
      <c r="D173" s="61">
        <f>IFERROR(__xludf.DUMMYFUNCTION("MIN(index(GOOGLEFINANCE(A173,""ALL"",TODAY()-180,TODAY()),0,5))*1.2"),408.06)</f>
        <v>408.06</v>
      </c>
      <c r="E173" s="62">
        <f>IFERROR(__xludf.DUMMYFUNCTION("AVERAGE(QUERY(SORT(GOOGLEFINANCE(A173,""price"",TODAY()-320,TODAY()),1,0),""select Col2 limit 100""))"),379.48099999999994)</f>
        <v>379.481</v>
      </c>
      <c r="F173" s="44">
        <f>IFERROR(__xludf.DUMMYFUNCTION("GOOGLEFINANCE(A173,""high52"")"),438.45)</f>
        <v>438.45</v>
      </c>
      <c r="G173" s="45">
        <f>IFERROR(__xludf.DUMMYFUNCTION("to_date(index(sort(GOOGLEFINANCE(A173, ""high"", today()-52*7, today(), ""DAILY""),2,0),2,1))"),46168.64583333333)</f>
        <v>46168.64583</v>
      </c>
      <c r="H173" s="44">
        <f>IFERROR(__xludf.DUMMYFUNCTION("GOOGLEFINANCE(A173,""low52"")"),327.6)</f>
        <v>327.6</v>
      </c>
      <c r="I173" s="45">
        <f>IFERROR(__xludf.DUMMYFUNCTION("to_date(index(sort(GOOGLEFINANCE(A173, ""low"", today()-52*7, today(), ""DAILY""),2,1),1,1))"),45814.64583333333)</f>
        <v>45814.64583</v>
      </c>
      <c r="J173" s="46" t="str">
        <f t="shared" si="1"/>
        <v>Do Not Buy Today</v>
      </c>
    </row>
    <row r="174">
      <c r="A174" s="58" t="s">
        <v>278</v>
      </c>
      <c r="B174" s="59">
        <f>IFERROR(__xludf.DUMMYFUNCTION("GOOGLEFINANCE(A174,""price"")"),2343.5)</f>
        <v>2343.5</v>
      </c>
      <c r="C174" s="60">
        <f>IFERROR(__xludf.DUMMYFUNCTION("GOOGLEFINANCE(A174,""closeyest"")"),2351.4)</f>
        <v>2351.4</v>
      </c>
      <c r="D174" s="61">
        <f>IFERROR(__xludf.DUMMYFUNCTION("MIN(index(GOOGLEFINANCE(A174,""ALL"",TODAY()-180,TODAY()),0,5))*1.2"),2304.48)</f>
        <v>2304.48</v>
      </c>
      <c r="E174" s="62">
        <f>IFERROR(__xludf.DUMMYFUNCTION("AVERAGE(QUERY(SORT(GOOGLEFINANCE(A174,""price"",TODAY()-320,TODAY()),1,0),""select Col2 limit 100""))"),2142.4830000000006)</f>
        <v>2142.483</v>
      </c>
      <c r="F174" s="44">
        <f>IFERROR(__xludf.DUMMYFUNCTION("GOOGLEFINANCE(A174,""high52"")"),2474.0)</f>
        <v>2474</v>
      </c>
      <c r="G174" s="45">
        <f>IFERROR(__xludf.DUMMYFUNCTION("to_date(index(sort(GOOGLEFINANCE(A174, ""high"", today()-52*7, today(), ""DAILY""),2,0),2,1))"),46141.64583333333)</f>
        <v>46141.64583</v>
      </c>
      <c r="H174" s="44">
        <f>IFERROR(__xludf.DUMMYFUNCTION("GOOGLEFINANCE(A174,""low52"")"),1375.6)</f>
        <v>1375.6</v>
      </c>
      <c r="I174" s="45">
        <f>IFERROR(__xludf.DUMMYFUNCTION("to_date(index(sort(GOOGLEFINANCE(A174, ""low"", today()-52*7, today(), ""DAILY""),2,1),1,1))"),45805.64583333333)</f>
        <v>45805.64583</v>
      </c>
      <c r="J174" s="46" t="str">
        <f t="shared" si="1"/>
        <v>Do Not Buy Today</v>
      </c>
    </row>
    <row r="175">
      <c r="A175" s="58" t="s">
        <v>279</v>
      </c>
      <c r="B175" s="59">
        <f>IFERROR(__xludf.DUMMYFUNCTION("GOOGLEFINANCE(A175,""price"")"),3160.6)</f>
        <v>3160.6</v>
      </c>
      <c r="C175" s="60">
        <f>IFERROR(__xludf.DUMMYFUNCTION("GOOGLEFINANCE(A175,""closeyest"")"),3165.0)</f>
        <v>3165</v>
      </c>
      <c r="D175" s="61">
        <f>IFERROR(__xludf.DUMMYFUNCTION("MIN(index(GOOGLEFINANCE(A175,""ALL"",TODAY()-180,TODAY()),0,5))*1.2"),3037.3199999999997)</f>
        <v>3037.32</v>
      </c>
      <c r="E175" s="62">
        <f>IFERROR(__xludf.DUMMYFUNCTION("AVERAGE(QUERY(SORT(GOOGLEFINANCE(A175,""price"",TODAY()-320,TODAY()),1,0),""select Col2 limit 100""))"),2807.024000000001)</f>
        <v>2807.024</v>
      </c>
      <c r="F175" s="44">
        <f>IFERROR(__xludf.DUMMYFUNCTION("GOOGLEFINANCE(A175,""high52"")"),3197.5)</f>
        <v>3197.5</v>
      </c>
      <c r="G175" s="45">
        <f>IFERROR(__xludf.DUMMYFUNCTION("to_date(index(sort(GOOGLEFINANCE(A175, ""high"", today()-52*7, today(), ""DAILY""),2,0),2,1))"),46168.64583333333)</f>
        <v>46168.64583</v>
      </c>
      <c r="H175" s="44">
        <f>IFERROR(__xludf.DUMMYFUNCTION("GOOGLEFINANCE(A175,""low52"")"),2502.5)</f>
        <v>2502.5</v>
      </c>
      <c r="I175" s="45">
        <f>IFERROR(__xludf.DUMMYFUNCTION("to_date(index(sort(GOOGLEFINANCE(A175, ""low"", today()-52*7, today(), ""DAILY""),2,1),1,1))"),46104.64583333333)</f>
        <v>46104.64583</v>
      </c>
      <c r="J175" s="46" t="str">
        <f t="shared" si="1"/>
        <v>Do Not Buy Today</v>
      </c>
    </row>
    <row r="176">
      <c r="A176" s="58" t="s">
        <v>280</v>
      </c>
      <c r="B176" s="59">
        <f>IFERROR(__xludf.DUMMYFUNCTION("GOOGLEFINANCE(A176,""price"")"),462.7)</f>
        <v>462.7</v>
      </c>
      <c r="C176" s="60">
        <f>IFERROR(__xludf.DUMMYFUNCTION("GOOGLEFINANCE(A176,""closeyest"")"),465.75)</f>
        <v>465.75</v>
      </c>
      <c r="D176" s="61">
        <f>IFERROR(__xludf.DUMMYFUNCTION("MIN(index(GOOGLEFINANCE(A176,""ALL"",TODAY()-180,TODAY()),0,5))*1.2"),529.26)</f>
        <v>529.26</v>
      </c>
      <c r="E176" s="62">
        <f>IFERROR(__xludf.DUMMYFUNCTION("AVERAGE(QUERY(SORT(GOOGLEFINANCE(A176,""price"",TODAY()-320,TODAY()),1,0),""select Col2 limit 100""))"),496.3665000000001)</f>
        <v>496.3665</v>
      </c>
      <c r="F176" s="44">
        <f>IFERROR(__xludf.DUMMYFUNCTION("GOOGLEFINANCE(A176,""high52"")"),653.93)</f>
        <v>653.93</v>
      </c>
      <c r="G176" s="45">
        <f>IFERROR(__xludf.DUMMYFUNCTION("to_date(index(sort(GOOGLEFINANCE(A176, ""high"", today()-52*7, today(), ""DAILY""),2,0),2,1))"),45860.64583333333)</f>
        <v>45860.64583</v>
      </c>
      <c r="H176" s="44">
        <f>IFERROR(__xludf.DUMMYFUNCTION("GOOGLEFINANCE(A176,""low52"")"),438.0)</f>
        <v>438</v>
      </c>
      <c r="I176" s="45">
        <f>IFERROR(__xludf.DUMMYFUNCTION("to_date(index(sort(GOOGLEFINANCE(A176, ""low"", today()-52*7, today(), ""DAILY""),2,1),1,1))"),46154.64583333333)</f>
        <v>46154.64583</v>
      </c>
      <c r="J176" s="46" t="str">
        <f t="shared" si="1"/>
        <v>Do Not Buy Today</v>
      </c>
    </row>
    <row r="177">
      <c r="A177" s="58" t="s">
        <v>281</v>
      </c>
      <c r="B177" s="59">
        <f>IFERROR(__xludf.DUMMYFUNCTION("GOOGLEFINANCE(A177,""price"")"),168.76)</f>
        <v>168.76</v>
      </c>
      <c r="C177" s="60">
        <f>IFERROR(__xludf.DUMMYFUNCTION("GOOGLEFINANCE(A177,""closeyest"")"),167.63)</f>
        <v>167.63</v>
      </c>
      <c r="D177" s="61">
        <f>IFERROR(__xludf.DUMMYFUNCTION("MIN(index(GOOGLEFINANCE(A177,""ALL"",TODAY()-180,TODAY()),0,5))*1.2"),162.48)</f>
        <v>162.48</v>
      </c>
      <c r="E177" s="62">
        <f>IFERROR(__xludf.DUMMYFUNCTION("AVERAGE(QUERY(SORT(GOOGLEFINANCE(A177,""price"",TODAY()-320,TODAY()),1,0),""select Col2 limit 100""))"),160.08729999999986)</f>
        <v>160.0873</v>
      </c>
      <c r="F177" s="44">
        <f>IFERROR(__xludf.DUMMYFUNCTION("GOOGLEFINANCE(A177,""high52"")"),202.79)</f>
        <v>202.79</v>
      </c>
      <c r="G177" s="45">
        <f>IFERROR(__xludf.DUMMYFUNCTION("to_date(index(sort(GOOGLEFINANCE(A177, ""high"", today()-52*7, today(), ""DAILY""),2,0),2,1))"),45820.64583333333)</f>
        <v>45820.64583</v>
      </c>
      <c r="H177" s="44">
        <f>IFERROR(__xludf.DUMMYFUNCTION("GOOGLEFINANCE(A177,""low52"")"),134.36)</f>
        <v>134.36</v>
      </c>
      <c r="I177" s="45">
        <f>IFERROR(__xludf.DUMMYFUNCTION("to_date(index(sort(GOOGLEFINANCE(A177, ""low"", today()-52*7, today(), ""DAILY""),2,1),1,1))"),46104.64583333333)</f>
        <v>46104.64583</v>
      </c>
      <c r="J177" s="46" t="str">
        <f t="shared" si="1"/>
        <v>Do Not Buy Today</v>
      </c>
    </row>
    <row r="178">
      <c r="A178" s="58" t="s">
        <v>282</v>
      </c>
      <c r="B178" s="59">
        <f>IFERROR(__xludf.DUMMYFUNCTION("GOOGLEFINANCE(A178,""price"")"),597.55)</f>
        <v>597.55</v>
      </c>
      <c r="C178" s="60">
        <f>IFERROR(__xludf.DUMMYFUNCTION("GOOGLEFINANCE(A178,""closeyest"")"),576.0)</f>
        <v>576</v>
      </c>
      <c r="D178" s="61">
        <f>IFERROR(__xludf.DUMMYFUNCTION("MIN(index(GOOGLEFINANCE(A178,""ALL"",TODAY()-180,TODAY()),0,5))*1.2"),528.06)</f>
        <v>528.06</v>
      </c>
      <c r="E178" s="62">
        <f>IFERROR(__xludf.DUMMYFUNCTION("AVERAGE(QUERY(SORT(GOOGLEFINANCE(A178,""price"",TODAY()-320,TODAY()),1,0),""select Col2 limit 100""))"),505.0295)</f>
        <v>505.0295</v>
      </c>
      <c r="F178" s="44">
        <f>IFERROR(__xludf.DUMMYFUNCTION("GOOGLEFINANCE(A178,""high52"")"),598.7)</f>
        <v>598.7</v>
      </c>
      <c r="G178" s="45">
        <f>IFERROR(__xludf.DUMMYFUNCTION("to_date(index(sort(GOOGLEFINANCE(A178, ""high"", today()-52*7, today(), ""DAILY""),2,0),2,1))"),46140.64583333333)</f>
        <v>46140.64583</v>
      </c>
      <c r="H178" s="44">
        <f>IFERROR(__xludf.DUMMYFUNCTION("GOOGLEFINANCE(A178,""low52"")"),427.75)</f>
        <v>427.75</v>
      </c>
      <c r="I178" s="45">
        <f>IFERROR(__xludf.DUMMYFUNCTION("to_date(index(sort(GOOGLEFINANCE(A178, ""low"", today()-52*7, today(), ""DAILY""),2,1),1,1))"),46049.64583333333)</f>
        <v>46049.64583</v>
      </c>
      <c r="J178" s="46" t="str">
        <f t="shared" si="1"/>
        <v>Do Not Buy Today</v>
      </c>
    </row>
    <row r="179">
      <c r="A179" s="58" t="s">
        <v>283</v>
      </c>
      <c r="B179" s="59">
        <f>IFERROR(__xludf.DUMMYFUNCTION("GOOGLEFINANCE(A179,""price"")"),1264.0)</f>
        <v>1264</v>
      </c>
      <c r="C179" s="60">
        <f>IFERROR(__xludf.DUMMYFUNCTION("GOOGLEFINANCE(A179,""closeyest"")"),1271.4)</f>
        <v>1271.4</v>
      </c>
      <c r="D179" s="61">
        <f>IFERROR(__xludf.DUMMYFUNCTION("MIN(index(GOOGLEFINANCE(A179,""ALL"",TODAY()-180,TODAY()),0,5))*1.2"),1464.24)</f>
        <v>1464.24</v>
      </c>
      <c r="E179" s="62">
        <f>IFERROR(__xludf.DUMMYFUNCTION("AVERAGE(QUERY(SORT(GOOGLEFINANCE(A179,""price"",TODAY()-320,TODAY()),1,0),""select Col2 limit 100""))"),1397.91)</f>
        <v>1397.91</v>
      </c>
      <c r="F179" s="44">
        <f>IFERROR(__xludf.DUMMYFUNCTION("GOOGLEFINANCE(A179,""high52"")"),1582.5)</f>
        <v>1582.5</v>
      </c>
      <c r="G179" s="45">
        <f>IFERROR(__xludf.DUMMYFUNCTION("to_date(index(sort(GOOGLEFINANCE(A179, ""high"", today()-52*7, today(), ""DAILY""),2,0),2,1))"),46080.64583333333)</f>
        <v>46080.64583</v>
      </c>
      <c r="H179" s="44">
        <f>IFERROR(__xludf.DUMMYFUNCTION("GOOGLEFINANCE(A179,""low52"")"),1186.8)</f>
        <v>1186.8</v>
      </c>
      <c r="I179" s="45">
        <f>IFERROR(__xludf.DUMMYFUNCTION("to_date(index(sort(GOOGLEFINANCE(A179, ""low"", today()-52*7, today(), ""DAILY""),2,1),1,1))"),46114.64583333333)</f>
        <v>46114.64583</v>
      </c>
      <c r="J179" s="46" t="str">
        <f t="shared" si="1"/>
        <v>Do Not Buy Today</v>
      </c>
    </row>
    <row r="180">
      <c r="A180" s="58" t="s">
        <v>284</v>
      </c>
      <c r="B180" s="59">
        <f>IFERROR(__xludf.DUMMYFUNCTION("GOOGLEFINANCE(A180,""price"")"),65.05)</f>
        <v>65.05</v>
      </c>
      <c r="C180" s="60">
        <f>IFERROR(__xludf.DUMMYFUNCTION("GOOGLEFINANCE(A180,""closeyest"")"),64.87)</f>
        <v>64.87</v>
      </c>
      <c r="D180" s="61">
        <f>IFERROR(__xludf.DUMMYFUNCTION("MIN(index(GOOGLEFINANCE(A180,""ALL"",TODAY()-180,TODAY()),0,5))*1.2"),64.66799999999999)</f>
        <v>64.668</v>
      </c>
      <c r="E180" s="62">
        <f>IFERROR(__xludf.DUMMYFUNCTION("AVERAGE(QUERY(SORT(GOOGLEFINANCE(A180,""price"",TODAY()-320,TODAY()),1,0),""select Col2 limit 100""))"),66.01580000000001)</f>
        <v>66.0158</v>
      </c>
      <c r="F180" s="44">
        <f>IFERROR(__xludf.DUMMYFUNCTION("GOOGLEFINANCE(A180,""high52"")"),94.95)</f>
        <v>94.95</v>
      </c>
      <c r="G180" s="45">
        <f>IFERROR(__xludf.DUMMYFUNCTION("to_date(index(sort(GOOGLEFINANCE(A180, ""high"", today()-52*7, today(), ""DAILY""),2,0),2,1))"),45922.64583333333)</f>
        <v>45922.64583</v>
      </c>
      <c r="H180" s="44">
        <f>IFERROR(__xludf.DUMMYFUNCTION("GOOGLEFINANCE(A180,""low52"")"),53.51)</f>
        <v>53.51</v>
      </c>
      <c r="I180" s="45">
        <f>IFERROR(__xludf.DUMMYFUNCTION("to_date(index(sort(GOOGLEFINANCE(A180, ""low"", today()-52*7, today(), ""DAILY""),2,1),1,1))"),46111.64583333333)</f>
        <v>46111.64583</v>
      </c>
      <c r="J180" s="46" t="str">
        <f t="shared" si="1"/>
        <v>Do Not Buy Today</v>
      </c>
    </row>
    <row r="181">
      <c r="A181" s="58" t="s">
        <v>285</v>
      </c>
      <c r="B181" s="59">
        <f>IFERROR(__xludf.DUMMYFUNCTION("GOOGLEFINANCE(A181,""price"")"),6787.0)</f>
        <v>6787</v>
      </c>
      <c r="C181" s="60">
        <f>IFERROR(__xludf.DUMMYFUNCTION("GOOGLEFINANCE(A181,""closeyest"")"),6753.0)</f>
        <v>6753</v>
      </c>
      <c r="D181" s="61">
        <f>IFERROR(__xludf.DUMMYFUNCTION("MIN(index(GOOGLEFINANCE(A181,""ALL"",TODAY()-180,TODAY()),0,5))*1.2"),6985.2)</f>
        <v>6985.2</v>
      </c>
      <c r="E181" s="62">
        <f>IFERROR(__xludf.DUMMYFUNCTION("AVERAGE(QUERY(SORT(GOOGLEFINANCE(A181,""price"",TODAY()-320,TODAY()),1,0),""select Col2 limit 100""))"),6316.62)</f>
        <v>6316.62</v>
      </c>
      <c r="F181" s="44">
        <f>IFERROR(__xludf.DUMMYFUNCTION("GOOGLEFINANCE(A181,""high52"")"),7071.5)</f>
        <v>7071.5</v>
      </c>
      <c r="G181" s="45">
        <f>IFERROR(__xludf.DUMMYFUNCTION("to_date(index(sort(GOOGLEFINANCE(A181, ""high"", today()-52*7, today(), ""DAILY""),2,0),2,1))"),45846.64583333333)</f>
        <v>45846.64583</v>
      </c>
      <c r="H181" s="44">
        <f>IFERROR(__xludf.DUMMYFUNCTION("GOOGLEFINANCE(A181,""low52"")"),5636.5)</f>
        <v>5636.5</v>
      </c>
      <c r="I181" s="45">
        <f>IFERROR(__xludf.DUMMYFUNCTION("to_date(index(sort(GOOGLEFINANCE(A181, ""low"", today()-52*7, today(), ""DAILY""),2,1),1,1))"),45929.64583333333)</f>
        <v>45929.64583</v>
      </c>
      <c r="J181" s="46" t="str">
        <f t="shared" si="1"/>
        <v>Do Not Buy Today</v>
      </c>
    </row>
    <row r="182">
      <c r="A182" s="58" t="s">
        <v>286</v>
      </c>
      <c r="B182" s="59">
        <f>IFERROR(__xludf.DUMMYFUNCTION("GOOGLEFINANCE(A182,""price"")"),3445.3)</f>
        <v>3445.3</v>
      </c>
      <c r="C182" s="60">
        <f>IFERROR(__xludf.DUMMYFUNCTION("GOOGLEFINANCE(A182,""closeyest"")"),3454.9)</f>
        <v>3454.9</v>
      </c>
      <c r="D182" s="61">
        <f>IFERROR(__xludf.DUMMYFUNCTION("MIN(index(GOOGLEFINANCE(A182,""ALL"",TODAY()-180,TODAY()),0,5))*1.2"),3940.08)</f>
        <v>3940.08</v>
      </c>
      <c r="E182" s="62">
        <f>IFERROR(__xludf.DUMMYFUNCTION("AVERAGE(QUERY(SORT(GOOGLEFINANCE(A182,""price"",TODAY()-320,TODAY()),1,0),""select Col2 limit 100""))"),3643.194000000002)</f>
        <v>3643.194</v>
      </c>
      <c r="F182" s="44">
        <f>IFERROR(__xludf.DUMMYFUNCTION("GOOGLEFINANCE(A182,""high52"")"),3970.0)</f>
        <v>3970</v>
      </c>
      <c r="G182" s="45">
        <f>IFERROR(__xludf.DUMMYFUNCTION("to_date(index(sort(GOOGLEFINANCE(A182, ""high"", today()-52*7, today(), ""DAILY""),2,0),2,1))"),46079.64583333333)</f>
        <v>46079.64583</v>
      </c>
      <c r="H182" s="44">
        <f>IFERROR(__xludf.DUMMYFUNCTION("GOOGLEFINANCE(A182,""low52"")"),2655.1)</f>
        <v>2655.1</v>
      </c>
      <c r="I182" s="45">
        <f>IFERROR(__xludf.DUMMYFUNCTION("to_date(index(sort(GOOGLEFINANCE(A182, ""low"", today()-52*7, today(), ""DAILY""),2,1),1,1))"),45821.64583333333)</f>
        <v>45821.64583</v>
      </c>
      <c r="J182" s="46" t="str">
        <f t="shared" si="1"/>
        <v>Do Not Buy Today</v>
      </c>
    </row>
    <row r="183">
      <c r="A183" s="58" t="s">
        <v>287</v>
      </c>
      <c r="B183" s="59">
        <f>IFERROR(__xludf.DUMMYFUNCTION("GOOGLEFINANCE(A183,""price"")"),38060.0)</f>
        <v>38060</v>
      </c>
      <c r="C183" s="60">
        <f>IFERROR(__xludf.DUMMYFUNCTION("GOOGLEFINANCE(A183,""closeyest"")"),38305.0)</f>
        <v>38305</v>
      </c>
      <c r="D183" s="61">
        <f>IFERROR(__xludf.DUMMYFUNCTION("MIN(index(GOOGLEFINANCE(A183,""ALL"",TODAY()-180,TODAY()),0,5))*1.2"),36240.0)</f>
        <v>36240</v>
      </c>
      <c r="E183" s="62">
        <f>IFERROR(__xludf.DUMMYFUNCTION("AVERAGE(QUERY(SORT(GOOGLEFINANCE(A183,""price"",TODAY()-320,TODAY()),1,0),""select Col2 limit 100""))"),34599.45)</f>
        <v>34599.45</v>
      </c>
      <c r="F183" s="44">
        <f>IFERROR(__xludf.DUMMYFUNCTION("GOOGLEFINANCE(A183,""high52"")"),50590.0)</f>
        <v>50590</v>
      </c>
      <c r="G183" s="45">
        <f>IFERROR(__xludf.DUMMYFUNCTION("to_date(index(sort(GOOGLEFINANCE(A183, ""high"", today()-52*7, today(), ""DAILY""),2,0),2,1))"),45835.64583333333)</f>
        <v>45835.64583</v>
      </c>
      <c r="H183" s="44">
        <f>IFERROR(__xludf.DUMMYFUNCTION("GOOGLEFINANCE(A183,""low52"")"),29805.0)</f>
        <v>29805</v>
      </c>
      <c r="I183" s="45">
        <f>IFERROR(__xludf.DUMMYFUNCTION("to_date(index(sort(GOOGLEFINANCE(A183, ""low"", today()-52*7, today(), ""DAILY""),2,1),1,1))"),46097.64583333333)</f>
        <v>46097.64583</v>
      </c>
      <c r="J183" s="46" t="str">
        <f t="shared" si="1"/>
        <v>Do Not Buy Today</v>
      </c>
    </row>
    <row r="184">
      <c r="A184" s="58" t="s">
        <v>288</v>
      </c>
      <c r="B184" s="59">
        <f>IFERROR(__xludf.DUMMYFUNCTION("GOOGLEFINANCE(A184,""price"")"),11832.0)</f>
        <v>11832</v>
      </c>
      <c r="C184" s="60">
        <f>IFERROR(__xludf.DUMMYFUNCTION("GOOGLEFINANCE(A184,""closeyest"")"),11673.0)</f>
        <v>11673</v>
      </c>
      <c r="D184" s="61">
        <f>IFERROR(__xludf.DUMMYFUNCTION("MIN(index(GOOGLEFINANCE(A184,""ALL"",TODAY()-180,TODAY()),0,5))*1.2"),11607.6)</f>
        <v>11607.6</v>
      </c>
      <c r="E184" s="62">
        <f>IFERROR(__xludf.DUMMYFUNCTION("AVERAGE(QUERY(SORT(GOOGLEFINANCE(A184,""price"",TODAY()-320,TODAY()),1,0),""select Col2 limit 100""))"),10980.5)</f>
        <v>10980.5</v>
      </c>
      <c r="F184" s="44">
        <f>IFERROR(__xludf.DUMMYFUNCTION("GOOGLEFINANCE(A184,""high52"")"),18471.0)</f>
        <v>18471</v>
      </c>
      <c r="G184" s="45">
        <f>IFERROR(__xludf.DUMMYFUNCTION("to_date(index(sort(GOOGLEFINANCE(A184, ""high"", today()-52*7, today(), ""DAILY""),2,0),2,1))"),45925.64583333333)</f>
        <v>45925.64583</v>
      </c>
      <c r="H184" s="44">
        <f>IFERROR(__xludf.DUMMYFUNCTION("GOOGLEFINANCE(A184,""low52"")"),9600.0)</f>
        <v>9600</v>
      </c>
      <c r="I184" s="45">
        <f>IFERROR(__xludf.DUMMYFUNCTION("to_date(index(sort(GOOGLEFINANCE(A184, ""low"", today()-52*7, today(), ""DAILY""),2,1),1,1))"),46129.64583333333)</f>
        <v>46129.64583</v>
      </c>
      <c r="J184" s="46" t="str">
        <f t="shared" si="1"/>
        <v>Do Not Buy Today</v>
      </c>
    </row>
    <row r="185">
      <c r="A185" s="58" t="s">
        <v>289</v>
      </c>
      <c r="B185" s="59">
        <f>IFERROR(__xludf.DUMMYFUNCTION("GOOGLEFINANCE(A185,""price"")"),9603.0)</f>
        <v>9603</v>
      </c>
      <c r="C185" s="60">
        <f>IFERROR(__xludf.DUMMYFUNCTION("GOOGLEFINANCE(A185,""closeyest"")"),9613.5)</f>
        <v>9613.5</v>
      </c>
      <c r="D185" s="61">
        <f>IFERROR(__xludf.DUMMYFUNCTION("MIN(index(GOOGLEFINANCE(A185,""ALL"",TODAY()-180,TODAY()),0,5))*1.2"),8066.4)</f>
        <v>8066.4</v>
      </c>
      <c r="E185" s="62">
        <f>IFERROR(__xludf.DUMMYFUNCTION("AVERAGE(QUERY(SORT(GOOGLEFINANCE(A185,""price"",TODAY()-320,TODAY()),1,0),""select Col2 limit 100""))"),7851.46)</f>
        <v>7851.46</v>
      </c>
      <c r="F185" s="44">
        <f>IFERROR(__xludf.DUMMYFUNCTION("GOOGLEFINANCE(A185,""high52"")"),9692.0)</f>
        <v>9692</v>
      </c>
      <c r="G185" s="45">
        <f>IFERROR(__xludf.DUMMYFUNCTION("to_date(index(sort(GOOGLEFINANCE(A185, ""high"", today()-52*7, today(), ""DAILY""),2,0),2,1))"),46168.64583333333)</f>
        <v>46168.64583</v>
      </c>
      <c r="H185" s="44">
        <f>IFERROR(__xludf.DUMMYFUNCTION("GOOGLEFINANCE(A185,""low52"")"),5760.0)</f>
        <v>5760</v>
      </c>
      <c r="I185" s="45">
        <f>IFERROR(__xludf.DUMMYFUNCTION("to_date(index(sort(GOOGLEFINANCE(A185, ""low"", today()-52*7, today(), ""DAILY""),2,1),1,1))"),45821.64583333333)</f>
        <v>45821.64583</v>
      </c>
      <c r="J185" s="46" t="str">
        <f t="shared" si="1"/>
        <v>Do Not Buy Today</v>
      </c>
    </row>
    <row r="186">
      <c r="A186" s="58" t="s">
        <v>290</v>
      </c>
      <c r="B186" s="59">
        <f>IFERROR(__xludf.DUMMYFUNCTION("GOOGLEFINANCE(A186,""price"")"),5515.0)</f>
        <v>5515</v>
      </c>
      <c r="C186" s="60">
        <f>IFERROR(__xludf.DUMMYFUNCTION("GOOGLEFINANCE(A186,""closeyest"")"),5418.5)</f>
        <v>5418.5</v>
      </c>
      <c r="D186" s="61">
        <f>IFERROR(__xludf.DUMMYFUNCTION("MIN(index(GOOGLEFINANCE(A186,""ALL"",TODAY()-180,TODAY()),0,5))*1.2"),4713.96)</f>
        <v>4713.96</v>
      </c>
      <c r="E186" s="62">
        <f>IFERROR(__xludf.DUMMYFUNCTION("AVERAGE(QUERY(SORT(GOOGLEFINANCE(A186,""price"",TODAY()-320,TODAY()),1,0),""select Col2 limit 100""))"),4697.902000000001)</f>
        <v>4697.902</v>
      </c>
      <c r="F186" s="44">
        <f>IFERROR(__xludf.DUMMYFUNCTION("GOOGLEFINANCE(A186,""high52"")"),5539.0)</f>
        <v>5539</v>
      </c>
      <c r="G186" s="45">
        <f>IFERROR(__xludf.DUMMYFUNCTION("to_date(index(sort(GOOGLEFINANCE(A186, ""high"", today()-52*7, today(), ""DAILY""),2,0),2,1))"),46150.64583333333)</f>
        <v>46150.64583</v>
      </c>
      <c r="H186" s="44">
        <f>IFERROR(__xludf.DUMMYFUNCTION("GOOGLEFINANCE(A186,""low52"")"),2921.1)</f>
        <v>2921.1</v>
      </c>
      <c r="I186" s="45">
        <f>IFERROR(__xludf.DUMMYFUNCTION("to_date(index(sort(GOOGLEFINANCE(A186, ""low"", today()-52*7, today(), ""DAILY""),2,1),1,1))"),46085.64583333333)</f>
        <v>46085.64583</v>
      </c>
      <c r="J186" s="46" t="str">
        <f t="shared" si="1"/>
        <v>Do Not Buy Today</v>
      </c>
    </row>
    <row r="187">
      <c r="A187" s="58" t="s">
        <v>291</v>
      </c>
      <c r="B187" s="59">
        <f>IFERROR(__xludf.DUMMYFUNCTION("GOOGLEFINANCE(A187,""price"")"),1334.4)</f>
        <v>1334.4</v>
      </c>
      <c r="C187" s="60">
        <f>IFERROR(__xludf.DUMMYFUNCTION("GOOGLEFINANCE(A187,""closeyest"")"),1329.9)</f>
        <v>1329.9</v>
      </c>
      <c r="D187" s="61">
        <f>IFERROR(__xludf.DUMMYFUNCTION("MIN(index(GOOGLEFINANCE(A187,""ALL"",TODAY()-180,TODAY()),0,5))*1.2"),1315.9199999999998)</f>
        <v>1315.92</v>
      </c>
      <c r="E187" s="62">
        <f>IFERROR(__xludf.DUMMYFUNCTION("AVERAGE(QUERY(SORT(GOOGLEFINANCE(A187,""price"",TODAY()-320,TODAY()),1,0),""select Col2 limit 100""))"),1354.1210000000003)</f>
        <v>1354.121</v>
      </c>
      <c r="F187" s="44">
        <f>IFERROR(__xludf.DUMMYFUNCTION("GOOGLEFINANCE(A187,""high52"")"),2096.6)</f>
        <v>2096.6</v>
      </c>
      <c r="G187" s="45">
        <f>IFERROR(__xludf.DUMMYFUNCTION("to_date(index(sort(GOOGLEFINANCE(A187, ""high"", today()-52*7, today(), ""DAILY""),2,0),2,1))"),45807.64583333333)</f>
        <v>45807.64583</v>
      </c>
      <c r="H187" s="44">
        <f>IFERROR(__xludf.DUMMYFUNCTION("GOOGLEFINANCE(A187,""low52"")"),1086.0)</f>
        <v>1086</v>
      </c>
      <c r="I187" s="45">
        <f>IFERROR(__xludf.DUMMYFUNCTION("to_date(index(sort(GOOGLEFINANCE(A187, ""low"", today()-52*7, today(), ""DAILY""),2,1),1,1))"),46111.64583333333)</f>
        <v>46111.64583</v>
      </c>
      <c r="J187" s="46" t="str">
        <f t="shared" si="1"/>
        <v>Do Not Buy Today</v>
      </c>
    </row>
    <row r="188">
      <c r="A188" s="58" t="s">
        <v>292</v>
      </c>
      <c r="B188" s="59">
        <f>IFERROR(__xludf.DUMMYFUNCTION("GOOGLEFINANCE(A188,""price"")"),3792.0)</f>
        <v>3792</v>
      </c>
      <c r="C188" s="60">
        <f>IFERROR(__xludf.DUMMYFUNCTION("GOOGLEFINANCE(A188,""closeyest"")"),3677.2)</f>
        <v>3677.2</v>
      </c>
      <c r="D188" s="61">
        <f>IFERROR(__xludf.DUMMYFUNCTION("MIN(index(GOOGLEFINANCE(A188,""ALL"",TODAY()-180,TODAY()),0,5))*1.2"),3418.3199999999997)</f>
        <v>3418.32</v>
      </c>
      <c r="E188" s="62">
        <f>IFERROR(__xludf.DUMMYFUNCTION("AVERAGE(QUERY(SORT(GOOGLEFINANCE(A188,""price"",TODAY()-320,TODAY()),1,0),""select Col2 limit 100""))"),3300.292999999999)</f>
        <v>3300.293</v>
      </c>
      <c r="F188" s="44">
        <f>IFERROR(__xludf.DUMMYFUNCTION("GOOGLEFINANCE(A188,""high52"")"),3930.0)</f>
        <v>3930</v>
      </c>
      <c r="G188" s="45">
        <f>IFERROR(__xludf.DUMMYFUNCTION("to_date(index(sort(GOOGLEFINANCE(A188, ""high"", today()-52*7, today(), ""DAILY""),2,0),2,1))"),46146.64583333333)</f>
        <v>46146.64583</v>
      </c>
      <c r="H188" s="44">
        <f>IFERROR(__xludf.DUMMYFUNCTION("GOOGLEFINANCE(A188,""low52"")"),2826.0)</f>
        <v>2826</v>
      </c>
      <c r="I188" s="45">
        <f>IFERROR(__xludf.DUMMYFUNCTION("to_date(index(sort(GOOGLEFINANCE(A188, ""low"", today()-52*7, today(), ""DAILY""),2,1),1,1))"),46043.64583333333)</f>
        <v>46043.64583</v>
      </c>
      <c r="J188" s="46" t="str">
        <f t="shared" si="1"/>
        <v>Do Not Buy Today</v>
      </c>
    </row>
    <row r="189">
      <c r="A189" s="58" t="s">
        <v>293</v>
      </c>
      <c r="B189" s="59">
        <f>IFERROR(__xludf.DUMMYFUNCTION("GOOGLEFINANCE(A189,""price"")"),104.98)</f>
        <v>104.98</v>
      </c>
      <c r="C189" s="60">
        <f>IFERROR(__xludf.DUMMYFUNCTION("GOOGLEFINANCE(A189,""closeyest"")"),103.04)</f>
        <v>103.04</v>
      </c>
      <c r="D189" s="61">
        <f>IFERROR(__xludf.DUMMYFUNCTION("MIN(index(GOOGLEFINANCE(A189,""ALL"",TODAY()-180,TODAY()),0,5))*1.2"),102.21600000000001)</f>
        <v>102.216</v>
      </c>
      <c r="E189" s="62">
        <f>IFERROR(__xludf.DUMMYFUNCTION("AVERAGE(QUERY(SORT(GOOGLEFINANCE(A189,""price"",TODAY()-320,TODAY()),1,0),""select Col2 limit 100""))"),97.05950000000001)</f>
        <v>97.0595</v>
      </c>
      <c r="F189" s="44">
        <f>IFERROR(__xludf.DUMMYFUNCTION("GOOGLEFINANCE(A189,""high52"")"),119.95)</f>
        <v>119.95</v>
      </c>
      <c r="G189" s="45">
        <f>IFERROR(__xludf.DUMMYFUNCTION("to_date(index(sort(GOOGLEFINANCE(A189, ""high"", today()-52*7, today(), ""DAILY""),2,0),2,1))"),46139.64583333333)</f>
        <v>46139.64583</v>
      </c>
      <c r="H189" s="44">
        <f>IFERROR(__xludf.DUMMYFUNCTION("GOOGLEFINANCE(A189,""low52"")"),84.0)</f>
        <v>84</v>
      </c>
      <c r="I189" s="45">
        <f>IFERROR(__xludf.DUMMYFUNCTION("to_date(index(sort(GOOGLEFINANCE(A189, ""low"", today()-52*7, today(), ""DAILY""),2,1),1,1))"),46083.64583333333)</f>
        <v>46083.64583</v>
      </c>
      <c r="J189" s="46" t="str">
        <f t="shared" si="1"/>
        <v>Do Not Buy Today</v>
      </c>
    </row>
    <row r="190">
      <c r="A190" s="58" t="s">
        <v>294</v>
      </c>
      <c r="B190" s="59">
        <f>IFERROR(__xludf.DUMMYFUNCTION("GOOGLEFINANCE(A190,""price"")"),4466.2)</f>
        <v>4466.2</v>
      </c>
      <c r="C190" s="60">
        <f>IFERROR(__xludf.DUMMYFUNCTION("GOOGLEFINANCE(A190,""closeyest"")"),4452.1)</f>
        <v>4452.1</v>
      </c>
      <c r="D190" s="61">
        <f>IFERROR(__xludf.DUMMYFUNCTION("MIN(index(GOOGLEFINANCE(A190,""ALL"",TODAY()-180,TODAY()),0,5))*1.2"),4464.719999999999)</f>
        <v>4464.72</v>
      </c>
      <c r="E190" s="62">
        <f>IFERROR(__xludf.DUMMYFUNCTION("AVERAGE(QUERY(SORT(GOOGLEFINANCE(A190,""price"",TODAY()-320,TODAY()),1,0),""select Col2 limit 100""))"),4175.216)</f>
        <v>4175.216</v>
      </c>
      <c r="F190" s="44">
        <f>IFERROR(__xludf.DUMMYFUNCTION("GOOGLEFINANCE(A190,""high52"")"),4712.9)</f>
        <v>4712.9</v>
      </c>
      <c r="G190" s="45">
        <f>IFERROR(__xludf.DUMMYFUNCTION("to_date(index(sort(GOOGLEFINANCE(A190, ""high"", today()-52*7, today(), ""DAILY""),2,0),2,1))"),46167.64583333333)</f>
        <v>46167.64583</v>
      </c>
      <c r="H190" s="44">
        <f>IFERROR(__xludf.DUMMYFUNCTION("GOOGLEFINANCE(A190,""low52"")"),3102.0)</f>
        <v>3102</v>
      </c>
      <c r="I190" s="45">
        <f>IFERROR(__xludf.DUMMYFUNCTION("to_date(index(sort(GOOGLEFINANCE(A190, ""low"", today()-52*7, today(), ""DAILY""),2,1),1,1))"),45810.64583333333)</f>
        <v>45810.64583</v>
      </c>
      <c r="J190" s="46" t="str">
        <f t="shared" si="1"/>
        <v>Do Not Buy Today</v>
      </c>
    </row>
    <row r="191">
      <c r="A191" s="58" t="s">
        <v>295</v>
      </c>
      <c r="B191" s="59">
        <f>IFERROR(__xludf.DUMMYFUNCTION("GOOGLEFINANCE(A191,""price"")"),898.0)</f>
        <v>898</v>
      </c>
      <c r="C191" s="60">
        <f>IFERROR(__xludf.DUMMYFUNCTION("GOOGLEFINANCE(A191,""closeyest"")"),870.55)</f>
        <v>870.55</v>
      </c>
      <c r="D191" s="61">
        <f>IFERROR(__xludf.DUMMYFUNCTION("MIN(index(GOOGLEFINANCE(A191,""ALL"",TODAY()-180,TODAY()),0,5))*1.2"),753.84)</f>
        <v>753.84</v>
      </c>
      <c r="E191" s="62">
        <f>IFERROR(__xludf.DUMMYFUNCTION("AVERAGE(QUERY(SORT(GOOGLEFINANCE(A191,""price"",TODAY()-320,TODAY()),1,0),""select Col2 limit 100""))"),780.0765000000001)</f>
        <v>780.0765</v>
      </c>
      <c r="F191" s="44">
        <f>IFERROR(__xludf.DUMMYFUNCTION("GOOGLEFINANCE(A191,""high52"")"),1097.1)</f>
        <v>1097.1</v>
      </c>
      <c r="G191" s="45">
        <f>IFERROR(__xludf.DUMMYFUNCTION("to_date(index(sort(GOOGLEFINANCE(A191, ""high"", today()-52*7, today(), ""DAILY""),2,0),2,1))"),45958.64583333333)</f>
        <v>45958.64583</v>
      </c>
      <c r="H191" s="44">
        <f>IFERROR(__xludf.DUMMYFUNCTION("GOOGLEFINANCE(A191,""low52"")"),614.9)</f>
        <v>614.9</v>
      </c>
      <c r="I191" s="45">
        <f>IFERROR(__xludf.DUMMYFUNCTION("to_date(index(sort(GOOGLEFINANCE(A191, ""low"", today()-52*7, today(), ""DAILY""),2,1),1,1))"),46104.64583333333)</f>
        <v>46104.64583</v>
      </c>
      <c r="J191" s="46" t="str">
        <f t="shared" si="1"/>
        <v>Do Not Buy Today</v>
      </c>
    </row>
    <row r="192">
      <c r="A192" s="58" t="s">
        <v>296</v>
      </c>
      <c r="B192" s="59">
        <f>IFERROR(__xludf.DUMMYFUNCTION("GOOGLEFINANCE(A192,""price"")"),4442.1)</f>
        <v>4442.1</v>
      </c>
      <c r="C192" s="60">
        <f>IFERROR(__xludf.DUMMYFUNCTION("GOOGLEFINANCE(A192,""closeyest"")"),4427.7)</f>
        <v>4427.7</v>
      </c>
      <c r="D192" s="61">
        <f>IFERROR(__xludf.DUMMYFUNCTION("MIN(index(GOOGLEFINANCE(A192,""ALL"",TODAY()-180,TODAY()),0,5))*1.2"),4184.639999999999)</f>
        <v>4184.64</v>
      </c>
      <c r="E192" s="62">
        <f>IFERROR(__xludf.DUMMYFUNCTION("AVERAGE(QUERY(SORT(GOOGLEFINANCE(A192,""price"",TODAY()-320,TODAY()),1,0),""select Col2 limit 100""))"),4226.416000000001)</f>
        <v>4226.416</v>
      </c>
      <c r="F192" s="44">
        <f>IFERROR(__xludf.DUMMYFUNCTION("GOOGLEFINANCE(A192,""high52"")"),5147.0)</f>
        <v>5147</v>
      </c>
      <c r="G192" s="45">
        <f>IFERROR(__xludf.DUMMYFUNCTION("to_date(index(sort(GOOGLEFINANCE(A192, ""high"", today()-52*7, today(), ""DAILY""),2,0),2,1))"),45818.64583333333)</f>
        <v>45818.64583</v>
      </c>
      <c r="H192" s="44">
        <f>IFERROR(__xludf.DUMMYFUNCTION("GOOGLEFINANCE(A192,""low52"")"),3479.1)</f>
        <v>3479.1</v>
      </c>
      <c r="I192" s="45">
        <f>IFERROR(__xludf.DUMMYFUNCTION("to_date(index(sort(GOOGLEFINANCE(A192, ""low"", today()-52*7, today(), ""DAILY""),2,1),1,1))"),46111.64583333333)</f>
        <v>46111.64583</v>
      </c>
      <c r="J192" s="46" t="str">
        <f t="shared" si="1"/>
        <v>Do Not Buy Today</v>
      </c>
    </row>
    <row r="193">
      <c r="A193" s="58" t="s">
        <v>297</v>
      </c>
      <c r="B193" s="59">
        <f>IFERROR(__xludf.DUMMYFUNCTION("GOOGLEFINANCE(A193,""price"")"),429.9)</f>
        <v>429.9</v>
      </c>
      <c r="C193" s="60">
        <f>IFERROR(__xludf.DUMMYFUNCTION("GOOGLEFINANCE(A193,""closeyest"")"),430.05)</f>
        <v>430.05</v>
      </c>
      <c r="D193" s="61">
        <f>IFERROR(__xludf.DUMMYFUNCTION("MIN(index(GOOGLEFINANCE(A193,""ALL"",TODAY()-180,TODAY()),0,5))*1.2"),495.78)</f>
        <v>495.78</v>
      </c>
      <c r="E193" s="62">
        <f>IFERROR(__xludf.DUMMYFUNCTION("AVERAGE(QUERY(SORT(GOOGLEFINANCE(A193,""price"",TODAY()-320,TODAY()),1,0),""select Col2 limit 100""))"),491.8970000000001)</f>
        <v>491.897</v>
      </c>
      <c r="F193" s="44">
        <f>IFERROR(__xludf.DUMMYFUNCTION("GOOGLEFINANCE(A193,""high52"")"),718.95)</f>
        <v>718.95</v>
      </c>
      <c r="G193" s="45">
        <f>IFERROR(__xludf.DUMMYFUNCTION("to_date(index(sort(GOOGLEFINANCE(A193, ""high"", today()-52*7, today(), ""DAILY""),2,0),2,1))"),45839.64583333333)</f>
        <v>45839.64583</v>
      </c>
      <c r="H193" s="44">
        <f>IFERROR(__xludf.DUMMYFUNCTION("GOOGLEFINANCE(A193,""low52"")"),408.8)</f>
        <v>408.8</v>
      </c>
      <c r="I193" s="45">
        <f>IFERROR(__xludf.DUMMYFUNCTION("to_date(index(sort(GOOGLEFINANCE(A193, ""low"", today()-52*7, today(), ""DAILY""),2,1),1,1))"),46129.64583333333)</f>
        <v>46129.64583</v>
      </c>
      <c r="J193" s="46" t="str">
        <f t="shared" si="1"/>
        <v>Do Not Buy Today</v>
      </c>
    </row>
    <row r="194">
      <c r="A194" s="58" t="s">
        <v>298</v>
      </c>
      <c r="B194" s="59">
        <f>IFERROR(__xludf.DUMMYFUNCTION("GOOGLEFINANCE(A194,""price"")"),1544.9)</f>
        <v>1544.9</v>
      </c>
      <c r="C194" s="60">
        <f>IFERROR(__xludf.DUMMYFUNCTION("GOOGLEFINANCE(A194,""closeyest"")"),1558.0)</f>
        <v>1558</v>
      </c>
      <c r="D194" s="61">
        <f>IFERROR(__xludf.DUMMYFUNCTION("MIN(index(GOOGLEFINANCE(A194,""ALL"",TODAY()-180,TODAY()),0,5))*1.2"),1757.64)</f>
        <v>1757.64</v>
      </c>
      <c r="E194" s="62">
        <f>IFERROR(__xludf.DUMMYFUNCTION("AVERAGE(QUERY(SORT(GOOGLEFINANCE(A194,""price"",TODAY()-320,TODAY()),1,0),""select Col2 limit 100""))"),1601.9899999999998)</f>
        <v>1601.99</v>
      </c>
      <c r="F194" s="44">
        <f>IFERROR(__xludf.DUMMYFUNCTION("GOOGLEFINANCE(A194,""high52"")"),2052.9)</f>
        <v>2052.9</v>
      </c>
      <c r="G194" s="45">
        <f>IFERROR(__xludf.DUMMYFUNCTION("to_date(index(sort(GOOGLEFINANCE(A194, ""high"", today()-52*7, today(), ""DAILY""),2,0),2,1))"),45839.64583333333)</f>
        <v>45839.64583</v>
      </c>
      <c r="H194" s="44">
        <f>IFERROR(__xludf.DUMMYFUNCTION("GOOGLEFINANCE(A194,""low52"")"),1439.3)</f>
        <v>1439.3</v>
      </c>
      <c r="I194" s="45">
        <f>IFERROR(__xludf.DUMMYFUNCTION("to_date(index(sort(GOOGLEFINANCE(A194, ""low"", today()-52*7, today(), ""DAILY""),2,1),1,1))"),46114.64583333333)</f>
        <v>46114.64583</v>
      </c>
      <c r="J194" s="46" t="str">
        <f t="shared" si="1"/>
        <v>Do Not Buy Today</v>
      </c>
    </row>
    <row r="195">
      <c r="A195" s="58" t="s">
        <v>299</v>
      </c>
      <c r="B195" s="59">
        <f>IFERROR(__xludf.DUMMYFUNCTION("GOOGLEFINANCE(A195,""price"")"),1832.2)</f>
        <v>1832.2</v>
      </c>
      <c r="C195" s="60">
        <f>IFERROR(__xludf.DUMMYFUNCTION("GOOGLEFINANCE(A195,""closeyest"")"),1840.8)</f>
        <v>1840.8</v>
      </c>
      <c r="D195" s="61">
        <f>IFERROR(__xludf.DUMMYFUNCTION("MIN(index(GOOGLEFINANCE(A195,""ALL"",TODAY()-180,TODAY()),0,5))*1.2"),1907.1599999999999)</f>
        <v>1907.16</v>
      </c>
      <c r="E195" s="62">
        <f>IFERROR(__xludf.DUMMYFUNCTION("AVERAGE(QUERY(SORT(GOOGLEFINANCE(A195,""price"",TODAY()-320,TODAY()),1,0),""select Col2 limit 100""))"),1742.763)</f>
        <v>1742.763</v>
      </c>
      <c r="F195" s="44">
        <f>IFERROR(__xludf.DUMMYFUNCTION("GOOGLEFINANCE(A195,""high52"")"),1916.6)</f>
        <v>1916.6</v>
      </c>
      <c r="G195" s="45">
        <f>IFERROR(__xludf.DUMMYFUNCTION("to_date(index(sort(GOOGLEFINANCE(A195, ""high"", today()-52*7, today(), ""DAILY""),2,0),2,1))"),46161.64583333333)</f>
        <v>46161.64583</v>
      </c>
      <c r="H195" s="44">
        <f>IFERROR(__xludf.DUMMYFUNCTION("GOOGLEFINANCE(A195,""low52"")"),1548.0)</f>
        <v>1548</v>
      </c>
      <c r="I195" s="45">
        <f>IFERROR(__xludf.DUMMYFUNCTION("to_date(index(sort(GOOGLEFINANCE(A195, ""low"", today()-52*7, today(), ""DAILY""),2,1),1,1))"),45926.64583333333)</f>
        <v>45926.64583</v>
      </c>
      <c r="J195" s="46" t="str">
        <f t="shared" si="1"/>
        <v>Do Not Buy Today</v>
      </c>
    </row>
    <row r="196">
      <c r="A196" s="58" t="s">
        <v>300</v>
      </c>
      <c r="B196" s="59">
        <f>IFERROR(__xludf.DUMMYFUNCTION("GOOGLEFINANCE(A196,""price"")"),255.5)</f>
        <v>255.5</v>
      </c>
      <c r="C196" s="60">
        <f>IFERROR(__xludf.DUMMYFUNCTION("GOOGLEFINANCE(A196,""closeyest"")"),259.75)</f>
        <v>259.75</v>
      </c>
      <c r="D196" s="61">
        <f>IFERROR(__xludf.DUMMYFUNCTION("MIN(index(GOOGLEFINANCE(A196,""ALL"",TODAY()-180,TODAY()),0,5))*1.2"),299.58)</f>
        <v>299.58</v>
      </c>
      <c r="E196" s="62">
        <f>IFERROR(__xludf.DUMMYFUNCTION("AVERAGE(QUERY(SORT(GOOGLEFINANCE(A196,""price"",TODAY()-320,TODAY()),1,0),""select Col2 limit 100""))"),303.324)</f>
        <v>303.324</v>
      </c>
      <c r="F196" s="44">
        <f>IFERROR(__xludf.DUMMYFUNCTION("GOOGLEFINANCE(A196,""high52"")"),442.8)</f>
        <v>442.8</v>
      </c>
      <c r="G196" s="45">
        <f>IFERROR(__xludf.DUMMYFUNCTION("to_date(index(sort(GOOGLEFINANCE(A196, ""high"", today()-52*7, today(), ""DAILY""),2,0),2,1))"),45817.64583333333)</f>
        <v>45817.64583</v>
      </c>
      <c r="H196" s="44">
        <f>IFERROR(__xludf.DUMMYFUNCTION("GOOGLEFINANCE(A196,""low52"")"),248.0)</f>
        <v>248</v>
      </c>
      <c r="I196" s="45">
        <f>IFERROR(__xludf.DUMMYFUNCTION("to_date(index(sort(GOOGLEFINANCE(A196, ""low"", today()-52*7, today(), ""DAILY""),2,1),1,1))"),46111.64583333333)</f>
        <v>46111.64583</v>
      </c>
      <c r="J196" s="46" t="str">
        <f t="shared" si="1"/>
        <v>Do Not Buy Today</v>
      </c>
    </row>
    <row r="197">
      <c r="A197" s="58" t="s">
        <v>301</v>
      </c>
      <c r="B197" s="59">
        <f>IFERROR(__xludf.DUMMYFUNCTION("GOOGLEFINANCE(A197,""price"")"),80.57)</f>
        <v>80.57</v>
      </c>
      <c r="C197" s="60">
        <f>IFERROR(__xludf.DUMMYFUNCTION("GOOGLEFINANCE(A197,""closeyest"")"),78.44)</f>
        <v>78.44</v>
      </c>
      <c r="D197" s="61">
        <f>IFERROR(__xludf.DUMMYFUNCTION("MIN(index(GOOGLEFINANCE(A197,""ALL"",TODAY()-180,TODAY()),0,5))*1.2"),86.676)</f>
        <v>86.676</v>
      </c>
      <c r="E197" s="62">
        <f>IFERROR(__xludf.DUMMYFUNCTION("AVERAGE(QUERY(SORT(GOOGLEFINANCE(A197,""price"",TODAY()-320,TODAY()),1,0),""select Col2 limit 100""))"),78.31269999999999)</f>
        <v>78.3127</v>
      </c>
      <c r="F197" s="44">
        <f>IFERROR(__xludf.DUMMYFUNCTION("GOOGLEFINANCE(A197,""high52"")"),92.34)</f>
        <v>92.34</v>
      </c>
      <c r="G197" s="45">
        <f>IFERROR(__xludf.DUMMYFUNCTION("to_date(index(sort(GOOGLEFINANCE(A197, ""high"", today()-52*7, today(), ""DAILY""),2,0),2,1))"),45817.64583333333)</f>
        <v>45817.64583</v>
      </c>
      <c r="H197" s="44">
        <f>IFERROR(__xludf.DUMMYFUNCTION("GOOGLEFINANCE(A197,""low52"")"),71.62)</f>
        <v>71.62</v>
      </c>
      <c r="I197" s="45">
        <f>IFERROR(__xludf.DUMMYFUNCTION("to_date(index(sort(GOOGLEFINANCE(A197, ""low"", today()-52*7, today(), ""DAILY""),2,1),1,1))"),46085.64583333333)</f>
        <v>46085.64583</v>
      </c>
      <c r="J197" s="46" t="str">
        <f t="shared" si="1"/>
        <v>Do Not Buy Today</v>
      </c>
    </row>
    <row r="198">
      <c r="A198" s="58" t="s">
        <v>302</v>
      </c>
      <c r="B198" s="59">
        <f>IFERROR(__xludf.DUMMYFUNCTION("GOOGLEFINANCE(A198,""price"")"),473.65)</f>
        <v>473.65</v>
      </c>
      <c r="C198" s="60">
        <f>IFERROR(__xludf.DUMMYFUNCTION("GOOGLEFINANCE(A198,""closeyest"")"),475.9)</f>
        <v>475.9</v>
      </c>
      <c r="D198" s="61">
        <f>IFERROR(__xludf.DUMMYFUNCTION("MIN(index(GOOGLEFINANCE(A198,""ALL"",TODAY()-180,TODAY()),0,5))*1.2"),508.5)</f>
        <v>508.5</v>
      </c>
      <c r="E198" s="62">
        <f>IFERROR(__xludf.DUMMYFUNCTION("AVERAGE(QUERY(SORT(GOOGLEFINANCE(A198,""price"",TODAY()-320,TODAY()),1,0),""select Col2 limit 100""))"),496.5335)</f>
        <v>496.5335</v>
      </c>
      <c r="F198" s="44">
        <f>IFERROR(__xludf.DUMMYFUNCTION("GOOGLEFINANCE(A198,""high52"")"),652.04)</f>
        <v>652.04</v>
      </c>
      <c r="G198" s="45">
        <f>IFERROR(__xludf.DUMMYFUNCTION("to_date(index(sort(GOOGLEFINANCE(A198, ""high"", today()-52*7, today(), ""DAILY""),2,0),2,1))"),45813.64583333333)</f>
        <v>45813.64583</v>
      </c>
      <c r="H198" s="44">
        <f>IFERROR(__xludf.DUMMYFUNCTION("GOOGLEFINANCE(A198,""low52"")"),421.45)</f>
        <v>421.45</v>
      </c>
      <c r="I198" s="45">
        <f>IFERROR(__xludf.DUMMYFUNCTION("to_date(index(sort(GOOGLEFINANCE(A198, ""low"", today()-52*7, today(), ""DAILY""),2,1),1,1))"),46104.64583333333)</f>
        <v>46104.64583</v>
      </c>
      <c r="J198" s="46" t="str">
        <f t="shared" si="1"/>
        <v>Do Not Buy Today</v>
      </c>
    </row>
    <row r="199">
      <c r="A199" s="58" t="s">
        <v>303</v>
      </c>
      <c r="B199" s="59">
        <f>IFERROR(__xludf.DUMMYFUNCTION("GOOGLEFINANCE(A199,""price"")"),97.08)</f>
        <v>97.08</v>
      </c>
      <c r="C199" s="60">
        <f>IFERROR(__xludf.DUMMYFUNCTION("GOOGLEFINANCE(A199,""closeyest"")"),96.23)</f>
        <v>96.23</v>
      </c>
      <c r="D199" s="61">
        <f>IFERROR(__xludf.DUMMYFUNCTION("MIN(index(GOOGLEFINANCE(A199,""ALL"",TODAY()-180,TODAY()),0,5))*1.2"),101.7)</f>
        <v>101.7</v>
      </c>
      <c r="E199" s="62">
        <f>IFERROR(__xludf.DUMMYFUNCTION("AVERAGE(QUERY(SORT(GOOGLEFINANCE(A199,""price"",TODAY()-320,TODAY()),1,0),""select Col2 limit 100""))"),96.53330000000005)</f>
        <v>96.5333</v>
      </c>
      <c r="F199" s="44">
        <f>IFERROR(__xludf.DUMMYFUNCTION("GOOGLEFINANCE(A199,""high52"")"),110.36)</f>
        <v>110.36</v>
      </c>
      <c r="G199" s="45">
        <f>IFERROR(__xludf.DUMMYFUNCTION("to_date(index(sort(GOOGLEFINANCE(A199, ""high"", today()-52*7, today(), ""DAILY""),2,0),2,1))"),45993.64583333333)</f>
        <v>45993.64583</v>
      </c>
      <c r="H199" s="44">
        <f>IFERROR(__xludf.DUMMYFUNCTION("GOOGLEFINANCE(A199,""low52"")"),79.92)</f>
        <v>79.92</v>
      </c>
      <c r="I199" s="45">
        <f>IFERROR(__xludf.DUMMYFUNCTION("to_date(index(sort(GOOGLEFINANCE(A199, ""low"", today()-52*7, today(), ""DAILY""),2,1),1,1))"),45821.64583333333)</f>
        <v>45821.64583</v>
      </c>
      <c r="J199" s="46" t="str">
        <f t="shared" si="1"/>
        <v>Do Not Buy Today</v>
      </c>
    </row>
    <row r="200">
      <c r="A200" s="58" t="s">
        <v>304</v>
      </c>
      <c r="B200" s="59">
        <f>IFERROR(__xludf.DUMMYFUNCTION("GOOGLEFINANCE(A200,""price"")"),1032.0)</f>
        <v>1032</v>
      </c>
      <c r="C200" s="60">
        <f>IFERROR(__xludf.DUMMYFUNCTION("GOOGLEFINANCE(A200,""closeyest"")"),1016.8)</f>
        <v>1016.8</v>
      </c>
      <c r="D200" s="61">
        <f>IFERROR(__xludf.DUMMYFUNCTION("MIN(index(GOOGLEFINANCE(A200,""ALL"",TODAY()-180,TODAY()),0,5))*1.2"),819.72)</f>
        <v>819.72</v>
      </c>
      <c r="E200" s="62">
        <f>IFERROR(__xludf.DUMMYFUNCTION("AVERAGE(QUERY(SORT(GOOGLEFINANCE(A200,""price"",TODAY()-320,TODAY()),1,0),""select Col2 limit 100""))"),857.9099999999997)</f>
        <v>857.91</v>
      </c>
      <c r="F200" s="44">
        <f>IFERROR(__xludf.DUMMYFUNCTION("GOOGLEFINANCE(A200,""high52"")"),1136.4)</f>
        <v>1136.4</v>
      </c>
      <c r="G200" s="45">
        <f>IFERROR(__xludf.DUMMYFUNCTION("to_date(index(sort(GOOGLEFINANCE(A200, ""high"", today()-52*7, today(), ""DAILY""),2,0),2,1))"),45853.64583333333)</f>
        <v>45853.64583</v>
      </c>
      <c r="H200" s="44">
        <f>IFERROR(__xludf.DUMMYFUNCTION("GOOGLEFINANCE(A200,""low52"")"),660.0)</f>
        <v>660</v>
      </c>
      <c r="I200" s="45">
        <f>IFERROR(__xludf.DUMMYFUNCTION("to_date(index(sort(GOOGLEFINANCE(A200, ""low"", today()-52*7, today(), ""DAILY""),2,1),1,1))"),46078.64583333333)</f>
        <v>46078.64583</v>
      </c>
      <c r="J200" s="46" t="str">
        <f t="shared" si="1"/>
        <v>Do Not Buy Today</v>
      </c>
    </row>
    <row r="201">
      <c r="A201" s="58" t="s">
        <v>305</v>
      </c>
      <c r="B201" s="59">
        <f>IFERROR(__xludf.DUMMYFUNCTION("GOOGLEFINANCE(A201,""price"")"),3112.5)</f>
        <v>3112.5</v>
      </c>
      <c r="C201" s="60">
        <f>IFERROR(__xludf.DUMMYFUNCTION("GOOGLEFINANCE(A201,""closeyest"")"),3088.1)</f>
        <v>3088.1</v>
      </c>
      <c r="D201" s="61">
        <f>IFERROR(__xludf.DUMMYFUNCTION("MIN(index(GOOGLEFINANCE(A201,""ALL"",TODAY()-180,TODAY()),0,5))*1.2"),2902.7999999999997)</f>
        <v>2902.8</v>
      </c>
      <c r="E201" s="62">
        <f>IFERROR(__xludf.DUMMYFUNCTION("AVERAGE(QUERY(SORT(GOOGLEFINANCE(A201,""price"",TODAY()-320,TODAY()),1,0),""select Col2 limit 100""))"),2983.522000000001)</f>
        <v>2983.522</v>
      </c>
      <c r="F201" s="44">
        <f>IFERROR(__xludf.DUMMYFUNCTION("GOOGLEFINANCE(A201,""high52"")"),3865.0)</f>
        <v>3865</v>
      </c>
      <c r="G201" s="45">
        <f>IFERROR(__xludf.DUMMYFUNCTION("to_date(index(sort(GOOGLEFINANCE(A201, ""high"", today()-52*7, today(), ""DAILY""),2,0),2,1))"),45912.64583333333)</f>
        <v>45912.64583</v>
      </c>
      <c r="H201" s="44">
        <f>IFERROR(__xludf.DUMMYFUNCTION("GOOGLEFINANCE(A201,""low52"")"),2403.0)</f>
        <v>2403</v>
      </c>
      <c r="I201" s="45">
        <f>IFERROR(__xludf.DUMMYFUNCTION("to_date(index(sort(GOOGLEFINANCE(A201, ""low"", today()-52*7, today(), ""DAILY""),2,1),1,1))"),46043.64583333333)</f>
        <v>46043.64583</v>
      </c>
      <c r="J201" s="46" t="str">
        <f t="shared" si="1"/>
        <v>Do Not Buy Today</v>
      </c>
    </row>
  </sheetData>
  <mergeCells count="8">
    <mergeCell ref="K1:L1"/>
    <mergeCell ref="M1:N1"/>
    <mergeCell ref="K2:N5"/>
    <mergeCell ref="K6:N6"/>
    <mergeCell ref="K7:N9"/>
    <mergeCell ref="K10:N10"/>
    <mergeCell ref="K11:N13"/>
    <mergeCell ref="K154:N156"/>
  </mergeCells>
  <conditionalFormatting sqref="J1:J201">
    <cfRule type="cellIs" dxfId="0" priority="1" operator="equal">
      <formula>"Buy Today"</formula>
    </cfRule>
  </conditionalFormatting>
  <conditionalFormatting sqref="J1:J1000">
    <cfRule type="cellIs" dxfId="1" priority="2" operator="equal">
      <formula>"Buy Today"</formula>
    </cfRule>
  </conditionalFormatting>
  <hyperlinks>
    <hyperlink r:id="rId1" location="gid=0" ref="K7"/>
    <hyperlink r:id="rId2" ref="K11"/>
    <hyperlink r:id="rId3" ref="K15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5.63"/>
    <col customWidth="1" min="10" max="10" width="15.75"/>
  </cols>
  <sheetData>
    <row r="1">
      <c r="A1" s="71" t="s">
        <v>101</v>
      </c>
      <c r="B1" s="72" t="s">
        <v>21</v>
      </c>
      <c r="C1" s="72" t="s">
        <v>22</v>
      </c>
      <c r="D1" s="57" t="s">
        <v>23</v>
      </c>
      <c r="E1" s="72" t="s">
        <v>24</v>
      </c>
      <c r="F1" s="35" t="s">
        <v>25</v>
      </c>
      <c r="G1" s="36" t="s">
        <v>26</v>
      </c>
      <c r="H1" s="35" t="s">
        <v>27</v>
      </c>
      <c r="I1" s="35" t="s">
        <v>28</v>
      </c>
      <c r="J1" s="34" t="s">
        <v>29</v>
      </c>
      <c r="K1" s="48" t="s">
        <v>1</v>
      </c>
      <c r="M1" s="3">
        <f>IFERROR(__xludf.DUMMYFUNCTION("GOOGLEFINANCE(A2,""tradetime"")"),46169.466516203705)</f>
        <v>46169.46652</v>
      </c>
    </row>
    <row r="2">
      <c r="A2" s="73" t="s">
        <v>109</v>
      </c>
      <c r="B2" s="59">
        <f>IFERROR(__xludf.DUMMYFUNCTION("GOOGLEFINANCE(A2,""price"")"),254.48)</f>
        <v>254.48</v>
      </c>
      <c r="C2" s="60">
        <f>IFERROR(__xludf.DUMMYFUNCTION("GOOGLEFINANCE(A2,""closeyest"")"),250.17)</f>
        <v>250.17</v>
      </c>
      <c r="D2" s="61">
        <f>IFERROR(__xludf.DUMMYFUNCTION("MIN(index(GOOGLEFINANCE(A2,""ALL"",TODAY()-180,TODAY()),0,5))*1.2"),258.816)</f>
        <v>258.816</v>
      </c>
      <c r="E2" s="62">
        <f>IFERROR(__xludf.DUMMYFUNCTION("AVERAGE(QUERY(SORT(GOOGLEFINANCE(A2,""price"",TODAY()-320,TODAY()),1,0),""select Col2 limit 100""))"),258.65389999999985)</f>
        <v>258.6539</v>
      </c>
      <c r="F2" s="44">
        <f>IFERROR(__xludf.DUMMYFUNCTION("GOOGLEFINANCE(A2,""high52"")"),368.45)</f>
        <v>368.45</v>
      </c>
      <c r="G2" s="45">
        <f>IFERROR(__xludf.DUMMYFUNCTION("to_date(index(sort(GOOGLEFINANCE(A2, ""high"", today()-52*7, today(), ""DAILY""),2,0),2,1))"),45946.64583333333)</f>
        <v>45946.64583</v>
      </c>
      <c r="H2" s="44">
        <f>IFERROR(__xludf.DUMMYFUNCTION("GOOGLEFINANCE(A2,""low52"")"),212.6)</f>
        <v>212.6</v>
      </c>
      <c r="I2" s="45">
        <f>IFERROR(__xludf.DUMMYFUNCTION("to_date(index(sort(GOOGLEFINANCE(A2, ""low"", today()-52*7, today(), ""DAILY""),2,1),1,1))"),46097.64583333333)</f>
        <v>46097.64583</v>
      </c>
      <c r="J2" s="46" t="str">
        <f t="shared" ref="J2:J51" si="1">if(AND(B2&gt;E2,B2&gt;D2,C2&lt;E2, I2&gt;G2),"Buy Today","Do Not Buy Today")</f>
        <v>Do Not Buy Today</v>
      </c>
      <c r="K2" s="74" t="s">
        <v>306</v>
      </c>
    </row>
    <row r="3">
      <c r="A3" s="73" t="s">
        <v>111</v>
      </c>
      <c r="B3" s="59">
        <f>IFERROR(__xludf.DUMMYFUNCTION("GOOGLEFINANCE(A3,""price"")"),614.7)</f>
        <v>614.7</v>
      </c>
      <c r="C3" s="60">
        <f>IFERROR(__xludf.DUMMYFUNCTION("GOOGLEFINANCE(A3,""closeyest"")"),618.85)</f>
        <v>618.85</v>
      </c>
      <c r="D3" s="61">
        <f>IFERROR(__xludf.DUMMYFUNCTION("MIN(index(GOOGLEFINANCE(A3,""ALL"",TODAY()-180,TODAY()),0,5))*1.2"),679.32)</f>
        <v>679.32</v>
      </c>
      <c r="E3" s="62">
        <f>IFERROR(__xludf.DUMMYFUNCTION("AVERAGE(QUERY(SORT(GOOGLEFINANCE(A3,""price"",TODAY()-320,TODAY()),1,0),""select Col2 limit 100""))"),669.1624999999999)</f>
        <v>669.1625</v>
      </c>
      <c r="F3" s="44">
        <f>IFERROR(__xludf.DUMMYFUNCTION("GOOGLEFINANCE(A3,""high52"")"),820.75)</f>
        <v>820.75</v>
      </c>
      <c r="G3" s="45">
        <f>IFERROR(__xludf.DUMMYFUNCTION("to_date(index(sort(GOOGLEFINANCE(A3, ""high"", today()-52*7, today(), ""DAILY""),2,0),2,1))"),45838.64583333333)</f>
        <v>45838.64583</v>
      </c>
      <c r="H3" s="44">
        <f>IFERROR(__xludf.DUMMYFUNCTION("GOOGLEFINANCE(A3,""low52"")"),555.1)</f>
        <v>555.1</v>
      </c>
      <c r="I3" s="45">
        <f>IFERROR(__xludf.DUMMYFUNCTION("to_date(index(sort(GOOGLEFINANCE(A3, ""low"", today()-52*7, today(), ""DAILY""),2,1),1,1))"),46114.64583333333)</f>
        <v>46114.64583</v>
      </c>
      <c r="J3" s="46" t="str">
        <f t="shared" si="1"/>
        <v>Do Not Buy Today</v>
      </c>
      <c r="K3" s="75" t="s">
        <v>307</v>
      </c>
    </row>
    <row r="4">
      <c r="A4" s="73" t="s">
        <v>114</v>
      </c>
      <c r="B4" s="59">
        <f>IFERROR(__xludf.DUMMYFUNCTION("GOOGLEFINANCE(A4,""price"")"),242.05)</f>
        <v>242.05</v>
      </c>
      <c r="C4" s="60">
        <f>IFERROR(__xludf.DUMMYFUNCTION("GOOGLEFINANCE(A4,""closeyest"")"),240.67)</f>
        <v>240.67</v>
      </c>
      <c r="D4" s="61">
        <f>IFERROR(__xludf.DUMMYFUNCTION("MIN(index(GOOGLEFINANCE(A4,""ALL"",TODAY()-180,TODAY()),0,5))*1.2"),268.91999999999996)</f>
        <v>268.92</v>
      </c>
      <c r="E4" s="62">
        <f>IFERROR(__xludf.DUMMYFUNCTION("AVERAGE(QUERY(SORT(GOOGLEFINANCE(A4,""price"",TODAY()-320,TODAY()),1,0),""select Col2 limit 100""))"),254.03530000000006)</f>
        <v>254.0353</v>
      </c>
      <c r="F4" s="44">
        <f>IFERROR(__xludf.DUMMYFUNCTION("GOOGLEFINANCE(A4,""high52"")"),338.6)</f>
        <v>338.6</v>
      </c>
      <c r="G4" s="45">
        <f>IFERROR(__xludf.DUMMYFUNCTION("to_date(index(sort(GOOGLEFINANCE(A4, ""high"", today()-52*7, today(), ""DAILY""),2,0),2,1))"),45874.64583333333)</f>
        <v>45874.64583</v>
      </c>
      <c r="H4" s="44">
        <f>IFERROR(__xludf.DUMMYFUNCTION("GOOGLEFINANCE(A4,""low52"")"),223.3)</f>
        <v>223.3</v>
      </c>
      <c r="I4" s="45">
        <f>IFERROR(__xludf.DUMMYFUNCTION("to_date(index(sort(GOOGLEFINANCE(A4, ""low"", today()-52*7, today(), ""DAILY""),2,1),1,1))"),46111.64583333333)</f>
        <v>46111.64583</v>
      </c>
      <c r="J4" s="46" t="str">
        <f t="shared" si="1"/>
        <v>Do Not Buy Today</v>
      </c>
    </row>
    <row r="5">
      <c r="A5" s="73" t="s">
        <v>116</v>
      </c>
      <c r="B5" s="59">
        <f>IFERROR(__xludf.DUMMYFUNCTION("GOOGLEFINANCE(A5,""price"")"),298.45)</f>
        <v>298.45</v>
      </c>
      <c r="C5" s="60">
        <f>IFERROR(__xludf.DUMMYFUNCTION("GOOGLEFINANCE(A5,""closeyest"")"),292.55)</f>
        <v>292.55</v>
      </c>
      <c r="D5" s="61">
        <f>IFERROR(__xludf.DUMMYFUNCTION("MIN(index(GOOGLEFINANCE(A5,""ALL"",TODAY()-180,TODAY()),0,5))*1.2"),304.86)</f>
        <v>304.86</v>
      </c>
      <c r="E5" s="62">
        <f>IFERROR(__xludf.DUMMYFUNCTION("AVERAGE(QUERY(SORT(GOOGLEFINANCE(A5,""price"",TODAY()-320,TODAY()),1,0),""select Col2 limit 100""))"),291.35249999999996)</f>
        <v>291.3525</v>
      </c>
      <c r="F5" s="44">
        <f>IFERROR(__xludf.DUMMYFUNCTION("GOOGLEFINANCE(A5,""high52"")"),324.95)</f>
        <v>324.95</v>
      </c>
      <c r="G5" s="45">
        <f>IFERROR(__xludf.DUMMYFUNCTION("to_date(index(sort(GOOGLEFINANCE(A5, ""high"", today()-52*7, today(), ""DAILY""),2,0),2,1))"),46139.64583333333)</f>
        <v>46139.64583</v>
      </c>
      <c r="H5" s="44">
        <f>IFERROR(__xludf.DUMMYFUNCTION("GOOGLEFINANCE(A5,""low52"")"),250.0)</f>
        <v>250</v>
      </c>
      <c r="I5" s="45">
        <f>IFERROR(__xludf.DUMMYFUNCTION("to_date(index(sort(GOOGLEFINANCE(A5, ""low"", today()-52*7, today(), ""DAILY""),2,1),1,1))"),46055.64583333333)</f>
        <v>46055.64583</v>
      </c>
      <c r="J5" s="46" t="str">
        <f t="shared" si="1"/>
        <v>Do Not Buy Today</v>
      </c>
    </row>
    <row r="6">
      <c r="A6" s="73" t="s">
        <v>118</v>
      </c>
      <c r="B6" s="59">
        <f>IFERROR(__xludf.DUMMYFUNCTION("GOOGLEFINANCE(A6,""price"")"),293.9)</f>
        <v>293.9</v>
      </c>
      <c r="C6" s="60">
        <f>IFERROR(__xludf.DUMMYFUNCTION("GOOGLEFINANCE(A6,""closeyest"")"),301.65)</f>
        <v>301.65</v>
      </c>
      <c r="D6" s="61">
        <f>IFERROR(__xludf.DUMMYFUNCTION("MIN(index(GOOGLEFINANCE(A6,""ALL"",TODAY()-180,TODAY()),0,5))*1.2"),345.23999999999995)</f>
        <v>345.24</v>
      </c>
      <c r="E6" s="62">
        <f>IFERROR(__xludf.DUMMYFUNCTION("AVERAGE(QUERY(SORT(GOOGLEFINANCE(A6,""price"",TODAY()-320,TODAY()),1,0),""select Col2 limit 100""))"),319.2215000000001)</f>
        <v>319.2215</v>
      </c>
      <c r="F6" s="44">
        <f>IFERROR(__xludf.DUMMYFUNCTION("GOOGLEFINANCE(A6,""high52"")"),444.2)</f>
        <v>444.2</v>
      </c>
      <c r="G6" s="45">
        <f>IFERROR(__xludf.DUMMYFUNCTION("to_date(index(sort(GOOGLEFINANCE(A6, ""high"", today()-52*7, today(), ""DAILY""),2,0),2,1))"),45818.64583333333)</f>
        <v>45818.64583</v>
      </c>
      <c r="H6" s="44">
        <f>IFERROR(__xludf.DUMMYFUNCTION("GOOGLEFINANCE(A6,""low52"")"),287.0)</f>
        <v>287</v>
      </c>
      <c r="I6" s="45">
        <f>IFERROR(__xludf.DUMMYFUNCTION("to_date(index(sort(GOOGLEFINANCE(A6, ""low"", today()-52*7, today(), ""DAILY""),2,1),1,1))"),46111.64583333333)</f>
        <v>46111.64583</v>
      </c>
      <c r="J6" s="46" t="str">
        <f t="shared" si="1"/>
        <v>Do Not Buy Today</v>
      </c>
    </row>
    <row r="7">
      <c r="A7" s="73" t="s">
        <v>119</v>
      </c>
      <c r="B7" s="59">
        <f>IFERROR(__xludf.DUMMYFUNCTION("GOOGLEFINANCE(A7,""price"")"),1878.2)</f>
        <v>1878.2</v>
      </c>
      <c r="C7" s="60">
        <f>IFERROR(__xludf.DUMMYFUNCTION("GOOGLEFINANCE(A7,""closeyest"")"),1883.2)</f>
        <v>1883.2</v>
      </c>
      <c r="D7" s="61">
        <f>IFERROR(__xludf.DUMMYFUNCTION("MIN(index(GOOGLEFINANCE(A7,""ALL"",TODAY()-180,TODAY()),0,5))*1.2"),2122.68)</f>
        <v>2122.68</v>
      </c>
      <c r="E7" s="62">
        <f>IFERROR(__xludf.DUMMYFUNCTION("AVERAGE(QUERY(SORT(GOOGLEFINANCE(A7,""price"",TODAY()-320,TODAY()),1,0),""select Col2 limit 100""))"),1953.5409999999997)</f>
        <v>1953.541</v>
      </c>
      <c r="F7" s="44">
        <f>IFERROR(__xludf.DUMMYFUNCTION("GOOGLEFINANCE(A7,""high52"")"),2132.0)</f>
        <v>2132</v>
      </c>
      <c r="G7" s="45">
        <f>IFERROR(__xludf.DUMMYFUNCTION("to_date(index(sort(GOOGLEFINANCE(A7, ""high"", today()-52*7, today(), ""DAILY""),2,0),2,1))"),46076.64583333333)</f>
        <v>46076.64583</v>
      </c>
      <c r="H7" s="44">
        <f>IFERROR(__xludf.DUMMYFUNCTION("GOOGLEFINANCE(A7,""low52"")"),1720.0)</f>
        <v>1720</v>
      </c>
      <c r="I7" s="45">
        <f>IFERROR(__xludf.DUMMYFUNCTION("to_date(index(sort(GOOGLEFINANCE(A7, ""low"", today()-52*7, today(), ""DAILY""),2,1),1,1))"),45821.64583333333)</f>
        <v>45821.64583</v>
      </c>
      <c r="J7" s="46" t="str">
        <f t="shared" si="1"/>
        <v>Do Not Buy Today</v>
      </c>
    </row>
    <row r="8">
      <c r="A8" s="73" t="s">
        <v>121</v>
      </c>
      <c r="B8" s="59">
        <f>IFERROR(__xludf.DUMMYFUNCTION("GOOGLEFINANCE(A8,""price"")"),1438.1)</f>
        <v>1438.1</v>
      </c>
      <c r="C8" s="60">
        <f>IFERROR(__xludf.DUMMYFUNCTION("GOOGLEFINANCE(A8,""closeyest"")"),1428.6)</f>
        <v>1428.6</v>
      </c>
      <c r="D8" s="61">
        <f>IFERROR(__xludf.DUMMYFUNCTION("MIN(index(GOOGLEFINANCE(A8,""ALL"",TODAY()-180,TODAY()),0,5))*1.2"),1400.1599999999999)</f>
        <v>1400.16</v>
      </c>
      <c r="E8" s="62">
        <f>IFERROR(__xludf.DUMMYFUNCTION("AVERAGE(QUERY(SORT(GOOGLEFINANCE(A8,""price"",TODAY()-320,TODAY()),1,0),""select Col2 limit 100""))"),1311.5970000000002)</f>
        <v>1311.597</v>
      </c>
      <c r="F8" s="44">
        <f>IFERROR(__xludf.DUMMYFUNCTION("GOOGLEFINANCE(A8,""high52"")"),1498.1)</f>
        <v>1498.1</v>
      </c>
      <c r="G8" s="45">
        <f>IFERROR(__xludf.DUMMYFUNCTION("to_date(index(sort(GOOGLEFINANCE(A8, ""high"", today()-52*7, today(), ""DAILY""),2,0),2,1))"),46153.64583333333)</f>
        <v>46153.64583</v>
      </c>
      <c r="H8" s="44">
        <f>IFERROR(__xludf.DUMMYFUNCTION("GOOGLEFINANCE(A8,""low52"")"),1084.7)</f>
        <v>1084.7</v>
      </c>
      <c r="I8" s="45">
        <f>IFERROR(__xludf.DUMMYFUNCTION("to_date(index(sort(GOOGLEFINANCE(A8, ""low"", today()-52*7, today(), ""DAILY""),2,1),1,1))"),45883.64583333333)</f>
        <v>45883.64583</v>
      </c>
      <c r="J8" s="46" t="str">
        <f t="shared" si="1"/>
        <v>Do Not Buy Today</v>
      </c>
    </row>
    <row r="9">
      <c r="A9" s="73" t="s">
        <v>124</v>
      </c>
      <c r="B9" s="59">
        <f>IFERROR(__xludf.DUMMYFUNCTION("GOOGLEFINANCE(A9,""price"")"),2985.1)</f>
        <v>2985.1</v>
      </c>
      <c r="C9" s="60">
        <f>IFERROR(__xludf.DUMMYFUNCTION("GOOGLEFINANCE(A9,""closeyest"")"),2969.3)</f>
        <v>2969.3</v>
      </c>
      <c r="D9" s="61">
        <f>IFERROR(__xludf.DUMMYFUNCTION("MIN(index(GOOGLEFINANCE(A9,""ALL"",TODAY()-180,TODAY()),0,5))*1.2"),2110.56)</f>
        <v>2110.56</v>
      </c>
      <c r="E9" s="62">
        <f>IFERROR(__xludf.DUMMYFUNCTION("AVERAGE(QUERY(SORT(GOOGLEFINANCE(A9,""price"",TODAY()-320,TODAY()),1,0),""select Col2 limit 100""))"),2204.158000000001)</f>
        <v>2204.158</v>
      </c>
      <c r="F9" s="44">
        <f>IFERROR(__xludf.DUMMYFUNCTION("GOOGLEFINANCE(A9,""high52"")"),3027.5)</f>
        <v>3027.5</v>
      </c>
      <c r="G9" s="45">
        <f>IFERROR(__xludf.DUMMYFUNCTION("to_date(index(sort(GOOGLEFINANCE(A9, ""high"", today()-52*7, today(), ""DAILY""),2,0),2,1))"),46168.64583333333)</f>
        <v>46168.64583</v>
      </c>
      <c r="H9" s="44">
        <f>IFERROR(__xludf.DUMMYFUNCTION("GOOGLEFINANCE(A9,""low52"")"),1753.0)</f>
        <v>1753</v>
      </c>
      <c r="I9" s="45">
        <f>IFERROR(__xludf.DUMMYFUNCTION("to_date(index(sort(GOOGLEFINANCE(A9, ""low"", today()-52*7, today(), ""DAILY""),2,1),1,1))"),46111.64583333333)</f>
        <v>46111.64583</v>
      </c>
      <c r="J9" s="46" t="str">
        <f t="shared" si="1"/>
        <v>Do Not Buy Today</v>
      </c>
    </row>
    <row r="10">
      <c r="A10" s="73" t="s">
        <v>126</v>
      </c>
      <c r="B10" s="59">
        <f>IFERROR(__xludf.DUMMYFUNCTION("GOOGLEFINANCE(A10,""price"")"),1808.4)</f>
        <v>1808.4</v>
      </c>
      <c r="C10" s="60">
        <f>IFERROR(__xludf.DUMMYFUNCTION("GOOGLEFINANCE(A10,""closeyest"")"),1800.7)</f>
        <v>1800.7</v>
      </c>
      <c r="D10" s="61">
        <f>IFERROR(__xludf.DUMMYFUNCTION("MIN(index(GOOGLEFINANCE(A10,""ALL"",TODAY()-180,TODAY()),0,5))*1.2"),1958.1599999999999)</f>
        <v>1958.16</v>
      </c>
      <c r="E10" s="62">
        <f>IFERROR(__xludf.DUMMYFUNCTION("AVERAGE(QUERY(SORT(GOOGLEFINANCE(A10,""price"",TODAY()-320,TODAY()),1,0),""select Col2 limit 100""))"),1879.5400000000002)</f>
        <v>1879.54</v>
      </c>
      <c r="F10" s="44">
        <f>IFERROR(__xludf.DUMMYFUNCTION("GOOGLEFINANCE(A10,""high52"")"),2195.0)</f>
        <v>2195</v>
      </c>
      <c r="G10" s="45">
        <f>IFERROR(__xludf.DUMMYFUNCTION("to_date(index(sort(GOOGLEFINANCE(A10, ""high"", today()-52*7, today(), ""DAILY""),2,0),2,1))"),45953.64583333333)</f>
        <v>45953.64583</v>
      </c>
      <c r="H10" s="44">
        <f>IFERROR(__xludf.DUMMYFUNCTION("GOOGLEFINANCE(A10,""low52"")"),1597.0)</f>
        <v>1597</v>
      </c>
      <c r="I10" s="45">
        <f>IFERROR(__xludf.DUMMYFUNCTION("to_date(index(sort(GOOGLEFINANCE(A10, ""low"", today()-52*7, today(), ""DAILY""),2,1),1,1))"),46114.64583333333)</f>
        <v>46114.64583</v>
      </c>
      <c r="J10" s="46" t="str">
        <f t="shared" si="1"/>
        <v>Do Not Buy Today</v>
      </c>
    </row>
    <row r="11">
      <c r="A11" s="73" t="s">
        <v>133</v>
      </c>
      <c r="B11" s="59">
        <f>IFERROR(__xludf.DUMMYFUNCTION("GOOGLEFINANCE(A11,""price"")"),1311.9)</f>
        <v>1311.9</v>
      </c>
      <c r="C11" s="60">
        <f>IFERROR(__xludf.DUMMYFUNCTION("GOOGLEFINANCE(A11,""closeyest"")"),1299.3)</f>
        <v>1299.3</v>
      </c>
      <c r="D11" s="61">
        <f>IFERROR(__xludf.DUMMYFUNCTION("MIN(index(GOOGLEFINANCE(A11,""ALL"",TODAY()-180,TODAY()),0,5))*1.2"),1393.56)</f>
        <v>1393.56</v>
      </c>
      <c r="E11" s="62">
        <f>IFERROR(__xludf.DUMMYFUNCTION("AVERAGE(QUERY(SORT(GOOGLEFINANCE(A11,""price"",TODAY()-320,TODAY()),1,0),""select Col2 limit 100""))"),1296.844)</f>
        <v>1296.844</v>
      </c>
      <c r="F11" s="44">
        <f>IFERROR(__xludf.DUMMYFUNCTION("GOOGLEFINANCE(A11,""high52"")"),1418.3)</f>
        <v>1418.3</v>
      </c>
      <c r="G11" s="45">
        <f>IFERROR(__xludf.DUMMYFUNCTION("to_date(index(sort(GOOGLEFINANCE(A11, ""high"", today()-52*7, today(), ""DAILY""),2,0),2,1))"),46056.64583333333)</f>
        <v>46056.64583</v>
      </c>
      <c r="H11" s="44">
        <f>IFERROR(__xludf.DUMMYFUNCTION("GOOGLEFINANCE(A11,""low52"")"),1042.5)</f>
        <v>1042.5</v>
      </c>
      <c r="I11" s="45">
        <f>IFERROR(__xludf.DUMMYFUNCTION("to_date(index(sort(GOOGLEFINANCE(A11, ""low"", today()-52*7, today(), ""DAILY""),2,1),1,1))"),45898.64583333333)</f>
        <v>45898.64583</v>
      </c>
      <c r="J11" s="46" t="str">
        <f t="shared" si="1"/>
        <v>Do Not Buy Today</v>
      </c>
    </row>
    <row r="12">
      <c r="A12" s="73" t="s">
        <v>134</v>
      </c>
      <c r="B12" s="59">
        <f>IFERROR(__xludf.DUMMYFUNCTION("GOOGLEFINANCE(A12,""price"")"),389.2)</f>
        <v>389.2</v>
      </c>
      <c r="C12" s="60">
        <f>IFERROR(__xludf.DUMMYFUNCTION("GOOGLEFINANCE(A12,""closeyest"")"),388.65)</f>
        <v>388.65</v>
      </c>
      <c r="D12" s="61">
        <f>IFERROR(__xludf.DUMMYFUNCTION("MIN(index(GOOGLEFINANCE(A12,""ALL"",TODAY()-180,TODAY()),0,5))*1.2"),424.08)</f>
        <v>424.08</v>
      </c>
      <c r="E12" s="62">
        <f>IFERROR(__xludf.DUMMYFUNCTION("AVERAGE(QUERY(SORT(GOOGLEFINANCE(A12,""price"",TODAY()-320,TODAY()),1,0),""select Col2 limit 100""))"),398.24849999999986)</f>
        <v>398.2485</v>
      </c>
      <c r="F12" s="44">
        <f>IFERROR(__xludf.DUMMYFUNCTION("GOOGLEFINANCE(A12,""high52"")"),453.2)</f>
        <v>453.2</v>
      </c>
      <c r="G12" s="45">
        <f>IFERROR(__xludf.DUMMYFUNCTION("to_date(index(sort(GOOGLEFINANCE(A12, ""high"", today()-52*7, today(), ""DAILY""),2,0),2,1))"),45950.64583333333)</f>
        <v>45950.64583</v>
      </c>
      <c r="H12" s="44">
        <f>IFERROR(__xludf.DUMMYFUNCTION("GOOGLEFINANCE(A12,""low52"")"),345.5)</f>
        <v>345.5</v>
      </c>
      <c r="I12" s="45">
        <f>IFERROR(__xludf.DUMMYFUNCTION("to_date(index(sort(GOOGLEFINANCE(A12, ""low"", today()-52*7, today(), ""DAILY""),2,1),1,1))"),46114.64583333333)</f>
        <v>46114.64583</v>
      </c>
      <c r="J12" s="46" t="str">
        <f t="shared" si="1"/>
        <v>Do Not Buy Today</v>
      </c>
    </row>
    <row r="13">
      <c r="A13" s="73" t="s">
        <v>136</v>
      </c>
      <c r="B13" s="59">
        <f>IFERROR(__xludf.DUMMYFUNCTION("GOOGLEFINANCE(A13,""price"")"),1829.2)</f>
        <v>1829.2</v>
      </c>
      <c r="C13" s="60">
        <f>IFERROR(__xludf.DUMMYFUNCTION("GOOGLEFINANCE(A13,""closeyest"")"),1811.2)</f>
        <v>1811.2</v>
      </c>
      <c r="D13" s="61">
        <f>IFERROR(__xludf.DUMMYFUNCTION("MIN(index(GOOGLEFINANCE(A13,""ALL"",TODAY()-180,TODAY()),0,5))*1.2"),1564.32)</f>
        <v>1564.32</v>
      </c>
      <c r="E13" s="62">
        <f>IFERROR(__xludf.DUMMYFUNCTION("AVERAGE(QUERY(SORT(GOOGLEFINANCE(A13,""price"",TODAY()-320,TODAY()),1,0),""select Col2 limit 100""))"),1520.6230000000003)</f>
        <v>1520.623</v>
      </c>
      <c r="F13" s="44">
        <f>IFERROR(__xludf.DUMMYFUNCTION("GOOGLEFINANCE(A13,""high52"")"),1840.0)</f>
        <v>1840</v>
      </c>
      <c r="G13" s="45">
        <f>IFERROR(__xludf.DUMMYFUNCTION("to_date(index(sort(GOOGLEFINANCE(A13, ""high"", today()-52*7, today(), ""DAILY""),2,0),2,1))"),46157.64583333333)</f>
        <v>46157.64583</v>
      </c>
      <c r="H13" s="44">
        <f>IFERROR(__xludf.DUMMYFUNCTION("GOOGLEFINANCE(A13,""low52"")"),1290.5)</f>
        <v>1290.5</v>
      </c>
      <c r="I13" s="45">
        <f>IFERROR(__xludf.DUMMYFUNCTION("to_date(index(sort(GOOGLEFINANCE(A13, ""low"", today()-52*7, today(), ""DAILY""),2,1),1,1))"),45883.64583333333)</f>
        <v>45883.64583</v>
      </c>
      <c r="J13" s="46" t="str">
        <f t="shared" si="1"/>
        <v>Do Not Buy Today</v>
      </c>
    </row>
    <row r="14">
      <c r="A14" s="73" t="s">
        <v>137</v>
      </c>
      <c r="B14" s="59">
        <f>IFERROR(__xludf.DUMMYFUNCTION("GOOGLEFINANCE(A14,""price"")"),4268.8)</f>
        <v>4268.8</v>
      </c>
      <c r="C14" s="60">
        <f>IFERROR(__xludf.DUMMYFUNCTION("GOOGLEFINANCE(A14,""closeyest"")"),4239.6)</f>
        <v>4239.6</v>
      </c>
      <c r="D14" s="61">
        <f>IFERROR(__xludf.DUMMYFUNCTION("MIN(index(GOOGLEFINANCE(A14,""ALL"",TODAY()-180,TODAY()),0,5))*1.2"),3954.96)</f>
        <v>3954.96</v>
      </c>
      <c r="E14" s="62">
        <f>IFERROR(__xludf.DUMMYFUNCTION("AVERAGE(QUERY(SORT(GOOGLEFINANCE(A14,""price"",TODAY()-320,TODAY()),1,0),""select Col2 limit 100""))"),3977.104)</f>
        <v>3977.104</v>
      </c>
      <c r="F14" s="44">
        <f>IFERROR(__xludf.DUMMYFUNCTION("GOOGLEFINANCE(A14,""high52"")"),6261.0)</f>
        <v>6261</v>
      </c>
      <c r="G14" s="45">
        <f>IFERROR(__xludf.DUMMYFUNCTION("to_date(index(sort(GOOGLEFINANCE(A14, ""high"", today()-52*7, today(), ""DAILY""),2,0),2,1))"),45838.64583333333)</f>
        <v>45838.64583</v>
      </c>
      <c r="H14" s="44">
        <f>IFERROR(__xludf.DUMMYFUNCTION("GOOGLEFINANCE(A14,""low52"")"),3275.5)</f>
        <v>3275.5</v>
      </c>
      <c r="I14" s="45">
        <f>IFERROR(__xludf.DUMMYFUNCTION("to_date(index(sort(GOOGLEFINANCE(A14, ""low"", today()-52*7, today(), ""DAILY""),2,1),1,1))"),46111.64583333333)</f>
        <v>46111.64583</v>
      </c>
      <c r="J14" s="46" t="str">
        <f t="shared" si="1"/>
        <v>Do Not Buy Today</v>
      </c>
    </row>
    <row r="15">
      <c r="A15" s="73" t="s">
        <v>140</v>
      </c>
      <c r="B15" s="59">
        <f>IFERROR(__xludf.DUMMYFUNCTION("GOOGLEFINANCE(A15,""price"")"),8191.0)</f>
        <v>8191</v>
      </c>
      <c r="C15" s="60">
        <f>IFERROR(__xludf.DUMMYFUNCTION("GOOGLEFINANCE(A15,""closeyest"")"),8258.5)</f>
        <v>8258.5</v>
      </c>
      <c r="D15" s="61">
        <f>IFERROR(__xludf.DUMMYFUNCTION("MIN(index(GOOGLEFINANCE(A15,""ALL"",TODAY()-180,TODAY()),0,5))*1.2"),8152.2)</f>
        <v>8152.2</v>
      </c>
      <c r="E15" s="62">
        <f>IFERROR(__xludf.DUMMYFUNCTION("AVERAGE(QUERY(SORT(GOOGLEFINANCE(A15,""price"",TODAY()-320,TODAY()),1,0),""select Col2 limit 100""))"),7514.245)</f>
        <v>7514.245</v>
      </c>
      <c r="F15" s="44">
        <f>IFERROR(__xludf.DUMMYFUNCTION("GOOGLEFINANCE(A15,""high52"")"),8443.0)</f>
        <v>8443</v>
      </c>
      <c r="G15" s="45">
        <f>IFERROR(__xludf.DUMMYFUNCTION("to_date(index(sort(GOOGLEFINANCE(A15, ""high"", today()-52*7, today(), ""DAILY""),2,0),2,1))"),46167.64583333333)</f>
        <v>46167.64583</v>
      </c>
      <c r="H15" s="44">
        <f>IFERROR(__xludf.DUMMYFUNCTION("GOOGLEFINANCE(A15,""low52"")"),6696.5)</f>
        <v>6696.5</v>
      </c>
      <c r="I15" s="45">
        <f>IFERROR(__xludf.DUMMYFUNCTION("to_date(index(sort(GOOGLEFINANCE(A15, ""low"", today()-52*7, today(), ""DAILY""),2,1),1,1))"),46045.64583333333)</f>
        <v>46045.64583</v>
      </c>
      <c r="J15" s="46" t="str">
        <f t="shared" si="1"/>
        <v>Do Not Buy Today</v>
      </c>
    </row>
    <row r="16">
      <c r="A16" s="73" t="s">
        <v>146</v>
      </c>
      <c r="B16" s="59">
        <f>IFERROR(__xludf.DUMMYFUNCTION("GOOGLEFINANCE(A16,""price"")"),950.95)</f>
        <v>950.95</v>
      </c>
      <c r="C16" s="60">
        <f>IFERROR(__xludf.DUMMYFUNCTION("GOOGLEFINANCE(A16,""closeyest"")"),952.15)</f>
        <v>952.15</v>
      </c>
      <c r="D16" s="61">
        <f>IFERROR(__xludf.DUMMYFUNCTION("MIN(index(GOOGLEFINANCE(A16,""ALL"",TODAY()-180,TODAY()),0,5))*1.2"),993.72)</f>
        <v>993.72</v>
      </c>
      <c r="E16" s="62">
        <f>IFERROR(__xludf.DUMMYFUNCTION("AVERAGE(QUERY(SORT(GOOGLEFINANCE(A16,""price"",TODAY()-320,TODAY()),1,0),""select Col2 limit 100""))"),994.446)</f>
        <v>994.446</v>
      </c>
      <c r="F16" s="44">
        <f>IFERROR(__xludf.DUMMYFUNCTION("GOOGLEFINANCE(A16,""high52"")"),1108.0)</f>
        <v>1108</v>
      </c>
      <c r="G16" s="45">
        <f>IFERROR(__xludf.DUMMYFUNCTION("to_date(index(sort(GOOGLEFINANCE(A16, ""high"", today()-52*7, today(), ""DAILY""),2,0),2,1))"),46079.64583333333)</f>
        <v>46079.64583</v>
      </c>
      <c r="H16" s="44">
        <f>IFERROR(__xludf.DUMMYFUNCTION("GOOGLEFINANCE(A16,""low52"")"),566.5)</f>
        <v>566.5</v>
      </c>
      <c r="I16" s="45">
        <f>IFERROR(__xludf.DUMMYFUNCTION("to_date(index(sort(GOOGLEFINANCE(A16, ""low"", today()-52*7, today(), ""DAILY""),2,1),1,1))"),45898.64583333333)</f>
        <v>45898.64583</v>
      </c>
      <c r="J16" s="46" t="str">
        <f t="shared" si="1"/>
        <v>Do Not Buy Today</v>
      </c>
    </row>
    <row r="17">
      <c r="A17" s="73" t="s">
        <v>148</v>
      </c>
      <c r="B17" s="59">
        <f>IFERROR(__xludf.DUMMYFUNCTION("GOOGLEFINANCE(A17,""price"")"),4062.1)</f>
        <v>4062.1</v>
      </c>
      <c r="C17" s="60">
        <f>IFERROR(__xludf.DUMMYFUNCTION("GOOGLEFINANCE(A17,""closeyest"")"),4037.8)</f>
        <v>4037.8</v>
      </c>
      <c r="D17" s="61">
        <f>IFERROR(__xludf.DUMMYFUNCTION("MIN(index(GOOGLEFINANCE(A17,""ALL"",TODAY()-180,TODAY()),0,5))*1.2"),4010.88)</f>
        <v>4010.88</v>
      </c>
      <c r="E17" s="62">
        <f>IFERROR(__xludf.DUMMYFUNCTION("AVERAGE(QUERY(SORT(GOOGLEFINANCE(A17,""price"",TODAY()-320,TODAY()),1,0),""select Col2 limit 100""))"),3955.3099999999995)</f>
        <v>3955.31</v>
      </c>
      <c r="F17" s="44">
        <f>IFERROR(__xludf.DUMMYFUNCTION("GOOGLEFINANCE(A17,""high52"")"),4440.0)</f>
        <v>4440</v>
      </c>
      <c r="G17" s="45">
        <f>IFERROR(__xludf.DUMMYFUNCTION("to_date(index(sort(GOOGLEFINANCE(A17, ""high"", today()-52*7, today(), ""DAILY""),2,0),2,1))"),46077.64583333333)</f>
        <v>46077.64583</v>
      </c>
      <c r="H17" s="44">
        <f>IFERROR(__xludf.DUMMYFUNCTION("GOOGLEFINANCE(A17,""low52"")"),3288.1)</f>
        <v>3288.1</v>
      </c>
      <c r="I17" s="45">
        <f>IFERROR(__xludf.DUMMYFUNCTION("to_date(index(sort(GOOGLEFINANCE(A17, ""low"", today()-52*7, today(), ""DAILY""),2,1),1,1))"),46085.64583333333)</f>
        <v>46085.64583</v>
      </c>
      <c r="J17" s="46" t="str">
        <f t="shared" si="1"/>
        <v>Do Not Buy Today</v>
      </c>
    </row>
    <row r="18">
      <c r="A18" s="73" t="s">
        <v>153</v>
      </c>
      <c r="B18" s="59">
        <f>IFERROR(__xludf.DUMMYFUNCTION("GOOGLEFINANCE(A18,""price"")"),1161.7)</f>
        <v>1161.7</v>
      </c>
      <c r="C18" s="60">
        <f>IFERROR(__xludf.DUMMYFUNCTION("GOOGLEFINANCE(A18,""closeyest"")"),1167.7)</f>
        <v>1167.7</v>
      </c>
      <c r="D18" s="61">
        <f>IFERROR(__xludf.DUMMYFUNCTION("MIN(index(GOOGLEFINANCE(A18,""ALL"",TODAY()-180,TODAY()),0,5))*1.2"),1314.0)</f>
        <v>1314</v>
      </c>
      <c r="E18" s="62">
        <f>IFERROR(__xludf.DUMMYFUNCTION("AVERAGE(QUERY(SORT(GOOGLEFINANCE(A18,""price"",TODAY()-320,TODAY()),1,0),""select Col2 limit 100""))"),1370.4290000000003)</f>
        <v>1370.429</v>
      </c>
      <c r="F18" s="44">
        <f>IFERROR(__xludf.DUMMYFUNCTION("GOOGLEFINANCE(A18,""high52"")"),1728.0)</f>
        <v>1728</v>
      </c>
      <c r="G18" s="45">
        <f>IFERROR(__xludf.DUMMYFUNCTION("to_date(index(sort(GOOGLEFINANCE(A18, ""high"", today()-52*7, today(), ""DAILY""),2,0),2,1))"),46056.64583333333)</f>
        <v>46056.64583</v>
      </c>
      <c r="H18" s="44">
        <f>IFERROR(__xludf.DUMMYFUNCTION("GOOGLEFINANCE(A18,""low52"")"),1089.0)</f>
        <v>1089</v>
      </c>
      <c r="I18" s="45">
        <f>IFERROR(__xludf.DUMMYFUNCTION("to_date(index(sort(GOOGLEFINANCE(A18, ""low"", today()-52*7, today(), ""DAILY""),2,1),1,1))"),46156.64583333333)</f>
        <v>46156.64583</v>
      </c>
      <c r="J18" s="46" t="str">
        <f t="shared" si="1"/>
        <v>Do Not Buy Today</v>
      </c>
    </row>
    <row r="19">
      <c r="A19" s="73" t="s">
        <v>154</v>
      </c>
      <c r="B19" s="59">
        <f>IFERROR(__xludf.DUMMYFUNCTION("GOOGLEFINANCE(A19,""price"")"),928.6)</f>
        <v>928.6</v>
      </c>
      <c r="C19" s="60">
        <f>IFERROR(__xludf.DUMMYFUNCTION("GOOGLEFINANCE(A19,""closeyest"")"),930.2)</f>
        <v>930.2</v>
      </c>
      <c r="D19" s="61">
        <f>IFERROR(__xludf.DUMMYFUNCTION("MIN(index(GOOGLEFINANCE(A19,""ALL"",TODAY()-180,TODAY()),0,5))*1.2"),961.8599999999999)</f>
        <v>961.86</v>
      </c>
      <c r="E19" s="62">
        <f>IFERROR(__xludf.DUMMYFUNCTION("AVERAGE(QUERY(SORT(GOOGLEFINANCE(A19,""price"",TODAY()-320,TODAY()),1,0),""select Col2 limit 100""))"),937.2900000000002)</f>
        <v>937.29</v>
      </c>
      <c r="F19" s="44">
        <f>IFERROR(__xludf.DUMMYFUNCTION("GOOGLEFINANCE(A19,""high52"")"),1102.5)</f>
        <v>1102.5</v>
      </c>
      <c r="G19" s="45">
        <f>IFERROR(__xludf.DUMMYFUNCTION("to_date(index(sort(GOOGLEFINANCE(A19, ""high"", today()-52*7, today(), ""DAILY""),2,0),2,1))"),45953.64583333333)</f>
        <v>45953.64583</v>
      </c>
      <c r="H19" s="44">
        <f>IFERROR(__xludf.DUMMYFUNCTION("GOOGLEFINANCE(A19,""low52"")"),787.9)</f>
        <v>787.9</v>
      </c>
      <c r="I19" s="45">
        <f>IFERROR(__xludf.DUMMYFUNCTION("to_date(index(sort(GOOGLEFINANCE(A19, ""low"", today()-52*7, today(), ""DAILY""),2,1),1,1))"),46104.64583333333)</f>
        <v>46104.64583</v>
      </c>
      <c r="J19" s="46" t="str">
        <f t="shared" si="1"/>
        <v>Do Not Buy Today</v>
      </c>
    </row>
    <row r="20">
      <c r="A20" s="73" t="s">
        <v>155</v>
      </c>
      <c r="B20" s="59">
        <f>IFERROR(__xludf.DUMMYFUNCTION("GOOGLEFINANCE(A20,""price"")"),1358.1)</f>
        <v>1358.1</v>
      </c>
      <c r="C20" s="60">
        <f>IFERROR(__xludf.DUMMYFUNCTION("GOOGLEFINANCE(A20,""closeyest"")"),1356.3)</f>
        <v>1356.3</v>
      </c>
      <c r="D20" s="61">
        <f>IFERROR(__xludf.DUMMYFUNCTION("MIN(index(GOOGLEFINANCE(A20,""ALL"",TODAY()-180,TODAY()),0,5))*1.2"),1565.5199999999998)</f>
        <v>1565.52</v>
      </c>
      <c r="E20" s="62">
        <f>IFERROR(__xludf.DUMMYFUNCTION("AVERAGE(QUERY(SORT(GOOGLEFINANCE(A20,""price"",TODAY()-320,TODAY()),1,0),""select Col2 limit 100""))"),1409.527)</f>
        <v>1409.527</v>
      </c>
      <c r="F20" s="44">
        <f>IFERROR(__xludf.DUMMYFUNCTION("GOOGLEFINANCE(A20,""high52"")"),1611.8)</f>
        <v>1611.8</v>
      </c>
      <c r="G20" s="45">
        <f>IFERROR(__xludf.DUMMYFUNCTION("to_date(index(sort(GOOGLEFINANCE(A20, ""high"", today()-52*7, today(), ""DAILY""),2,0),2,1))"),46027.64583333333)</f>
        <v>46027.64583</v>
      </c>
      <c r="H20" s="44">
        <f>IFERROR(__xludf.DUMMYFUNCTION("GOOGLEFINANCE(A20,""low52"")"),1290.0)</f>
        <v>1290</v>
      </c>
      <c r="I20" s="45">
        <f>IFERROR(__xludf.DUMMYFUNCTION("to_date(index(sort(GOOGLEFINANCE(A20, ""low"", today()-52*7, today(), ""DAILY""),2,1),1,1))"),46118.64583333333)</f>
        <v>46118.64583</v>
      </c>
      <c r="J20" s="46" t="str">
        <f t="shared" si="1"/>
        <v>Do Not Buy Today</v>
      </c>
    </row>
    <row r="21">
      <c r="A21" s="73" t="s">
        <v>157</v>
      </c>
      <c r="B21" s="59">
        <f>IFERROR(__xludf.DUMMYFUNCTION("GOOGLEFINANCE(A21,""price"")"),216.72)</f>
        <v>216.72</v>
      </c>
      <c r="C21" s="60">
        <f>IFERROR(__xludf.DUMMYFUNCTION("GOOGLEFINANCE(A21,""closeyest"")"),210.47)</f>
        <v>210.47</v>
      </c>
      <c r="D21" s="61">
        <f>IFERROR(__xludf.DUMMYFUNCTION("MIN(index(GOOGLEFINANCE(A21,""ALL"",TODAY()-180,TODAY()),0,5))*1.2"),192.80399999999997)</f>
        <v>192.804</v>
      </c>
      <c r="E21" s="62">
        <f>IFERROR(__xludf.DUMMYFUNCTION("AVERAGE(QUERY(SORT(GOOGLEFINANCE(A21,""price"",TODAY()-320,TODAY()),1,0),""select Col2 limit 100""))"),199.82280000000003)</f>
        <v>199.8228</v>
      </c>
      <c r="F21" s="44">
        <f>IFERROR(__xludf.DUMMYFUNCTION("GOOGLEFINANCE(A21,""high52"")"),224.4)</f>
        <v>224.4</v>
      </c>
      <c r="G21" s="45">
        <f>IFERROR(__xludf.DUMMYFUNCTION("to_date(index(sort(GOOGLEFINANCE(A21, ""high"", today()-52*7, today(), ""DAILY""),2,0),2,1))"),46157.64583333333)</f>
        <v>46157.64583</v>
      </c>
      <c r="H21" s="44">
        <f>IFERROR(__xludf.DUMMYFUNCTION("GOOGLEFINANCE(A21,""low52"")"),149.8)</f>
        <v>149.8</v>
      </c>
      <c r="I21" s="45">
        <f>IFERROR(__xludf.DUMMYFUNCTION("to_date(index(sort(GOOGLEFINANCE(A21, ""low"", today()-52*7, today(), ""DAILY""),2,1),1,1))"),45821.64583333333)</f>
        <v>45821.64583</v>
      </c>
      <c r="J21" s="46" t="str">
        <f t="shared" si="1"/>
        <v>Do Not Buy Today</v>
      </c>
    </row>
    <row r="22">
      <c r="A22" s="73" t="s">
        <v>160</v>
      </c>
      <c r="B22" s="59">
        <f>IFERROR(__xludf.DUMMYFUNCTION("GOOGLEFINANCE(A22,""price"")"),4125.9)</f>
        <v>4125.9</v>
      </c>
      <c r="C22" s="60">
        <f>IFERROR(__xludf.DUMMYFUNCTION("GOOGLEFINANCE(A22,""closeyest"")"),4105.9)</f>
        <v>4105.9</v>
      </c>
      <c r="D22" s="61">
        <f>IFERROR(__xludf.DUMMYFUNCTION("MIN(index(GOOGLEFINANCE(A22,""ALL"",TODAY()-180,TODAY()),0,5))*1.2"),4520.4)</f>
        <v>4520.4</v>
      </c>
      <c r="E22" s="62">
        <f>IFERROR(__xludf.DUMMYFUNCTION("AVERAGE(QUERY(SORT(GOOGLEFINANCE(A22,""price"",TODAY()-320,TODAY()),1,0),""select Col2 limit 100""))"),4197.544999999999)</f>
        <v>4197.545</v>
      </c>
      <c r="F22" s="44">
        <f>IFERROR(__xludf.DUMMYFUNCTION("GOOGLEFINANCE(A22,""high52"")"),4605.0)</f>
        <v>4605</v>
      </c>
      <c r="G22" s="45">
        <f>IFERROR(__xludf.DUMMYFUNCTION("to_date(index(sort(GOOGLEFINANCE(A22, ""high"", today()-52*7, today(), ""DAILY""),2,0),2,1))"),46150.64583333333)</f>
        <v>46150.64583</v>
      </c>
      <c r="H22" s="44">
        <f>IFERROR(__xludf.DUMMYFUNCTION("GOOGLEFINANCE(A22,""low52"")"),3303.1)</f>
        <v>3303.1</v>
      </c>
      <c r="I22" s="45">
        <f>IFERROR(__xludf.DUMMYFUNCTION("to_date(index(sort(GOOGLEFINANCE(A22, ""low"", today()-52*7, today(), ""DAILY""),2,1),1,1))"),45926.64583333333)</f>
        <v>45926.64583</v>
      </c>
      <c r="J22" s="46" t="str">
        <f t="shared" si="1"/>
        <v>Do Not Buy Today</v>
      </c>
    </row>
    <row r="23">
      <c r="A23" s="73" t="s">
        <v>162</v>
      </c>
      <c r="B23" s="59">
        <f>IFERROR(__xludf.DUMMYFUNCTION("GOOGLEFINANCE(A23,""price"")"),1203.3)</f>
        <v>1203.3</v>
      </c>
      <c r="C23" s="60">
        <f>IFERROR(__xludf.DUMMYFUNCTION("GOOGLEFINANCE(A23,""closeyest"")"),1187.6)</f>
        <v>1187.6</v>
      </c>
      <c r="D23" s="61">
        <f>IFERROR(__xludf.DUMMYFUNCTION("MIN(index(GOOGLEFINANCE(A23,""ALL"",TODAY()-180,TODAY()),0,5))*1.2"),1217.76)</f>
        <v>1217.76</v>
      </c>
      <c r="E23" s="62">
        <f>IFERROR(__xludf.DUMMYFUNCTION("AVERAGE(QUERY(SORT(GOOGLEFINANCE(A23,""price"",TODAY()-320,TODAY()),1,0),""select Col2 limit 100""))"),1144.2219999999993)</f>
        <v>1144.222</v>
      </c>
      <c r="F23" s="44">
        <f>IFERROR(__xludf.DUMMYFUNCTION("GOOGLEFINANCE(A23,""high52"")"),1282.7)</f>
        <v>1282.7</v>
      </c>
      <c r="G23" s="45">
        <f>IFERROR(__xludf.DUMMYFUNCTION("to_date(index(sort(GOOGLEFINANCE(A23, ""high"", today()-52*7, today(), ""DAILY""),2,0),2,1))"),46154.64583333333)</f>
        <v>46154.64583</v>
      </c>
      <c r="H23" s="44">
        <f>IFERROR(__xludf.DUMMYFUNCTION("GOOGLEFINANCE(A23,""low52"")"),1007.2)</f>
        <v>1007.2</v>
      </c>
      <c r="I23" s="45">
        <f>IFERROR(__xludf.DUMMYFUNCTION("to_date(index(sort(GOOGLEFINANCE(A23, ""low"", today()-52*7, today(), ""DAILY""),2,1),1,1))"),46114.64583333333)</f>
        <v>46114.64583</v>
      </c>
      <c r="J23" s="46" t="str">
        <f t="shared" si="1"/>
        <v>Do Not Buy Today</v>
      </c>
    </row>
    <row r="24">
      <c r="A24" s="73" t="s">
        <v>163</v>
      </c>
      <c r="B24" s="59">
        <f>IFERROR(__xludf.DUMMYFUNCTION("GOOGLEFINANCE(A24,""price"")"),276.2)</f>
        <v>276.2</v>
      </c>
      <c r="C24" s="60">
        <f>IFERROR(__xludf.DUMMYFUNCTION("GOOGLEFINANCE(A24,""closeyest"")"),287.5)</f>
        <v>287.5</v>
      </c>
      <c r="D24" s="61">
        <f>IFERROR(__xludf.DUMMYFUNCTION("MIN(index(GOOGLEFINANCE(A24,""ALL"",TODAY()-180,TODAY()),0,5))*1.2"),277.70399999999995)</f>
        <v>277.704</v>
      </c>
      <c r="E24" s="62">
        <f>IFERROR(__xludf.DUMMYFUNCTION("AVERAGE(QUERY(SORT(GOOGLEFINANCE(A24,""price"",TODAY()-320,TODAY()),1,0),""select Col2 limit 100""))"),270.932)</f>
        <v>270.932</v>
      </c>
      <c r="F24" s="44">
        <f>IFERROR(__xludf.DUMMYFUNCTION("GOOGLEFINANCE(A24,""high52"")"),307.5)</f>
        <v>307.5</v>
      </c>
      <c r="G24" s="45">
        <f>IFERROR(__xludf.DUMMYFUNCTION("to_date(index(sort(GOOGLEFINANCE(A24, ""high"", today()-52*7, today(), ""DAILY""),2,0),2,1))"),46141.64583333333)</f>
        <v>46141.64583</v>
      </c>
      <c r="H24" s="44">
        <f>IFERROR(__xludf.DUMMYFUNCTION("GOOGLEFINANCE(A24,""low52"")"),228.61)</f>
        <v>228.61</v>
      </c>
      <c r="I24" s="45">
        <f>IFERROR(__xludf.DUMMYFUNCTION("to_date(index(sort(GOOGLEFINANCE(A24, ""low"", today()-52*7, today(), ""DAILY""),2,1),1,1))"),46008.64583333333)</f>
        <v>46008.64583</v>
      </c>
      <c r="J24" s="46" t="str">
        <f t="shared" si="1"/>
        <v>Do Not Buy Today</v>
      </c>
    </row>
    <row r="25">
      <c r="A25" s="73" t="s">
        <v>164</v>
      </c>
      <c r="B25" s="59">
        <f>IFERROR(__xludf.DUMMYFUNCTION("GOOGLEFINANCE(A25,""price"")"),2200.9)</f>
        <v>2200.9</v>
      </c>
      <c r="C25" s="60">
        <f>IFERROR(__xludf.DUMMYFUNCTION("GOOGLEFINANCE(A25,""closeyest"")"),2209.4)</f>
        <v>2209.4</v>
      </c>
      <c r="D25" s="61">
        <f>IFERROR(__xludf.DUMMYFUNCTION("MIN(index(GOOGLEFINANCE(A25,""ALL"",TODAY()-180,TODAY()),0,5))*1.2"),2462.64)</f>
        <v>2462.64</v>
      </c>
      <c r="E25" s="62">
        <f>IFERROR(__xludf.DUMMYFUNCTION("AVERAGE(QUERY(SORT(GOOGLEFINANCE(A25,""price"",TODAY()-320,TODAY()),1,0),""select Col2 limit 100""))"),2275.9300000000003)</f>
        <v>2275.93</v>
      </c>
      <c r="F25" s="44">
        <f>IFERROR(__xludf.DUMMYFUNCTION("GOOGLEFINANCE(A25,""high52"")"),2715.44)</f>
        <v>2715.44</v>
      </c>
      <c r="G25" s="45">
        <f>IFERROR(__xludf.DUMMYFUNCTION("to_date(index(sort(GOOGLEFINANCE(A25, ""high"", today()-52*7, today(), ""DAILY""),2,0),2,1))"),45904.64583333333)</f>
        <v>45904.64583</v>
      </c>
      <c r="H25" s="44">
        <f>IFERROR(__xludf.DUMMYFUNCTION("GOOGLEFINANCE(A25,""low52"")"),2022.5)</f>
        <v>2022.5</v>
      </c>
      <c r="I25" s="45">
        <f>IFERROR(__xludf.DUMMYFUNCTION("to_date(index(sort(GOOGLEFINANCE(A25, ""low"", today()-52*7, today(), ""DAILY""),2,1),1,1))"),46114.64583333333)</f>
        <v>46114.64583</v>
      </c>
      <c r="J25" s="46" t="str">
        <f t="shared" si="1"/>
        <v>Do Not Buy Today</v>
      </c>
    </row>
    <row r="26">
      <c r="A26" s="73" t="s">
        <v>167</v>
      </c>
      <c r="B26" s="59">
        <f>IFERROR(__xludf.DUMMYFUNCTION("GOOGLEFINANCE(A26,""price"")"),1166.0)</f>
        <v>1166</v>
      </c>
      <c r="C26" s="60">
        <f>IFERROR(__xludf.DUMMYFUNCTION("GOOGLEFINANCE(A26,""closeyest"")"),1161.9)</f>
        <v>1161.9</v>
      </c>
      <c r="D26" s="61">
        <f>IFERROR(__xludf.DUMMYFUNCTION("MIN(index(GOOGLEFINANCE(A26,""ALL"",TODAY()-180,TODAY()),0,5))*1.2"),1348.8)</f>
        <v>1348.8</v>
      </c>
      <c r="E26" s="62">
        <f>IFERROR(__xludf.DUMMYFUNCTION("AVERAGE(QUERY(SORT(GOOGLEFINANCE(A26,""price"",TODAY()-320,TODAY()),1,0),""select Col2 limit 100""))"),1428.5520000000004)</f>
        <v>1428.552</v>
      </c>
      <c r="F26" s="44">
        <f>IFERROR(__xludf.DUMMYFUNCTION("GOOGLEFINANCE(A26,""high52"")"),1780.1)</f>
        <v>1780.1</v>
      </c>
      <c r="G26" s="45">
        <f>IFERROR(__xludf.DUMMYFUNCTION("to_date(index(sort(GOOGLEFINANCE(A26, ""high"", today()-52*7, today(), ""DAILY""),2,0),2,1))"),46056.64583333333)</f>
        <v>46056.64583</v>
      </c>
      <c r="H26" s="44">
        <f>IFERROR(__xludf.DUMMYFUNCTION("GOOGLEFINANCE(A26,""low52"")"),1103.4)</f>
        <v>1103.4</v>
      </c>
      <c r="I26" s="45">
        <f>IFERROR(__xludf.DUMMYFUNCTION("to_date(index(sort(GOOGLEFINANCE(A26, ""low"", today()-52*7, today(), ""DAILY""),2,1),1,1))"),46156.64583333333)</f>
        <v>46156.64583</v>
      </c>
      <c r="J26" s="46" t="str">
        <f t="shared" si="1"/>
        <v>Do Not Buy Today</v>
      </c>
    </row>
    <row r="27">
      <c r="A27" s="73" t="s">
        <v>169</v>
      </c>
      <c r="B27" s="59">
        <f>IFERROR(__xludf.DUMMYFUNCTION("GOOGLEFINANCE(A27,""price"")"),1475.6)</f>
        <v>1475.6</v>
      </c>
      <c r="C27" s="60">
        <f>IFERROR(__xludf.DUMMYFUNCTION("GOOGLEFINANCE(A27,""closeyest"")"),1458.7)</f>
        <v>1458.7</v>
      </c>
      <c r="D27" s="61">
        <f>IFERROR(__xludf.DUMMYFUNCTION("MIN(index(GOOGLEFINANCE(A27,""ALL"",TODAY()-180,TODAY()),0,5))*1.2"),1598.04)</f>
        <v>1598.04</v>
      </c>
      <c r="E27" s="62">
        <f>IFERROR(__xludf.DUMMYFUNCTION("AVERAGE(QUERY(SORT(GOOGLEFINANCE(A27,""price"",TODAY()-320,TODAY()),1,0),""select Col2 limit 100""))"),1495.4699999999998)</f>
        <v>1495.47</v>
      </c>
      <c r="F27" s="44">
        <f>IFERROR(__xludf.DUMMYFUNCTION("GOOGLEFINANCE(A27,""high52"")"),1854.0)</f>
        <v>1854</v>
      </c>
      <c r="G27" s="45">
        <f>IFERROR(__xludf.DUMMYFUNCTION("to_date(index(sort(GOOGLEFINANCE(A27, ""high"", today()-52*7, today(), ""DAILY""),2,0),2,1))"),46056.64583333333)</f>
        <v>46056.64583</v>
      </c>
      <c r="H27" s="44">
        <f>IFERROR(__xludf.DUMMYFUNCTION("GOOGLEFINANCE(A27,""low52"")"),1304.1)</f>
        <v>1304.1</v>
      </c>
      <c r="I27" s="45">
        <f>IFERROR(__xludf.DUMMYFUNCTION("to_date(index(sort(GOOGLEFINANCE(A27, ""low"", today()-52*7, today(), ""DAILY""),2,1),1,1))"),46090.64583333333)</f>
        <v>46090.64583</v>
      </c>
      <c r="J27" s="46" t="str">
        <f t="shared" si="1"/>
        <v>Do Not Buy Today</v>
      </c>
    </row>
    <row r="28">
      <c r="A28" s="73" t="s">
        <v>170</v>
      </c>
      <c r="B28" s="59">
        <f>IFERROR(__xludf.DUMMYFUNCTION("GOOGLEFINANCE(A28,""price"")"),1424.0)</f>
        <v>1424</v>
      </c>
      <c r="C28" s="60">
        <f>IFERROR(__xludf.DUMMYFUNCTION("GOOGLEFINANCE(A28,""closeyest"")"),1417.5)</f>
        <v>1417.5</v>
      </c>
      <c r="D28" s="61">
        <f>IFERROR(__xludf.DUMMYFUNCTION("MIN(index(GOOGLEFINANCE(A28,""ALL"",TODAY()-180,TODAY()),0,5))*1.2"),1430.88)</f>
        <v>1430.88</v>
      </c>
      <c r="E28" s="62">
        <f>IFERROR(__xludf.DUMMYFUNCTION("AVERAGE(QUERY(SORT(GOOGLEFINANCE(A28,""price"",TODAY()-320,TODAY()),1,0),""select Col2 limit 100""))"),1338.3139999999999)</f>
        <v>1338.314</v>
      </c>
      <c r="F28" s="44">
        <f>IFERROR(__xludf.DUMMYFUNCTION("GOOGLEFINANCE(A28,""high52"")"),1673.0)</f>
        <v>1673</v>
      </c>
      <c r="G28" s="45">
        <f>IFERROR(__xludf.DUMMYFUNCTION("to_date(index(sort(GOOGLEFINANCE(A28, ""high"", today()-52*7, today(), ""DAILY""),2,0),2,1))"),45953.64583333333)</f>
        <v>45953.64583</v>
      </c>
      <c r="H28" s="44">
        <f>IFERROR(__xludf.DUMMYFUNCTION("GOOGLEFINANCE(A28,""low52"")"),1165.7)</f>
        <v>1165.7</v>
      </c>
      <c r="I28" s="45">
        <f>IFERROR(__xludf.DUMMYFUNCTION("to_date(index(sort(GOOGLEFINANCE(A28, ""low"", today()-52*7, today(), ""DAILY""),2,1),1,1))"),46114.64583333333)</f>
        <v>46114.64583</v>
      </c>
      <c r="J28" s="46" t="str">
        <f t="shared" si="1"/>
        <v>Do Not Buy Today</v>
      </c>
    </row>
    <row r="29">
      <c r="A29" s="73" t="s">
        <v>171</v>
      </c>
      <c r="B29" s="59">
        <f>IFERROR(__xludf.DUMMYFUNCTION("GOOGLEFINANCE(A29,""price"")"),932.9)</f>
        <v>932.9</v>
      </c>
      <c r="C29" s="60">
        <f>IFERROR(__xludf.DUMMYFUNCTION("GOOGLEFINANCE(A29,""closeyest"")"),932.3)</f>
        <v>932.3</v>
      </c>
      <c r="D29" s="61">
        <f>IFERROR(__xludf.DUMMYFUNCTION("MIN(index(GOOGLEFINANCE(A29,""ALL"",TODAY()-180,TODAY()),0,5))*1.2"),902.94)</f>
        <v>902.94</v>
      </c>
      <c r="E29" s="62">
        <f>IFERROR(__xludf.DUMMYFUNCTION("AVERAGE(QUERY(SORT(GOOGLEFINANCE(A29,""price"",TODAY()-320,TODAY()),1,0),""select Col2 limit 100""))"),886.055)</f>
        <v>886.055</v>
      </c>
      <c r="F29" s="44">
        <f>IFERROR(__xludf.DUMMYFUNCTION("GOOGLEFINANCE(A29,""high52"")"),968.85)</f>
        <v>968.85</v>
      </c>
      <c r="G29" s="45">
        <f>IFERROR(__xludf.DUMMYFUNCTION("to_date(index(sort(GOOGLEFINANCE(A29, ""high"", today()-52*7, today(), ""DAILY""),2,0),2,1))"),46079.64583333333)</f>
        <v>46079.64583</v>
      </c>
      <c r="H29" s="44">
        <f>IFERROR(__xludf.DUMMYFUNCTION("GOOGLEFINANCE(A29,""low52"")"),710.6)</f>
        <v>710.6</v>
      </c>
      <c r="I29" s="45">
        <f>IFERROR(__xludf.DUMMYFUNCTION("to_date(index(sort(GOOGLEFINANCE(A29, ""low"", today()-52*7, today(), ""DAILY""),2,1),1,1))"),45926.64583333333)</f>
        <v>45926.64583</v>
      </c>
      <c r="J29" s="46" t="str">
        <f t="shared" si="1"/>
        <v>Do Not Buy Today</v>
      </c>
    </row>
    <row r="30">
      <c r="A30" s="73" t="s">
        <v>174</v>
      </c>
      <c r="B30" s="59">
        <f>IFERROR(__xludf.DUMMYFUNCTION("GOOGLEFINANCE(A30,""price"")"),394.2)</f>
        <v>394.2</v>
      </c>
      <c r="C30" s="60">
        <f>IFERROR(__xludf.DUMMYFUNCTION("GOOGLEFINANCE(A30,""closeyest"")"),389.7)</f>
        <v>389.7</v>
      </c>
      <c r="D30" s="61">
        <f>IFERROR(__xludf.DUMMYFUNCTION("MIN(index(GOOGLEFINANCE(A30,""ALL"",TODAY()-180,TODAY()),0,5))*1.2"),382.2)</f>
        <v>382.2</v>
      </c>
      <c r="E30" s="62">
        <f>IFERROR(__xludf.DUMMYFUNCTION("AVERAGE(QUERY(SORT(GOOGLEFINANCE(A30,""price"",TODAY()-320,TODAY()),1,0),""select Col2 limit 100""))"),372.36100000000005)</f>
        <v>372.361</v>
      </c>
      <c r="F30" s="44">
        <f>IFERROR(__xludf.DUMMYFUNCTION("GOOGLEFINANCE(A30,""high52"")"),414.4)</f>
        <v>414.4</v>
      </c>
      <c r="G30" s="45">
        <f>IFERROR(__xludf.DUMMYFUNCTION("to_date(index(sort(GOOGLEFINANCE(A30, ""high"", today()-52*7, today(), ""DAILY""),2,0),2,1))"),46139.64583333333)</f>
        <v>46139.64583</v>
      </c>
      <c r="H30" s="44">
        <f>IFERROR(__xludf.DUMMYFUNCTION("GOOGLEFINANCE(A30,""low52"")"),315.55)</f>
        <v>315.55</v>
      </c>
      <c r="I30" s="45">
        <f>IFERROR(__xludf.DUMMYFUNCTION("to_date(index(sort(GOOGLEFINANCE(A30, ""low"", today()-52*7, today(), ""DAILY""),2,1),1,1))"),46000.64583333333)</f>
        <v>46000.64583</v>
      </c>
      <c r="J30" s="46" t="str">
        <f t="shared" si="1"/>
        <v>Do Not Buy Today</v>
      </c>
    </row>
    <row r="31">
      <c r="A31" s="73" t="s">
        <v>176</v>
      </c>
      <c r="B31" s="59">
        <f>IFERROR(__xludf.DUMMYFUNCTION("GOOGLEFINANCE(A31,""price"")"),2280.2)</f>
        <v>2280.2</v>
      </c>
      <c r="C31" s="60">
        <f>IFERROR(__xludf.DUMMYFUNCTION("GOOGLEFINANCE(A31,""closeyest"")"),2276.2)</f>
        <v>2276.2</v>
      </c>
      <c r="D31" s="61">
        <f>IFERROR(__xludf.DUMMYFUNCTION("MIN(index(GOOGLEFINANCE(A31,""ALL"",TODAY()-180,TODAY()),0,5))*1.2"),2695.2)</f>
        <v>2695.2</v>
      </c>
      <c r="E31" s="62">
        <f>IFERROR(__xludf.DUMMYFUNCTION("AVERAGE(QUERY(SORT(GOOGLEFINANCE(A31,""price"",TODAY()-320,TODAY()),1,0),""select Col2 limit 100""))"),2696.666)</f>
        <v>2696.666</v>
      </c>
      <c r="F31" s="44">
        <f>IFERROR(__xludf.DUMMYFUNCTION("GOOGLEFINANCE(A31,""high52"")"),3540.0)</f>
        <v>3540</v>
      </c>
      <c r="G31" s="45">
        <f>IFERROR(__xludf.DUMMYFUNCTION("to_date(index(sort(GOOGLEFINANCE(A31, ""high"", today()-52*7, today(), ""DAILY""),2,0),2,1))"),45826.64583333333)</f>
        <v>45826.64583</v>
      </c>
      <c r="H31" s="44">
        <f>IFERROR(__xludf.DUMMYFUNCTION("GOOGLEFINANCE(A31,""low52"")"),2206.4)</f>
        <v>2206.4</v>
      </c>
      <c r="I31" s="45">
        <f>IFERROR(__xludf.DUMMYFUNCTION("to_date(index(sort(GOOGLEFINANCE(A31, ""low"", today()-52*7, today(), ""DAILY""),2,1),1,1))"),46129.64583333333)</f>
        <v>46129.64583</v>
      </c>
      <c r="J31" s="46" t="str">
        <f t="shared" si="1"/>
        <v>Do Not Buy Today</v>
      </c>
    </row>
    <row r="32">
      <c r="A32" s="73" t="s">
        <v>184</v>
      </c>
      <c r="B32" s="59">
        <f>IFERROR(__xludf.DUMMYFUNCTION("GOOGLEFINANCE(A32,""price"")"),205.31)</f>
        <v>205.31</v>
      </c>
      <c r="C32" s="60">
        <f>IFERROR(__xludf.DUMMYFUNCTION("GOOGLEFINANCE(A32,""closeyest"")"),203.73)</f>
        <v>203.73</v>
      </c>
      <c r="D32" s="61">
        <f>IFERROR(__xludf.DUMMYFUNCTION("MIN(index(GOOGLEFINANCE(A32,""ALL"",TODAY()-180,TODAY()),0,5))*1.2"),225.04799999999997)</f>
        <v>225.048</v>
      </c>
      <c r="E32" s="62">
        <f>IFERROR(__xludf.DUMMYFUNCTION("AVERAGE(QUERY(SORT(GOOGLEFINANCE(A32,""price"",TODAY()-320,TODAY()),1,0),""select Col2 limit 100""))"),216.5356)</f>
        <v>216.5356</v>
      </c>
      <c r="F32" s="44">
        <f>IFERROR(__xludf.DUMMYFUNCTION("GOOGLEFINANCE(A32,""high52"")"),273.1)</f>
        <v>273.1</v>
      </c>
      <c r="G32" s="45">
        <f>IFERROR(__xludf.DUMMYFUNCTION("to_date(index(sort(GOOGLEFINANCE(A32, ""high"", today()-52*7, today(), ""DAILY""),2,0),2,1))"),46013.64583333333)</f>
        <v>46013.64583</v>
      </c>
      <c r="H32" s="44">
        <f>IFERROR(__xludf.DUMMYFUNCTION("GOOGLEFINANCE(A32,""low52"")"),186.5)</f>
        <v>186.5</v>
      </c>
      <c r="I32" s="45">
        <f>IFERROR(__xludf.DUMMYFUNCTION("to_date(index(sort(GOOGLEFINANCE(A32, ""low"", today()-52*7, today(), ""DAILY""),2,1),1,1))"),46111.64583333333)</f>
        <v>46111.64583</v>
      </c>
      <c r="J32" s="46" t="str">
        <f t="shared" si="1"/>
        <v>Do Not Buy Today</v>
      </c>
    </row>
    <row r="33">
      <c r="A33" s="73" t="s">
        <v>186</v>
      </c>
      <c r="B33" s="59">
        <f>IFERROR(__xludf.DUMMYFUNCTION("GOOGLEFINANCE(A33,""price"")"),5032.5)</f>
        <v>5032.5</v>
      </c>
      <c r="C33" s="60">
        <f>IFERROR(__xludf.DUMMYFUNCTION("GOOGLEFINANCE(A33,""closeyest"")"),4983.0)</f>
        <v>4983</v>
      </c>
      <c r="D33" s="61">
        <f>IFERROR(__xludf.DUMMYFUNCTION("MIN(index(GOOGLEFINANCE(A33,""ALL"",TODAY()-180,TODAY()),0,5))*1.2"),5948.4)</f>
        <v>5948.4</v>
      </c>
      <c r="E33" s="62">
        <f>IFERROR(__xludf.DUMMYFUNCTION("AVERAGE(QUERY(SORT(GOOGLEFINANCE(A33,""price"",TODAY()-320,TODAY()),1,0),""select Col2 limit 100""))"),5411.005)</f>
        <v>5411.005</v>
      </c>
      <c r="F33" s="44">
        <f>IFERROR(__xludf.DUMMYFUNCTION("GOOGLEFINANCE(A33,""high52"")"),6388.5)</f>
        <v>6388.5</v>
      </c>
      <c r="G33" s="45">
        <f>IFERROR(__xludf.DUMMYFUNCTION("to_date(index(sort(GOOGLEFINANCE(A33, ""high"", today()-52*7, today(), ""DAILY""),2,0),2,1))"),45996.64583333333)</f>
        <v>45996.64583</v>
      </c>
      <c r="H33" s="44">
        <f>IFERROR(__xludf.DUMMYFUNCTION("GOOGLEFINANCE(A33,""low52"")"),4158.1)</f>
        <v>4158.1</v>
      </c>
      <c r="I33" s="45">
        <f>IFERROR(__xludf.DUMMYFUNCTION("to_date(index(sort(GOOGLEFINANCE(A33, ""low"", today()-52*7, today(), ""DAILY""),2,1),1,1))"),45814.64583333333)</f>
        <v>45814.64583</v>
      </c>
      <c r="J33" s="46" t="str">
        <f t="shared" si="1"/>
        <v>Do Not Buy Today</v>
      </c>
    </row>
    <row r="34">
      <c r="A34" s="73" t="s">
        <v>189</v>
      </c>
      <c r="B34" s="59">
        <f>IFERROR(__xludf.DUMMYFUNCTION("GOOGLEFINANCE(A34,""price"")"),764.05)</f>
        <v>764.05</v>
      </c>
      <c r="C34" s="60">
        <f>IFERROR(__xludf.DUMMYFUNCTION("GOOGLEFINANCE(A34,""closeyest"")"),778.9)</f>
        <v>778.9</v>
      </c>
      <c r="D34" s="61">
        <f>IFERROR(__xludf.DUMMYFUNCTION("MIN(index(GOOGLEFINANCE(A34,""ALL"",TODAY()-180,TODAY()),0,5))*1.2"),877.8599999999999)</f>
        <v>877.86</v>
      </c>
      <c r="E34" s="62">
        <f>IFERROR(__xludf.DUMMYFUNCTION("AVERAGE(QUERY(SORT(GOOGLEFINANCE(A34,""price"",TODAY()-320,TODAY()),1,0),""select Col2 limit 100""))"),856.8629999999997)</f>
        <v>856.863</v>
      </c>
      <c r="F34" s="44">
        <f>IFERROR(__xludf.DUMMYFUNCTION("GOOGLEFINANCE(A34,""high52"")"),1020.5)</f>
        <v>1020.5</v>
      </c>
      <c r="G34" s="45">
        <f>IFERROR(__xludf.DUMMYFUNCTION("to_date(index(sort(GOOGLEFINANCE(A34, ""high"", today()-52*7, today(), ""DAILY""),2,0),2,1))"),45953.64583333333)</f>
        <v>45953.64583</v>
      </c>
      <c r="H34" s="44">
        <f>IFERROR(__xludf.DUMMYFUNCTION("GOOGLEFINANCE(A34,""low52"")"),726.65)</f>
        <v>726.65</v>
      </c>
      <c r="I34" s="45">
        <f>IFERROR(__xludf.DUMMYFUNCTION("to_date(index(sort(GOOGLEFINANCE(A34, ""low"", today()-52*7, today(), ""DAILY""),2,1),1,1))"),46111.64583333333)</f>
        <v>46111.64583</v>
      </c>
      <c r="J34" s="46" t="str">
        <f t="shared" si="1"/>
        <v>Do Not Buy Today</v>
      </c>
    </row>
    <row r="35">
      <c r="A35" s="73" t="s">
        <v>190</v>
      </c>
      <c r="B35" s="59">
        <f>IFERROR(__xludf.DUMMYFUNCTION("GOOGLEFINANCE(A35,""price"")"),2676.7)</f>
        <v>2676.7</v>
      </c>
      <c r="C35" s="60">
        <f>IFERROR(__xludf.DUMMYFUNCTION("GOOGLEFINANCE(A35,""closeyest"")"),2647.0)</f>
        <v>2647</v>
      </c>
      <c r="D35" s="61">
        <f>IFERROR(__xludf.DUMMYFUNCTION("MIN(index(GOOGLEFINANCE(A35,""ALL"",TODAY()-180,TODAY()),0,5))*1.2"),2545.56)</f>
        <v>2545.56</v>
      </c>
      <c r="E35" s="62">
        <f>IFERROR(__xludf.DUMMYFUNCTION("AVERAGE(QUERY(SORT(GOOGLEFINANCE(A35,""price"",TODAY()-320,TODAY()),1,0),""select Col2 limit 100""))"),2477.337)</f>
        <v>2477.337</v>
      </c>
      <c r="F35" s="44">
        <f>IFERROR(__xludf.DUMMYFUNCTION("GOOGLEFINANCE(A35,""high52"")"),2985.7)</f>
        <v>2985.7</v>
      </c>
      <c r="G35" s="45">
        <f>IFERROR(__xludf.DUMMYFUNCTION("to_date(index(sort(GOOGLEFINANCE(A35, ""high"", today()-52*7, today(), ""DAILY""),2,0),2,1))"),45995.64583333333)</f>
        <v>45995.64583</v>
      </c>
      <c r="H35" s="44">
        <f>IFERROR(__xludf.DUMMYFUNCTION("GOOGLEFINANCE(A35,""low52"")"),2115.0)</f>
        <v>2115</v>
      </c>
      <c r="I35" s="45">
        <f>IFERROR(__xludf.DUMMYFUNCTION("to_date(index(sort(GOOGLEFINANCE(A35, ""low"", today()-52*7, today(), ""DAILY""),2,1),1,1))"),46104.64583333333)</f>
        <v>46104.64583</v>
      </c>
      <c r="J35" s="46" t="str">
        <f t="shared" si="1"/>
        <v>Do Not Buy Today</v>
      </c>
    </row>
    <row r="36">
      <c r="A36" s="73" t="s">
        <v>192</v>
      </c>
      <c r="B36" s="59">
        <f>IFERROR(__xludf.DUMMYFUNCTION("GOOGLEFINANCE(A36,""price"")"),971.1)</f>
        <v>971.1</v>
      </c>
      <c r="C36" s="60">
        <f>IFERROR(__xludf.DUMMYFUNCTION("GOOGLEFINANCE(A36,""closeyest"")"),968.5)</f>
        <v>968.5</v>
      </c>
      <c r="D36" s="61">
        <f>IFERROR(__xludf.DUMMYFUNCTION("MIN(index(GOOGLEFINANCE(A36,""ALL"",TODAY()-180,TODAY()),0,5))*1.2"),1127.28)</f>
        <v>1127.28</v>
      </c>
      <c r="E36" s="62">
        <f>IFERROR(__xludf.DUMMYFUNCTION("AVERAGE(QUERY(SORT(GOOGLEFINANCE(A36,""price"",TODAY()-320,TODAY()),1,0),""select Col2 limit 100""))"),1065.8714999999995)</f>
        <v>1065.8715</v>
      </c>
      <c r="F36" s="44">
        <f>IFERROR(__xludf.DUMMYFUNCTION("GOOGLEFINANCE(A36,""high52"")"),1234.7)</f>
        <v>1234.7</v>
      </c>
      <c r="G36" s="45">
        <f>IFERROR(__xludf.DUMMYFUNCTION("to_date(index(sort(GOOGLEFINANCE(A36, ""high"", today()-52*7, today(), ""DAILY""),2,0),2,1))"),46077.64583333333)</f>
        <v>46077.64583</v>
      </c>
      <c r="H36" s="44">
        <f>IFERROR(__xludf.DUMMYFUNCTION("GOOGLEFINANCE(A36,""low52"")"),781.7)</f>
        <v>781.7</v>
      </c>
      <c r="I36" s="45">
        <f>IFERROR(__xludf.DUMMYFUNCTION("to_date(index(sort(GOOGLEFINANCE(A36, ""low"", today()-52*7, today(), ""DAILY""),2,1),1,1))"),45827.64583333333)</f>
        <v>45827.64583</v>
      </c>
      <c r="J36" s="46" t="str">
        <f t="shared" si="1"/>
        <v>Do Not Buy Today</v>
      </c>
    </row>
    <row r="37">
      <c r="A37" s="73" t="s">
        <v>195</v>
      </c>
      <c r="B37" s="59">
        <f>IFERROR(__xludf.DUMMYFUNCTION("GOOGLEFINANCE(A37,""price"")"),447.55)</f>
        <v>447.55</v>
      </c>
      <c r="C37" s="60">
        <f>IFERROR(__xludf.DUMMYFUNCTION("GOOGLEFINANCE(A37,""closeyest"")"),458.15)</f>
        <v>458.15</v>
      </c>
      <c r="D37" s="61">
        <f>IFERROR(__xludf.DUMMYFUNCTION("MIN(index(GOOGLEFINANCE(A37,""ALL"",TODAY()-180,TODAY()),0,5))*1.2"),450.3)</f>
        <v>450.3</v>
      </c>
      <c r="E37" s="62">
        <f>IFERROR(__xludf.DUMMYFUNCTION("AVERAGE(QUERY(SORT(GOOGLEFINANCE(A37,""price"",TODAY()-320,TODAY()),1,0),""select Col2 limit 100""))"),440.7035000000002)</f>
        <v>440.7035</v>
      </c>
      <c r="F37" s="44">
        <f>IFERROR(__xludf.DUMMYFUNCTION("GOOGLEFINANCE(A37,""high52"")"),491.25)</f>
        <v>491.25</v>
      </c>
      <c r="G37" s="45">
        <f>IFERROR(__xludf.DUMMYFUNCTION("to_date(index(sort(GOOGLEFINANCE(A37, ""high"", today()-52*7, today(), ""DAILY""),2,0),2,1))"),46142.64583333333)</f>
        <v>46142.64583</v>
      </c>
      <c r="H37" s="44">
        <f>IFERROR(__xludf.DUMMYFUNCTION("GOOGLEFINANCE(A37,""low52"")"),368.65)</f>
        <v>368.65</v>
      </c>
      <c r="I37" s="45">
        <f>IFERROR(__xludf.DUMMYFUNCTION("to_date(index(sort(GOOGLEFINANCE(A37, ""low"", today()-52*7, today(), ""DAILY""),2,1),1,1))"),46129.64583333333)</f>
        <v>46129.64583</v>
      </c>
      <c r="J37" s="46" t="str">
        <f t="shared" si="1"/>
        <v>Do Not Buy Today</v>
      </c>
    </row>
    <row r="38">
      <c r="A38" s="73" t="s">
        <v>200</v>
      </c>
      <c r="B38" s="59">
        <f>IFERROR(__xludf.DUMMYFUNCTION("GOOGLEFINANCE(A38,""price"")"),1289.7)</f>
        <v>1289.7</v>
      </c>
      <c r="C38" s="60">
        <f>IFERROR(__xludf.DUMMYFUNCTION("GOOGLEFINANCE(A38,""closeyest"")"),1279.1)</f>
        <v>1279.1</v>
      </c>
      <c r="D38" s="61">
        <f>IFERROR(__xludf.DUMMYFUNCTION("MIN(index(GOOGLEFINANCE(A38,""ALL"",TODAY()-180,TODAY()),0,5))*1.2"),1447.0800000000002)</f>
        <v>1447.08</v>
      </c>
      <c r="E38" s="62">
        <f>IFERROR(__xludf.DUMMYFUNCTION("AVERAGE(QUERY(SORT(GOOGLEFINANCE(A38,""price"",TODAY()-320,TODAY()),1,0),""select Col2 limit 100""))"),1329.249)</f>
        <v>1329.249</v>
      </c>
      <c r="F38" s="44">
        <f>IFERROR(__xludf.DUMMYFUNCTION("GOOGLEFINANCE(A38,""high52"")"),1500.0)</f>
        <v>1500</v>
      </c>
      <c r="G38" s="45">
        <f>IFERROR(__xludf.DUMMYFUNCTION("to_date(index(sort(GOOGLEFINANCE(A38, ""high"", today()-52*7, today(), ""DAILY""),2,0),2,1))"),45863.64583333333)</f>
        <v>45863.64583</v>
      </c>
      <c r="H38" s="44">
        <f>IFERROR(__xludf.DUMMYFUNCTION("GOOGLEFINANCE(A38,""low52"")"),1187.6)</f>
        <v>1187.6</v>
      </c>
      <c r="I38" s="45">
        <f>IFERROR(__xludf.DUMMYFUNCTION("to_date(index(sort(GOOGLEFINANCE(A38, ""low"", today()-52*7, today(), ""DAILY""),2,1),1,1))"),46114.64583333333)</f>
        <v>46114.64583</v>
      </c>
      <c r="J38" s="46" t="str">
        <f t="shared" si="1"/>
        <v>Do Not Buy Today</v>
      </c>
    </row>
    <row r="39">
      <c r="A39" s="73" t="s">
        <v>204</v>
      </c>
      <c r="B39" s="59">
        <f>IFERROR(__xludf.DUMMYFUNCTION("GOOGLEFINANCE(A39,""price"")"),1327.7)</f>
        <v>1327.7</v>
      </c>
      <c r="C39" s="60">
        <f>IFERROR(__xludf.DUMMYFUNCTION("GOOGLEFINANCE(A39,""closeyest"")"),1327.9)</f>
        <v>1327.9</v>
      </c>
      <c r="D39" s="61">
        <f>IFERROR(__xludf.DUMMYFUNCTION("MIN(index(GOOGLEFINANCE(A39,""ALL"",TODAY()-180,TODAY()),0,5))*1.2"),1388.64)</f>
        <v>1388.64</v>
      </c>
      <c r="E39" s="62">
        <f>IFERROR(__xludf.DUMMYFUNCTION("AVERAGE(QUERY(SORT(GOOGLEFINANCE(A39,""price"",TODAY()-320,TODAY()),1,0),""select Col2 limit 100""))"),1265.42)</f>
        <v>1265.42</v>
      </c>
      <c r="F39" s="44">
        <f>IFERROR(__xludf.DUMMYFUNCTION("GOOGLEFINANCE(A39,""high52"")"),1379.7)</f>
        <v>1379.7</v>
      </c>
      <c r="G39" s="45">
        <f>IFERROR(__xludf.DUMMYFUNCTION("to_date(index(sort(GOOGLEFINANCE(A39, ""high"", today()-52*7, today(), ""DAILY""),2,0),2,1))"),45820.64583333333)</f>
        <v>45820.64583</v>
      </c>
      <c r="H39" s="44">
        <f>IFERROR(__xludf.DUMMYFUNCTION("GOOGLEFINANCE(A39,""low52"")"),1148.4)</f>
        <v>1148.4</v>
      </c>
      <c r="I39" s="45">
        <f>IFERROR(__xludf.DUMMYFUNCTION("to_date(index(sort(GOOGLEFINANCE(A39, ""low"", today()-52*7, today(), ""DAILY""),2,1),1,1))"),46043.64583333333)</f>
        <v>46043.64583</v>
      </c>
      <c r="J39" s="46" t="str">
        <f t="shared" si="1"/>
        <v>Do Not Buy Today</v>
      </c>
    </row>
    <row r="40">
      <c r="A40" s="73" t="s">
        <v>209</v>
      </c>
      <c r="B40" s="59">
        <f>IFERROR(__xludf.DUMMYFUNCTION("GOOGLEFINANCE(A40,""price"")"),11660.0)</f>
        <v>11660</v>
      </c>
      <c r="C40" s="60">
        <f>IFERROR(__xludf.DUMMYFUNCTION("GOOGLEFINANCE(A40,""closeyest"")"),11623.0)</f>
        <v>11623</v>
      </c>
      <c r="D40" s="61">
        <f>IFERROR(__xludf.DUMMYFUNCTION("MIN(index(GOOGLEFINANCE(A40,""ALL"",TODAY()-180,TODAY()),0,5))*1.2"),12434.4)</f>
        <v>12434.4</v>
      </c>
      <c r="E40" s="62">
        <f>IFERROR(__xludf.DUMMYFUNCTION("AVERAGE(QUERY(SORT(GOOGLEFINANCE(A40,""price"",TODAY()-320,TODAY()),1,0),""select Col2 limit 100""))"),11953.75)</f>
        <v>11953.75</v>
      </c>
      <c r="F40" s="44">
        <f>IFERROR(__xludf.DUMMYFUNCTION("GOOGLEFINANCE(A40,""high52"")"),13110.0)</f>
        <v>13110</v>
      </c>
      <c r="G40" s="45">
        <f>IFERROR(__xludf.DUMMYFUNCTION("to_date(index(sort(GOOGLEFINANCE(A40, ""high"", today()-52*7, today(), ""DAILY""),2,0),2,1))"),46063.64583333333)</f>
        <v>46063.64583</v>
      </c>
      <c r="H40" s="44">
        <f>IFERROR(__xludf.DUMMYFUNCTION("GOOGLEFINANCE(A40,""low52"")"),10325.0)</f>
        <v>10325</v>
      </c>
      <c r="I40" s="45">
        <f>IFERROR(__xludf.DUMMYFUNCTION("to_date(index(sort(GOOGLEFINANCE(A40, ""low"", today()-52*7, today(), ""DAILY""),2,1),1,1))"),46104.64583333333)</f>
        <v>46104.64583</v>
      </c>
      <c r="J40" s="46" t="str">
        <f t="shared" si="1"/>
        <v>Do Not Buy Today</v>
      </c>
    </row>
    <row r="41">
      <c r="A41" s="73" t="s">
        <v>216</v>
      </c>
      <c r="B41" s="59">
        <f>IFERROR(__xludf.DUMMYFUNCTION("GOOGLEFINANCE(A41,""price"")"),1320.1)</f>
        <v>1320.1</v>
      </c>
      <c r="C41" s="60">
        <f>IFERROR(__xludf.DUMMYFUNCTION("GOOGLEFINANCE(A41,""closeyest"")"),1293.6)</f>
        <v>1293.6</v>
      </c>
      <c r="D41" s="61">
        <f>IFERROR(__xludf.DUMMYFUNCTION("MIN(index(GOOGLEFINANCE(A41,""ALL"",TODAY()-180,TODAY()),0,5))*1.2"),1295.1599999999999)</f>
        <v>1295.16</v>
      </c>
      <c r="E41" s="62">
        <f>IFERROR(__xludf.DUMMYFUNCTION("AVERAGE(QUERY(SORT(GOOGLEFINANCE(A41,""price"",TODAY()-320,TODAY()),1,0),""select Col2 limit 100""))"),1215.682)</f>
        <v>1215.682</v>
      </c>
      <c r="F41" s="44">
        <f>IFERROR(__xludf.DUMMYFUNCTION("GOOGLEFINANCE(A41,""high52"")"),1328.0)</f>
        <v>1328</v>
      </c>
      <c r="G41" s="45">
        <f>IFERROR(__xludf.DUMMYFUNCTION("to_date(index(sort(GOOGLEFINANCE(A41, ""high"", today()-52*7, today(), ""DAILY""),2,0),2,1))"),46157.64583333333)</f>
        <v>46157.64583</v>
      </c>
      <c r="H41" s="44">
        <f>IFERROR(__xludf.DUMMYFUNCTION("GOOGLEFINANCE(A41,""low52"")"),962.15)</f>
        <v>962.15</v>
      </c>
      <c r="I41" s="45">
        <f>IFERROR(__xludf.DUMMYFUNCTION("to_date(index(sort(GOOGLEFINANCE(A41, ""low"", today()-52*7, today(), ""DAILY""),2,1),1,1))"),45812.64583333333)</f>
        <v>45812.64583</v>
      </c>
      <c r="J41" s="46" t="str">
        <f t="shared" si="1"/>
        <v>Do Not Buy Today</v>
      </c>
    </row>
    <row r="42">
      <c r="A42" s="73" t="s">
        <v>221</v>
      </c>
      <c r="B42" s="59">
        <f>IFERROR(__xludf.DUMMYFUNCTION("GOOGLEFINANCE(A42,""price"")"),3130.2)</f>
        <v>3130.2</v>
      </c>
      <c r="C42" s="60">
        <f>IFERROR(__xludf.DUMMYFUNCTION("GOOGLEFINANCE(A42,""closeyest"")"),3107.3)</f>
        <v>3107.3</v>
      </c>
      <c r="D42" s="61">
        <f>IFERROR(__xludf.DUMMYFUNCTION("MIN(index(GOOGLEFINANCE(A42,""ALL"",TODAY()-180,TODAY()),0,5))*1.2"),3517.3199999999997)</f>
        <v>3517.32</v>
      </c>
      <c r="E42" s="62">
        <f>IFERROR(__xludf.DUMMYFUNCTION("AVERAGE(QUERY(SORT(GOOGLEFINANCE(A42,""price"",TODAY()-320,TODAY()),1,0),""select Col2 limit 100""))"),3336.231)</f>
        <v>3336.231</v>
      </c>
      <c r="F42" s="44">
        <f>IFERROR(__xludf.DUMMYFUNCTION("GOOGLEFINANCE(A42,""high52"")"),3839.9)</f>
        <v>3839.9</v>
      </c>
      <c r="G42" s="45">
        <f>IFERROR(__xludf.DUMMYFUNCTION("to_date(index(sort(GOOGLEFINANCE(A42, ""high"", today()-52*7, today(), ""DAILY""),2,0),2,1))"),46027.64583333333)</f>
        <v>46027.64583</v>
      </c>
      <c r="H42" s="44">
        <f>IFERROR(__xludf.DUMMYFUNCTION("GOOGLEFINANCE(A42,""low52"")"),2896.0)</f>
        <v>2896</v>
      </c>
      <c r="I42" s="45">
        <f>IFERROR(__xludf.DUMMYFUNCTION("to_date(index(sort(GOOGLEFINANCE(A42, ""low"", today()-52*7, today(), ""DAILY""),2,1),1,1))"),46097.64583333333)</f>
        <v>46097.64583</v>
      </c>
      <c r="J42" s="46" t="str">
        <f t="shared" si="1"/>
        <v>Do Not Buy Today</v>
      </c>
    </row>
    <row r="43">
      <c r="A43" s="73" t="s">
        <v>231</v>
      </c>
      <c r="B43" s="59">
        <f>IFERROR(__xludf.DUMMYFUNCTION("GOOGLEFINANCE(A43,""price"")"),7361.0)</f>
        <v>7361</v>
      </c>
      <c r="C43" s="60">
        <f>IFERROR(__xludf.DUMMYFUNCTION("GOOGLEFINANCE(A43,""closeyest"")"),7376.0)</f>
        <v>7376</v>
      </c>
      <c r="D43" s="61">
        <f>IFERROR(__xludf.DUMMYFUNCTION("MIN(index(GOOGLEFINANCE(A43,""ALL"",TODAY()-180,TODAY()),0,5))*1.2"),7903.2)</f>
        <v>7903.2</v>
      </c>
      <c r="E43" s="62">
        <f>IFERROR(__xludf.DUMMYFUNCTION("AVERAGE(QUERY(SORT(GOOGLEFINANCE(A43,""price"",TODAY()-320,TODAY()),1,0),""select Col2 limit 100""))"),7267.785)</f>
        <v>7267.785</v>
      </c>
      <c r="F43" s="44">
        <f>IFERROR(__xludf.DUMMYFUNCTION("GOOGLEFINANCE(A43,""high52"")"),8230.0)</f>
        <v>8230</v>
      </c>
      <c r="G43" s="45">
        <f>IFERROR(__xludf.DUMMYFUNCTION("to_date(index(sort(GOOGLEFINANCE(A43, ""high"", today()-52*7, today(), ""DAILY""),2,0),2,1))"),46080.64583333333)</f>
        <v>46080.64583</v>
      </c>
      <c r="H43" s="44">
        <f>IFERROR(__xludf.DUMMYFUNCTION("GOOGLEFINANCE(A43,""low52"")"),5219.5)</f>
        <v>5219.5</v>
      </c>
      <c r="I43" s="45">
        <f>IFERROR(__xludf.DUMMYFUNCTION("to_date(index(sort(GOOGLEFINANCE(A43, ""low"", today()-52*7, today(), ""DAILY""),2,1),1,1))"),45821.64583333333)</f>
        <v>45821.64583</v>
      </c>
      <c r="J43" s="46" t="str">
        <f t="shared" si="1"/>
        <v>Do Not Buy Today</v>
      </c>
    </row>
    <row r="44">
      <c r="A44" s="73" t="s">
        <v>232</v>
      </c>
      <c r="B44" s="59">
        <f>IFERROR(__xludf.DUMMYFUNCTION("GOOGLEFINANCE(A44,""price"")"),13188.0)</f>
        <v>13188</v>
      </c>
      <c r="C44" s="60">
        <f>IFERROR(__xludf.DUMMYFUNCTION("GOOGLEFINANCE(A44,""closeyest"")"),13208.0)</f>
        <v>13208</v>
      </c>
      <c r="D44" s="61">
        <f>IFERROR(__xludf.DUMMYFUNCTION("MIN(index(GOOGLEFINANCE(A44,""ALL"",TODAY()-180,TODAY()),0,5))*1.2"),14767.199999999999)</f>
        <v>14767.2</v>
      </c>
      <c r="E44" s="62">
        <f>IFERROR(__xludf.DUMMYFUNCTION("AVERAGE(QUERY(SORT(GOOGLEFINANCE(A44,""price"",TODAY()-320,TODAY()),1,0),""select Col2 limit 100""))"),14279.27)</f>
        <v>14279.27</v>
      </c>
      <c r="F44" s="44">
        <f>IFERROR(__xludf.DUMMYFUNCTION("GOOGLEFINANCE(A44,""high52"")"),17370.0)</f>
        <v>17370</v>
      </c>
      <c r="G44" s="45">
        <f>IFERROR(__xludf.DUMMYFUNCTION("to_date(index(sort(GOOGLEFINANCE(A44, ""high"", today()-52*7, today(), ""DAILY""),2,0),2,1))"),46027.64583333333)</f>
        <v>46027.64583</v>
      </c>
      <c r="H44" s="44">
        <f>IFERROR(__xludf.DUMMYFUNCTION("GOOGLEFINANCE(A44,""low52"")"),12016.0)</f>
        <v>12016</v>
      </c>
      <c r="I44" s="45">
        <f>IFERROR(__xludf.DUMMYFUNCTION("to_date(index(sort(GOOGLEFINANCE(A44, ""low"", today()-52*7, today(), ""DAILY""),2,1),1,1))"),45813.64583333333)</f>
        <v>45813.64583</v>
      </c>
      <c r="J44" s="46" t="str">
        <f t="shared" si="1"/>
        <v>Do Not Buy Today</v>
      </c>
    </row>
    <row r="45">
      <c r="A45" s="73" t="s">
        <v>234</v>
      </c>
      <c r="B45" s="59" t="str">
        <f>IFERROR(__xludf.DUMMYFUNCTION("GOOGLEFINANCE(A45,""price"")"),"#N/A")</f>
        <v>#N/A</v>
      </c>
      <c r="C45" s="60" t="str">
        <f>IFERROR(__xludf.DUMMYFUNCTION("GOOGLEFINANCE(A45,""closeyest"")"),"#N/A")</f>
        <v>#N/A</v>
      </c>
      <c r="D45" s="61" t="str">
        <f>IFERROR(__xludf.DUMMYFUNCTION("MIN(index(GOOGLEFINANCE(A45,""ALL"",TODAY()-180,TODAY()),0,5))*1.2"),"#N/A")</f>
        <v>#N/A</v>
      </c>
      <c r="E45" s="62" t="str">
        <f>IFERROR(__xludf.DUMMYFUNCTION("AVERAGE(QUERY(SORT(GOOGLEFINANCE(A45,""price"",TODAY()-320,TODAY()),1,0),""select Col2 limit 100""))"),"#N/A")</f>
        <v>#N/A</v>
      </c>
      <c r="F45" s="44" t="str">
        <f>IFERROR(__xludf.DUMMYFUNCTION("GOOGLEFINANCE(A45,""high52"")"),"#N/A")</f>
        <v>#N/A</v>
      </c>
      <c r="G45" s="45" t="str">
        <f>IFERROR(__xludf.DUMMYFUNCTION("to_date(index(sort(GOOGLEFINANCE(A45, ""high"", today()-52*7, today(), ""DAILY""),2,0),2,1))"),"#N/A")</f>
        <v>#N/A</v>
      </c>
      <c r="H45" s="44" t="str">
        <f>IFERROR(__xludf.DUMMYFUNCTION("GOOGLEFINANCE(A45,""low52"")"),"#N/A")</f>
        <v>#N/A</v>
      </c>
      <c r="I45" s="45" t="str">
        <f>IFERROR(__xludf.DUMMYFUNCTION("to_date(index(sort(GOOGLEFINANCE(A45, ""low"", today()-52*7, today(), ""DAILY""),2,1),1,1))"),"#N/A")</f>
        <v>#N/A</v>
      </c>
      <c r="J45" s="46" t="str">
        <f t="shared" si="1"/>
        <v>#N/A</v>
      </c>
    </row>
    <row r="46">
      <c r="A46" s="73" t="s">
        <v>235</v>
      </c>
      <c r="B46" s="59">
        <f>IFERROR(__xludf.DUMMYFUNCTION("GOOGLEFINANCE(A46,""price"")"),1146.4)</f>
        <v>1146.4</v>
      </c>
      <c r="C46" s="60">
        <f>IFERROR(__xludf.DUMMYFUNCTION("GOOGLEFINANCE(A46,""closeyest"")"),1103.8)</f>
        <v>1103.8</v>
      </c>
      <c r="D46" s="61">
        <f>IFERROR(__xludf.DUMMYFUNCTION("MIN(index(GOOGLEFINANCE(A46,""ALL"",TODAY()-180,TODAY()),0,5))*1.2"),968.22)</f>
        <v>968.22</v>
      </c>
      <c r="E46" s="62">
        <f>IFERROR(__xludf.DUMMYFUNCTION("AVERAGE(QUERY(SORT(GOOGLEFINANCE(A46,""price"",TODAY()-320,TODAY()),1,0),""select Col2 limit 100""))"),966.7654999999994)</f>
        <v>966.7655</v>
      </c>
      <c r="F46" s="44">
        <f>IFERROR(__xludf.DUMMYFUNCTION("GOOGLEFINANCE(A46,""high52"")"),1154.0)</f>
        <v>1154</v>
      </c>
      <c r="G46" s="45">
        <f>IFERROR(__xludf.DUMMYFUNCTION("to_date(index(sort(GOOGLEFINANCE(A46, ""high"", today()-52*7, today(), ""DAILY""),2,0),2,1))"),46167.64583333333)</f>
        <v>46167.64583</v>
      </c>
      <c r="H46" s="44">
        <f>IFERROR(__xludf.DUMMYFUNCTION("GOOGLEFINANCE(A46,""low52"")"),618.0)</f>
        <v>618</v>
      </c>
      <c r="I46" s="45">
        <f>IFERROR(__xludf.DUMMYFUNCTION("to_date(index(sort(GOOGLEFINANCE(A46, ""low"", today()-52*7, today(), ""DAILY""),2,1),1,1))"),45810.64583333333)</f>
        <v>45810.64583</v>
      </c>
      <c r="J46" s="46" t="str">
        <f t="shared" si="1"/>
        <v>Do Not Buy Today</v>
      </c>
    </row>
    <row r="47">
      <c r="A47" s="73" t="s">
        <v>237</v>
      </c>
      <c r="B47" s="59">
        <f>IFERROR(__xludf.DUMMYFUNCTION("GOOGLEFINANCE(A47,""price"")"),10733.5)</f>
        <v>10733.5</v>
      </c>
      <c r="C47" s="60">
        <f>IFERROR(__xludf.DUMMYFUNCTION("GOOGLEFINANCE(A47,""closeyest"")"),10593.0)</f>
        <v>10593</v>
      </c>
      <c r="D47" s="61">
        <f>IFERROR(__xludf.DUMMYFUNCTION("MIN(index(GOOGLEFINANCE(A47,""ALL"",TODAY()-180,TODAY()),0,5))*1.2"),10510.199999999999)</f>
        <v>10510.2</v>
      </c>
      <c r="E47" s="62">
        <f>IFERROR(__xludf.DUMMYFUNCTION("AVERAGE(QUERY(SORT(GOOGLEFINANCE(A47,""price"",TODAY()-320,TODAY()),1,0),""select Col2 limit 100""))"),9653.93)</f>
        <v>9653.93</v>
      </c>
      <c r="F47" s="44">
        <f>IFERROR(__xludf.DUMMYFUNCTION("GOOGLEFINANCE(A47,""high52"")"),10785.0)</f>
        <v>10785</v>
      </c>
      <c r="G47" s="45">
        <f>IFERROR(__xludf.DUMMYFUNCTION("to_date(index(sort(GOOGLEFINANCE(A47, ""high"", today()-52*7, today(), ""DAILY""),2,0),2,1))"),46150.64583333333)</f>
        <v>46150.64583</v>
      </c>
      <c r="H47" s="44">
        <f>IFERROR(__xludf.DUMMYFUNCTION("GOOGLEFINANCE(A47,""low52"")"),7858.5)</f>
        <v>7858.5</v>
      </c>
      <c r="I47" s="45">
        <f>IFERROR(__xludf.DUMMYFUNCTION("to_date(index(sort(GOOGLEFINANCE(A47, ""low"", today()-52*7, today(), ""DAILY""),2,1),1,1))"),45876.64583333333)</f>
        <v>45876.64583</v>
      </c>
      <c r="J47" s="46" t="str">
        <f t="shared" si="1"/>
        <v>Do Not Buy Today</v>
      </c>
    </row>
    <row r="48">
      <c r="A48" s="73" t="s">
        <v>247</v>
      </c>
      <c r="B48" s="59">
        <f>IFERROR(__xludf.DUMMYFUNCTION("GOOGLEFINANCE(A48,""price"")"),418.9)</f>
        <v>418.9</v>
      </c>
      <c r="C48" s="60">
        <f>IFERROR(__xludf.DUMMYFUNCTION("GOOGLEFINANCE(A48,""closeyest"")"),420.1)</f>
        <v>420.1</v>
      </c>
      <c r="D48" s="61">
        <f>IFERROR(__xludf.DUMMYFUNCTION("MIN(index(GOOGLEFINANCE(A48,""ALL"",TODAY()-180,TODAY()),0,5))*1.2"),460.14)</f>
        <v>460.14</v>
      </c>
      <c r="E48" s="62">
        <f>IFERROR(__xludf.DUMMYFUNCTION("AVERAGE(QUERY(SORT(GOOGLEFINANCE(A48,""price"",TODAY()-320,TODAY()),1,0),""select Col2 limit 100""))"),430.9344999999999)</f>
        <v>430.9345</v>
      </c>
      <c r="F48" s="44">
        <f>IFERROR(__xludf.DUMMYFUNCTION("GOOGLEFINANCE(A48,""high52"")"),473.45)</f>
        <v>473.45</v>
      </c>
      <c r="G48" s="45">
        <f>IFERROR(__xludf.DUMMYFUNCTION("to_date(index(sort(GOOGLEFINANCE(A48, ""high"", today()-52*7, today(), ""DAILY""),2,0),2,1))"),46087.64583333333)</f>
        <v>46087.64583</v>
      </c>
      <c r="H48" s="44">
        <f>IFERROR(__xludf.DUMMYFUNCTION("GOOGLEFINANCE(A48,""low52"")"),361.2)</f>
        <v>361.2</v>
      </c>
      <c r="I48" s="45">
        <f>IFERROR(__xludf.DUMMYFUNCTION("to_date(index(sort(GOOGLEFINANCE(A48, ""low"", today()-52*7, today(), ""DAILY""),2,1),1,1))"),45897.64583333333)</f>
        <v>45897.64583</v>
      </c>
      <c r="J48" s="46" t="str">
        <f t="shared" si="1"/>
        <v>Do Not Buy Today</v>
      </c>
    </row>
    <row r="49">
      <c r="A49" s="73" t="s">
        <v>250</v>
      </c>
      <c r="B49" s="59">
        <f>IFERROR(__xludf.DUMMYFUNCTION("GOOGLEFINANCE(A49,""price"")"),1858.4)</f>
        <v>1858.4</v>
      </c>
      <c r="C49" s="60">
        <f>IFERROR(__xludf.DUMMYFUNCTION("GOOGLEFINANCE(A49,""closeyest"")"),1846.9)</f>
        <v>1846.9</v>
      </c>
      <c r="D49" s="61">
        <f>IFERROR(__xludf.DUMMYFUNCTION("MIN(index(GOOGLEFINANCE(A49,""ALL"",TODAY()-180,TODAY()),0,5))*1.2"),2108.16)</f>
        <v>2108.16</v>
      </c>
      <c r="E49" s="62">
        <f>IFERROR(__xludf.DUMMYFUNCTION("AVERAGE(QUERY(SORT(GOOGLEFINANCE(A49,""price"",TODAY()-320,TODAY()),1,0),""select Col2 limit 100""))"),1919.3099999999995)</f>
        <v>1919.31</v>
      </c>
      <c r="F49" s="44">
        <f>IFERROR(__xludf.DUMMYFUNCTION("GOOGLEFINANCE(A49,""high52"")"),2174.5)</f>
        <v>2174.5</v>
      </c>
      <c r="G49" s="45">
        <f>IFERROR(__xludf.DUMMYFUNCTION("to_date(index(sort(GOOGLEFINANCE(A49, ""high"", today()-52*7, today(), ""DAILY""),2,0),2,1))"),45982.64583333333)</f>
        <v>45982.64583</v>
      </c>
      <c r="H49" s="44">
        <f>IFERROR(__xludf.DUMMYFUNCTION("GOOGLEFINANCE(A49,""low52"")"),1740.5)</f>
        <v>1740.5</v>
      </c>
      <c r="I49" s="45">
        <f>IFERROR(__xludf.DUMMYFUNCTION("to_date(index(sort(GOOGLEFINANCE(A49, ""low"", today()-52*7, today(), ""DAILY""),2,1),1,1))"),46155.64583333333)</f>
        <v>46155.64583</v>
      </c>
      <c r="J49" s="46" t="str">
        <f t="shared" si="1"/>
        <v>Do Not Buy Today</v>
      </c>
    </row>
    <row r="50">
      <c r="A50" s="73" t="s">
        <v>279</v>
      </c>
      <c r="B50" s="59">
        <f>IFERROR(__xludf.DUMMYFUNCTION("GOOGLEFINANCE(A50,""price"")"),3160.6)</f>
        <v>3160.6</v>
      </c>
      <c r="C50" s="60">
        <f>IFERROR(__xludf.DUMMYFUNCTION("GOOGLEFINANCE(A50,""closeyest"")"),3165.0)</f>
        <v>3165</v>
      </c>
      <c r="D50" s="61">
        <f>IFERROR(__xludf.DUMMYFUNCTION("MIN(index(GOOGLEFINANCE(A50,""ALL"",TODAY()-180,TODAY()),0,5))*1.2"),3037.3199999999997)</f>
        <v>3037.32</v>
      </c>
      <c r="E50" s="62">
        <f>IFERROR(__xludf.DUMMYFUNCTION("AVERAGE(QUERY(SORT(GOOGLEFINANCE(A50,""price"",TODAY()-320,TODAY()),1,0),""select Col2 limit 100""))"),2807.024000000001)</f>
        <v>2807.024</v>
      </c>
      <c r="F50" s="44">
        <f>IFERROR(__xludf.DUMMYFUNCTION("GOOGLEFINANCE(A50,""high52"")"),3197.5)</f>
        <v>3197.5</v>
      </c>
      <c r="G50" s="45">
        <f>IFERROR(__xludf.DUMMYFUNCTION("to_date(index(sort(GOOGLEFINANCE(A50, ""high"", today()-52*7, today(), ""DAILY""),2,0),2,1))"),46168.64583333333)</f>
        <v>46168.64583</v>
      </c>
      <c r="H50" s="44">
        <f>IFERROR(__xludf.DUMMYFUNCTION("GOOGLEFINANCE(A50,""low52"")"),2502.5)</f>
        <v>2502.5</v>
      </c>
      <c r="I50" s="45">
        <f>IFERROR(__xludf.DUMMYFUNCTION("to_date(index(sort(GOOGLEFINANCE(A50, ""low"", today()-52*7, today(), ""DAILY""),2,1),1,1))"),46104.64583333333)</f>
        <v>46104.64583</v>
      </c>
      <c r="J50" s="46" t="str">
        <f t="shared" si="1"/>
        <v>Do Not Buy Today</v>
      </c>
    </row>
    <row r="51">
      <c r="A51" s="73" t="s">
        <v>299</v>
      </c>
      <c r="B51" s="59">
        <f>IFERROR(__xludf.DUMMYFUNCTION("GOOGLEFINANCE(A51,""price"")"),1832.2)</f>
        <v>1832.2</v>
      </c>
      <c r="C51" s="60">
        <f>IFERROR(__xludf.DUMMYFUNCTION("GOOGLEFINANCE(A51,""closeyest"")"),1840.8)</f>
        <v>1840.8</v>
      </c>
      <c r="D51" s="61">
        <f>IFERROR(__xludf.DUMMYFUNCTION("MIN(index(GOOGLEFINANCE(A51,""ALL"",TODAY()-180,TODAY()),0,5))*1.2"),1907.1599999999999)</f>
        <v>1907.16</v>
      </c>
      <c r="E51" s="62">
        <f>IFERROR(__xludf.DUMMYFUNCTION("AVERAGE(QUERY(SORT(GOOGLEFINANCE(A51,""price"",TODAY()-320,TODAY()),1,0),""select Col2 limit 100""))"),1742.763)</f>
        <v>1742.763</v>
      </c>
      <c r="F51" s="44">
        <f>IFERROR(__xludf.DUMMYFUNCTION("GOOGLEFINANCE(A51,""high52"")"),1916.6)</f>
        <v>1916.6</v>
      </c>
      <c r="G51" s="45">
        <f>IFERROR(__xludf.DUMMYFUNCTION("to_date(index(sort(GOOGLEFINANCE(A51, ""high"", today()-52*7, today(), ""DAILY""),2,0),2,1))"),46161.64583333333)</f>
        <v>46161.64583</v>
      </c>
      <c r="H51" s="44">
        <f>IFERROR(__xludf.DUMMYFUNCTION("GOOGLEFINANCE(A51,""low52"")"),1548.0)</f>
        <v>1548</v>
      </c>
      <c r="I51" s="45">
        <f>IFERROR(__xludf.DUMMYFUNCTION("to_date(index(sort(GOOGLEFINANCE(A51, ""low"", today()-52*7, today(), ""DAILY""),2,1),1,1))"),45926.64583333333)</f>
        <v>45926.64583</v>
      </c>
      <c r="J51" s="46" t="str">
        <f t="shared" si="1"/>
        <v>Do Not Buy Today</v>
      </c>
    </row>
  </sheetData>
  <mergeCells count="4">
    <mergeCell ref="K1:L1"/>
    <mergeCell ref="M1:N1"/>
    <mergeCell ref="K2:N2"/>
    <mergeCell ref="K3:N3"/>
  </mergeCells>
  <conditionalFormatting sqref="J1:J51">
    <cfRule type="cellIs" dxfId="0" priority="1" operator="equal">
      <formula>"Buy Today"</formula>
    </cfRule>
  </conditionalFormatting>
  <conditionalFormatting sqref="J1:J1001">
    <cfRule type="cellIs" dxfId="1" priority="2" operator="equal">
      <formula>"Buy Today"</formula>
    </cfRule>
  </conditionalFormatting>
  <hyperlinks>
    <hyperlink r:id="rId1" ref="K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6.5"/>
    <col customWidth="1" min="10" max="10" width="15.63"/>
  </cols>
  <sheetData>
    <row r="1">
      <c r="A1" s="71" t="s">
        <v>101</v>
      </c>
      <c r="B1" s="72" t="s">
        <v>21</v>
      </c>
      <c r="C1" s="72" t="s">
        <v>22</v>
      </c>
      <c r="D1" s="57" t="s">
        <v>23</v>
      </c>
      <c r="E1" s="72" t="s">
        <v>24</v>
      </c>
      <c r="F1" s="35" t="s">
        <v>25</v>
      </c>
      <c r="G1" s="36" t="s">
        <v>26</v>
      </c>
      <c r="H1" s="35" t="s">
        <v>27</v>
      </c>
      <c r="I1" s="35" t="s">
        <v>28</v>
      </c>
      <c r="J1" s="34" t="s">
        <v>29</v>
      </c>
    </row>
    <row r="2">
      <c r="A2" s="73" t="s">
        <v>133</v>
      </c>
      <c r="B2" s="76">
        <f>IFERROR(__xludf.DUMMYFUNCTION("GOOGLEFINANCE(A2,""price"")"),1311.9)</f>
        <v>1311.9</v>
      </c>
      <c r="C2" s="77">
        <f>IFERROR(__xludf.DUMMYFUNCTION("GOOGLEFINANCE(A2,""closeyest"")"),1299.3)</f>
        <v>1299.3</v>
      </c>
      <c r="D2" s="61">
        <f>IFERROR(__xludf.DUMMYFUNCTION("MIN(index(GOOGLEFINANCE(A2,""ALL"",TODAY()-180,TODAY()),0,5))*1.2"),1393.56)</f>
        <v>1393.56</v>
      </c>
      <c r="E2" s="62">
        <f>IFERROR(__xludf.DUMMYFUNCTION("AVERAGE(QUERY(SORT(GOOGLEFINANCE(A2,""price"",TODAY()-320,TODAY()),1,0),""select Col2 limit 100""))"),1296.844)</f>
        <v>1296.844</v>
      </c>
      <c r="F2" s="44">
        <f>IFERROR(__xludf.DUMMYFUNCTION("GOOGLEFINANCE(A2,""high52"")"),1418.3)</f>
        <v>1418.3</v>
      </c>
      <c r="G2" s="45">
        <f>IFERROR(__xludf.DUMMYFUNCTION("to_date(index(sort(GOOGLEFINANCE(A2, ""high"", today()-52*7, today(), ""DAILY""),2,0),2,1))"),46056.64583333333)</f>
        <v>46056.64583</v>
      </c>
      <c r="H2" s="44">
        <f>IFERROR(__xludf.DUMMYFUNCTION("GOOGLEFINANCE(A2,""low52"")"),1042.5)</f>
        <v>1042.5</v>
      </c>
      <c r="I2" s="45">
        <f>IFERROR(__xludf.DUMMYFUNCTION("to_date(index(sort(GOOGLEFINANCE(A2, ""low"", today()-52*7, today(), ""DAILY""),2,1),1,1))"),45898.64583333333)</f>
        <v>45898.64583</v>
      </c>
      <c r="J2" s="46" t="str">
        <f t="shared" ref="J2:J13" si="1">if(AND(B2&gt;E2,B2&gt;D2,C2&lt;E2, I2&gt;G2),"Buy Today","Do Not Buy Today")</f>
        <v>Do Not Buy Today</v>
      </c>
      <c r="K2" s="78" t="s">
        <v>308</v>
      </c>
    </row>
    <row r="3">
      <c r="A3" s="73" t="s">
        <v>134</v>
      </c>
      <c r="B3" s="76">
        <f>IFERROR(__xludf.DUMMYFUNCTION("GOOGLEFINANCE(A3,""price"")"),389.2)</f>
        <v>389.2</v>
      </c>
      <c r="C3" s="77">
        <f>IFERROR(__xludf.DUMMYFUNCTION("GOOGLEFINANCE(A3,""closeyest"")"),388.65)</f>
        <v>388.65</v>
      </c>
      <c r="D3" s="61">
        <f>IFERROR(__xludf.DUMMYFUNCTION("MIN(index(GOOGLEFINANCE(A3,""ALL"",TODAY()-180,TODAY()),0,5))*1.2"),424.08)</f>
        <v>424.08</v>
      </c>
      <c r="E3" s="62">
        <f>IFERROR(__xludf.DUMMYFUNCTION("AVERAGE(QUERY(SORT(GOOGLEFINANCE(A3,""price"",TODAY()-320,TODAY()),1,0),""select Col2 limit 100""))"),398.24849999999986)</f>
        <v>398.2485</v>
      </c>
      <c r="F3" s="44">
        <f>IFERROR(__xludf.DUMMYFUNCTION("GOOGLEFINANCE(A3,""high52"")"),453.2)</f>
        <v>453.2</v>
      </c>
      <c r="G3" s="45">
        <f>IFERROR(__xludf.DUMMYFUNCTION("to_date(index(sort(GOOGLEFINANCE(A3, ""high"", today()-52*7, today(), ""DAILY""),2,0),2,1))"),45950.64583333333)</f>
        <v>45950.64583</v>
      </c>
      <c r="H3" s="44">
        <f>IFERROR(__xludf.DUMMYFUNCTION("GOOGLEFINANCE(A3,""low52"")"),345.5)</f>
        <v>345.5</v>
      </c>
      <c r="I3" s="45">
        <f>IFERROR(__xludf.DUMMYFUNCTION("to_date(index(sort(GOOGLEFINANCE(A3, ""low"", today()-52*7, today(), ""DAILY""),2,1),1,1))"),46114.64583333333)</f>
        <v>46114.64583</v>
      </c>
      <c r="J3" s="46" t="str">
        <f t="shared" si="1"/>
        <v>Do Not Buy Today</v>
      </c>
      <c r="K3" s="79" t="s">
        <v>309</v>
      </c>
    </row>
    <row r="4">
      <c r="A4" s="73" t="s">
        <v>149</v>
      </c>
      <c r="B4" s="76">
        <f>IFERROR(__xludf.DUMMYFUNCTION("GOOGLEFINANCE(A4,""price"")"),289.75)</f>
        <v>289.75</v>
      </c>
      <c r="C4" s="77">
        <f>IFERROR(__xludf.DUMMYFUNCTION("GOOGLEFINANCE(A4,""closeyest"")"),290.2)</f>
        <v>290.2</v>
      </c>
      <c r="D4" s="61">
        <f>IFERROR(__xludf.DUMMYFUNCTION("MIN(index(GOOGLEFINANCE(A4,""ALL"",TODAY()-180,TODAY()),0,5))*1.2"),296.21999999999997)</f>
        <v>296.22</v>
      </c>
      <c r="E4" s="62">
        <f>IFERROR(__xludf.DUMMYFUNCTION("AVERAGE(QUERY(SORT(GOOGLEFINANCE(A4,""price"",TODAY()-320,TODAY()),1,0),""select Col2 limit 100""))"),280.18899999999996)</f>
        <v>280.189</v>
      </c>
      <c r="F4" s="44">
        <f>IFERROR(__xludf.DUMMYFUNCTION("GOOGLEFINANCE(A4,""high52"")"),302.0)</f>
        <v>302</v>
      </c>
      <c r="G4" s="45">
        <f>IFERROR(__xludf.DUMMYFUNCTION("to_date(index(sort(GOOGLEFINANCE(A4, ""high"", today()-52*7, today(), ""DAILY""),2,0),2,1))"),46080.64583333333)</f>
        <v>46080.64583</v>
      </c>
      <c r="H4" s="44">
        <f>IFERROR(__xludf.DUMMYFUNCTION("GOOGLEFINANCE(A4,""low52"")"),185.11)</f>
        <v>185.11</v>
      </c>
      <c r="I4" s="45">
        <f>IFERROR(__xludf.DUMMYFUNCTION("to_date(index(sort(GOOGLEFINANCE(A4, ""low"", today()-52*7, today(), ""DAILY""),2,1),1,1))"),45873.64583333333)</f>
        <v>45873.64583</v>
      </c>
      <c r="J4" s="46" t="str">
        <f t="shared" si="1"/>
        <v>Do Not Buy Today</v>
      </c>
    </row>
    <row r="5">
      <c r="A5" s="73" t="s">
        <v>159</v>
      </c>
      <c r="B5" s="76">
        <f>IFERROR(__xludf.DUMMYFUNCTION("GOOGLEFINANCE(A5,""price"")"),1010.6)</f>
        <v>1010.6</v>
      </c>
      <c r="C5" s="77">
        <f>IFERROR(__xludf.DUMMYFUNCTION("GOOGLEFINANCE(A5,""closeyest"")"),1011.8)</f>
        <v>1011.8</v>
      </c>
      <c r="D5" s="61">
        <f>IFERROR(__xludf.DUMMYFUNCTION("MIN(index(GOOGLEFINANCE(A5,""ALL"",TODAY()-180,TODAY()),0,5))*1.2"),1011.24)</f>
        <v>1011.24</v>
      </c>
      <c r="E5" s="62">
        <f>IFERROR(__xludf.DUMMYFUNCTION("AVERAGE(QUERY(SORT(GOOGLEFINANCE(A5,""price"",TODAY()-320,TODAY()),1,0),""select Col2 limit 100""))"),976.6619999999999)</f>
        <v>976.662</v>
      </c>
      <c r="F5" s="44">
        <f>IFERROR(__xludf.DUMMYFUNCTION("GOOGLEFINANCE(A5,""high52"")"),1079.55)</f>
        <v>1079.55</v>
      </c>
      <c r="G5" s="45">
        <f>IFERROR(__xludf.DUMMYFUNCTION("to_date(index(sort(GOOGLEFINANCE(A5, ""high"", today()-52*7, today(), ""DAILY""),2,0),2,1))"),46136.64583333333)</f>
        <v>46136.64583</v>
      </c>
      <c r="H5" s="44">
        <f>IFERROR(__xludf.DUMMYFUNCTION("GOOGLEFINANCE(A5,""low52"")"),682.15)</f>
        <v>682.15</v>
      </c>
      <c r="I5" s="45">
        <f>IFERROR(__xludf.DUMMYFUNCTION("to_date(index(sort(GOOGLEFINANCE(A5, ""low"", today()-52*7, today(), ""DAILY""),2,1),1,1))"),45905.64583333333)</f>
        <v>45905.64583</v>
      </c>
      <c r="J5" s="46" t="str">
        <f t="shared" si="1"/>
        <v>Do Not Buy Today</v>
      </c>
    </row>
    <row r="6">
      <c r="A6" s="73" t="s">
        <v>171</v>
      </c>
      <c r="B6" s="76">
        <f>IFERROR(__xludf.DUMMYFUNCTION("GOOGLEFINANCE(A6,""price"")"),932.9)</f>
        <v>932.9</v>
      </c>
      <c r="C6" s="77">
        <f>IFERROR(__xludf.DUMMYFUNCTION("GOOGLEFINANCE(A6,""closeyest"")"),932.3)</f>
        <v>932.3</v>
      </c>
      <c r="D6" s="61">
        <f>IFERROR(__xludf.DUMMYFUNCTION("MIN(index(GOOGLEFINANCE(A6,""ALL"",TODAY()-180,TODAY()),0,5))*1.2"),902.94)</f>
        <v>902.94</v>
      </c>
      <c r="E6" s="62">
        <f>IFERROR(__xludf.DUMMYFUNCTION("AVERAGE(QUERY(SORT(GOOGLEFINANCE(A6,""price"",TODAY()-320,TODAY()),1,0),""select Col2 limit 100""))"),886.055)</f>
        <v>886.055</v>
      </c>
      <c r="F6" s="44">
        <f>IFERROR(__xludf.DUMMYFUNCTION("GOOGLEFINANCE(A6,""high52"")"),968.85)</f>
        <v>968.85</v>
      </c>
      <c r="G6" s="45">
        <f>IFERROR(__xludf.DUMMYFUNCTION("to_date(index(sort(GOOGLEFINANCE(A6, ""high"", today()-52*7, today(), ""DAILY""),2,0),2,1))"),46079.64583333333)</f>
        <v>46079.64583</v>
      </c>
      <c r="H6" s="44">
        <f>IFERROR(__xludf.DUMMYFUNCTION("GOOGLEFINANCE(A6,""low52"")"),710.6)</f>
        <v>710.6</v>
      </c>
      <c r="I6" s="45">
        <f>IFERROR(__xludf.DUMMYFUNCTION("to_date(index(sort(GOOGLEFINANCE(A6, ""low"", today()-52*7, today(), ""DAILY""),2,1),1,1))"),45926.64583333333)</f>
        <v>45926.64583</v>
      </c>
      <c r="J6" s="46" t="str">
        <f t="shared" si="1"/>
        <v>Do Not Buy Today</v>
      </c>
    </row>
    <row r="7">
      <c r="A7" s="73" t="s">
        <v>189</v>
      </c>
      <c r="B7" s="76">
        <f>IFERROR(__xludf.DUMMYFUNCTION("GOOGLEFINANCE(A7,""price"")"),764.05)</f>
        <v>764.05</v>
      </c>
      <c r="C7" s="77">
        <f>IFERROR(__xludf.DUMMYFUNCTION("GOOGLEFINANCE(A7,""closeyest"")"),778.9)</f>
        <v>778.9</v>
      </c>
      <c r="D7" s="61">
        <f>IFERROR(__xludf.DUMMYFUNCTION("MIN(index(GOOGLEFINANCE(A7,""ALL"",TODAY()-180,TODAY()),0,5))*1.2"),877.8599999999999)</f>
        <v>877.86</v>
      </c>
      <c r="E7" s="62">
        <f>IFERROR(__xludf.DUMMYFUNCTION("AVERAGE(QUERY(SORT(GOOGLEFINANCE(A7,""price"",TODAY()-320,TODAY()),1,0),""select Col2 limit 100""))"),856.8629999999997)</f>
        <v>856.863</v>
      </c>
      <c r="F7" s="44">
        <f>IFERROR(__xludf.DUMMYFUNCTION("GOOGLEFINANCE(A7,""high52"")"),1020.5)</f>
        <v>1020.5</v>
      </c>
      <c r="G7" s="45">
        <f>IFERROR(__xludf.DUMMYFUNCTION("to_date(index(sort(GOOGLEFINANCE(A7, ""high"", today()-52*7, today(), ""DAILY""),2,0),2,1))"),45953.64583333333)</f>
        <v>45953.64583</v>
      </c>
      <c r="H7" s="44">
        <f>IFERROR(__xludf.DUMMYFUNCTION("GOOGLEFINANCE(A7,""low52"")"),726.65)</f>
        <v>726.65</v>
      </c>
      <c r="I7" s="45">
        <f>IFERROR(__xludf.DUMMYFUNCTION("to_date(index(sort(GOOGLEFINANCE(A7, ""low"", today()-52*7, today(), ""DAILY""),2,1),1,1))"),46111.64583333333)</f>
        <v>46111.64583</v>
      </c>
      <c r="J7" s="46" t="str">
        <f t="shared" si="1"/>
        <v>Do Not Buy Today</v>
      </c>
    </row>
    <row r="8">
      <c r="A8" s="73" t="s">
        <v>192</v>
      </c>
      <c r="B8" s="76">
        <f>IFERROR(__xludf.DUMMYFUNCTION("GOOGLEFINANCE(A8,""price"")"),971.1)</f>
        <v>971.1</v>
      </c>
      <c r="C8" s="77">
        <f>IFERROR(__xludf.DUMMYFUNCTION("GOOGLEFINANCE(A8,""closeyest"")"),968.5)</f>
        <v>968.5</v>
      </c>
      <c r="D8" s="61">
        <f>IFERROR(__xludf.DUMMYFUNCTION("MIN(index(GOOGLEFINANCE(A8,""ALL"",TODAY()-180,TODAY()),0,5))*1.2"),1127.28)</f>
        <v>1127.28</v>
      </c>
      <c r="E8" s="62">
        <f>IFERROR(__xludf.DUMMYFUNCTION("AVERAGE(QUERY(SORT(GOOGLEFINANCE(A8,""price"",TODAY()-320,TODAY()),1,0),""select Col2 limit 100""))"),1065.8714999999995)</f>
        <v>1065.8715</v>
      </c>
      <c r="F8" s="44">
        <f>IFERROR(__xludf.DUMMYFUNCTION("GOOGLEFINANCE(A8,""high52"")"),1234.7)</f>
        <v>1234.7</v>
      </c>
      <c r="G8" s="45">
        <f>IFERROR(__xludf.DUMMYFUNCTION("to_date(index(sort(GOOGLEFINANCE(A8, ""high"", today()-52*7, today(), ""DAILY""),2,0),2,1))"),46077.64583333333)</f>
        <v>46077.64583</v>
      </c>
      <c r="H8" s="44">
        <f>IFERROR(__xludf.DUMMYFUNCTION("GOOGLEFINANCE(A8,""low52"")"),781.7)</f>
        <v>781.7</v>
      </c>
      <c r="I8" s="45">
        <f>IFERROR(__xludf.DUMMYFUNCTION("to_date(index(sort(GOOGLEFINANCE(A8, ""low"", today()-52*7, today(), ""DAILY""),2,1),1,1))"),45827.64583333333)</f>
        <v>45827.64583</v>
      </c>
      <c r="J8" s="46" t="str">
        <f t="shared" si="1"/>
        <v>Do Not Buy Today</v>
      </c>
    </row>
    <row r="9">
      <c r="A9" s="73" t="s">
        <v>196</v>
      </c>
      <c r="B9" s="76">
        <f>IFERROR(__xludf.DUMMYFUNCTION("GOOGLEFINANCE(A9,""price"")"),271.6)</f>
        <v>271.6</v>
      </c>
      <c r="C9" s="77">
        <f>IFERROR(__xludf.DUMMYFUNCTION("GOOGLEFINANCE(A9,""closeyest"")"),270.55)</f>
        <v>270.55</v>
      </c>
      <c r="D9" s="61">
        <f>IFERROR(__xludf.DUMMYFUNCTION("MIN(index(GOOGLEFINANCE(A9,""ALL"",TODAY()-180,TODAY()),0,5))*1.2"),297.12)</f>
        <v>297.12</v>
      </c>
      <c r="E9" s="62">
        <f>IFERROR(__xludf.DUMMYFUNCTION("AVERAGE(QUERY(SORT(GOOGLEFINANCE(A9,""price"",TODAY()-320,TODAY()),1,0),""select Col2 limit 100""))"),285.3467)</f>
        <v>285.3467</v>
      </c>
      <c r="F9" s="44">
        <f>IFERROR(__xludf.DUMMYFUNCTION("GOOGLEFINANCE(A9,""high52"")"),325.5)</f>
        <v>325.5</v>
      </c>
      <c r="G9" s="45">
        <f>IFERROR(__xludf.DUMMYFUNCTION("to_date(index(sort(GOOGLEFINANCE(A9, ""high"", today()-52*7, today(), ""DAILY""),2,0),2,1))"),46079.64583333333)</f>
        <v>46079.64583</v>
      </c>
      <c r="H9" s="44">
        <f>IFERROR(__xludf.DUMMYFUNCTION("GOOGLEFINANCE(A9,""low52"")"),230.52)</f>
        <v>230.52</v>
      </c>
      <c r="I9" s="45">
        <f>IFERROR(__xludf.DUMMYFUNCTION("to_date(index(sort(GOOGLEFINANCE(A9, ""low"", today()-52*7, today(), ""DAILY""),2,1),1,1))"),45827.64583333333)</f>
        <v>45827.64583</v>
      </c>
      <c r="J9" s="46" t="str">
        <f t="shared" si="1"/>
        <v>Do Not Buy Today</v>
      </c>
    </row>
    <row r="10">
      <c r="A10" s="73" t="s">
        <v>200</v>
      </c>
      <c r="B10" s="76">
        <f>IFERROR(__xludf.DUMMYFUNCTION("GOOGLEFINANCE(A10,""price"")"),1289.7)</f>
        <v>1289.7</v>
      </c>
      <c r="C10" s="77">
        <f>IFERROR(__xludf.DUMMYFUNCTION("GOOGLEFINANCE(A10,""closeyest"")"),1279.1)</f>
        <v>1279.1</v>
      </c>
      <c r="D10" s="61">
        <f>IFERROR(__xludf.DUMMYFUNCTION("MIN(index(GOOGLEFINANCE(A10,""ALL"",TODAY()-180,TODAY()),0,5))*1.2"),1447.0800000000002)</f>
        <v>1447.08</v>
      </c>
      <c r="E10" s="62">
        <f>IFERROR(__xludf.DUMMYFUNCTION("AVERAGE(QUERY(SORT(GOOGLEFINANCE(A10,""price"",TODAY()-320,TODAY()),1,0),""select Col2 limit 100""))"),1329.249)</f>
        <v>1329.249</v>
      </c>
      <c r="F10" s="44">
        <f>IFERROR(__xludf.DUMMYFUNCTION("GOOGLEFINANCE(A10,""high52"")"),1500.0)</f>
        <v>1500</v>
      </c>
      <c r="G10" s="45">
        <f>IFERROR(__xludf.DUMMYFUNCTION("to_date(index(sort(GOOGLEFINANCE(A10, ""high"", today()-52*7, today(), ""DAILY""),2,0),2,1))"),45863.64583333333)</f>
        <v>45863.64583</v>
      </c>
      <c r="H10" s="44">
        <f>IFERROR(__xludf.DUMMYFUNCTION("GOOGLEFINANCE(A10,""low52"")"),1187.6)</f>
        <v>1187.6</v>
      </c>
      <c r="I10" s="45">
        <f>IFERROR(__xludf.DUMMYFUNCTION("to_date(index(sort(GOOGLEFINANCE(A10, ""low"", today()-52*7, today(), ""DAILY""),2,1),1,1))"),46114.64583333333)</f>
        <v>46114.64583</v>
      </c>
      <c r="J10" s="46" t="str">
        <f t="shared" si="1"/>
        <v>Do Not Buy Today</v>
      </c>
    </row>
    <row r="11">
      <c r="A11" s="73" t="s">
        <v>217</v>
      </c>
      <c r="B11" s="76">
        <f>IFERROR(__xludf.DUMMYFUNCTION("GOOGLEFINANCE(A11,""price"")"),133.75)</f>
        <v>133.75</v>
      </c>
      <c r="C11" s="77">
        <f>IFERROR(__xludf.DUMMYFUNCTION("GOOGLEFINANCE(A11,""closeyest"")"),133.15)</f>
        <v>133.15</v>
      </c>
      <c r="D11" s="61">
        <f>IFERROR(__xludf.DUMMYFUNCTION("MIN(index(GOOGLEFINANCE(A11,""ALL"",TODAY()-180,TODAY()),0,5))*1.2"),148.14)</f>
        <v>148.14</v>
      </c>
      <c r="E11" s="62">
        <f>IFERROR(__xludf.DUMMYFUNCTION("AVERAGE(QUERY(SORT(GOOGLEFINANCE(A11,""price"",TODAY()-320,TODAY()),1,0),""select Col2 limit 100""))"),142.8947)</f>
        <v>142.8947</v>
      </c>
      <c r="F11" s="44">
        <f>IFERROR(__xludf.DUMMYFUNCTION("GOOGLEFINANCE(A11,""high52"")"),162.89)</f>
        <v>162.89</v>
      </c>
      <c r="G11" s="45">
        <f>IFERROR(__xludf.DUMMYFUNCTION("to_date(index(sort(GOOGLEFINANCE(A11, ""high"", today()-52*7, today(), ""DAILY""),2,0),2,1))"),46079.64583333333)</f>
        <v>46079.64583</v>
      </c>
      <c r="H11" s="44">
        <f>IFERROR(__xludf.DUMMYFUNCTION("GOOGLEFINANCE(A11,""low52"")"),103.55)</f>
        <v>103.55</v>
      </c>
      <c r="I11" s="45">
        <f>IFERROR(__xludf.DUMMYFUNCTION("to_date(index(sort(GOOGLEFINANCE(A11, ""low"", today()-52*7, today(), ""DAILY""),2,1),1,1))"),45898.64583333333)</f>
        <v>45898.64583</v>
      </c>
      <c r="J11" s="46" t="str">
        <f t="shared" si="1"/>
        <v>Do Not Buy Today</v>
      </c>
    </row>
    <row r="12">
      <c r="A12" s="73" t="s">
        <v>223</v>
      </c>
      <c r="B12" s="76">
        <f>IFERROR(__xludf.DUMMYFUNCTION("GOOGLEFINANCE(A12,""price"")"),70.3)</f>
        <v>70.3</v>
      </c>
      <c r="C12" s="77">
        <f>IFERROR(__xludf.DUMMYFUNCTION("GOOGLEFINANCE(A12,""closeyest"")"),70.22)</f>
        <v>70.22</v>
      </c>
      <c r="D12" s="61">
        <f>IFERROR(__xludf.DUMMYFUNCTION("MIN(index(GOOGLEFINANCE(A12,""ALL"",TODAY()-180,TODAY()),0,5))*1.2"),70.62)</f>
        <v>70.62</v>
      </c>
      <c r="E12" s="62">
        <f>IFERROR(__xludf.DUMMYFUNCTION("AVERAGE(QUERY(SORT(GOOGLEFINANCE(A12,""price"",TODAY()-320,TODAY()),1,0),""select Col2 limit 100""))"),73.61639999999998)</f>
        <v>73.6164</v>
      </c>
      <c r="F12" s="44">
        <f>IFERROR(__xludf.DUMMYFUNCTION("GOOGLEFINANCE(A12,""high52"")"),87.0)</f>
        <v>87</v>
      </c>
      <c r="G12" s="45">
        <f>IFERROR(__xludf.DUMMYFUNCTION("to_date(index(sort(GOOGLEFINANCE(A12, ""high"", today()-52*7, today(), ""DAILY""),2,0),2,1))"),46024.64583333333)</f>
        <v>46024.64583</v>
      </c>
      <c r="H12" s="44">
        <f>IFERROR(__xludf.DUMMYFUNCTION("GOOGLEFINANCE(A12,""low52"")"),58.08)</f>
        <v>58.08</v>
      </c>
      <c r="I12" s="45">
        <f>IFERROR(__xludf.DUMMYFUNCTION("to_date(index(sort(GOOGLEFINANCE(A12, ""low"", today()-52*7, today(), ""DAILY""),2,1),1,1))"),46114.64583333333)</f>
        <v>46114.64583</v>
      </c>
      <c r="J12" s="46" t="str">
        <f t="shared" si="1"/>
        <v>Do Not Buy Today</v>
      </c>
    </row>
    <row r="13">
      <c r="A13" s="73" t="s">
        <v>243</v>
      </c>
      <c r="B13" s="76">
        <f>IFERROR(__xludf.DUMMYFUNCTION("GOOGLEFINANCE(A13,""price"")"),106.45)</f>
        <v>106.45</v>
      </c>
      <c r="C13" s="77">
        <f>IFERROR(__xludf.DUMMYFUNCTION("GOOGLEFINANCE(A13,""closeyest"")"),105.91)</f>
        <v>105.91</v>
      </c>
      <c r="D13" s="61">
        <f>IFERROR(__xludf.DUMMYFUNCTION("MIN(index(GOOGLEFINANCE(A13,""ALL"",TODAY()-180,TODAY()),0,5))*1.2"),119.38799999999999)</f>
        <v>119.388</v>
      </c>
      <c r="E13" s="62">
        <f>IFERROR(__xludf.DUMMYFUNCTION("AVERAGE(QUERY(SORT(GOOGLEFINANCE(A13,""price"",TODAY()-320,TODAY()),1,0),""select Col2 limit 100""))"),116.43580000000001)</f>
        <v>116.4358</v>
      </c>
      <c r="F13" s="44">
        <f>IFERROR(__xludf.DUMMYFUNCTION("GOOGLEFINANCE(A13,""high52"")"),135.15)</f>
        <v>135.15</v>
      </c>
      <c r="G13" s="45">
        <f>IFERROR(__xludf.DUMMYFUNCTION("to_date(index(sort(GOOGLEFINANCE(A13, ""high"", today()-52*7, today(), ""DAILY""),2,0),2,1))"),46041.64583333333)</f>
        <v>46041.64583</v>
      </c>
      <c r="H13" s="44">
        <f>IFERROR(__xludf.DUMMYFUNCTION("GOOGLEFINANCE(A13,""low52"")"),98.5)</f>
        <v>98.5</v>
      </c>
      <c r="I13" s="45">
        <f>IFERROR(__xludf.DUMMYFUNCTION("to_date(index(sort(GOOGLEFINANCE(A13, ""low"", today()-52*7, today(), ""DAILY""),2,1),1,1))"),46160.64583333333)</f>
        <v>46160.64583</v>
      </c>
      <c r="J13" s="46" t="str">
        <f t="shared" si="1"/>
        <v>Do Not Buy Today</v>
      </c>
    </row>
  </sheetData>
  <mergeCells count="2">
    <mergeCell ref="K2:L2"/>
    <mergeCell ref="K3:L3"/>
  </mergeCells>
  <conditionalFormatting sqref="J1:J13">
    <cfRule type="cellIs" dxfId="0" priority="1" operator="equal">
      <formula>"Buy Today"</formula>
    </cfRule>
  </conditionalFormatting>
  <conditionalFormatting sqref="J1:J1000">
    <cfRule type="cellIs" dxfId="1" priority="2" operator="equal">
      <formula>"Buy Today"</formula>
    </cfRule>
  </conditionalFormatting>
  <hyperlinks>
    <hyperlink r:id="rId1" ref="K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16.88"/>
    <col customWidth="1" min="10" max="10" width="15.63"/>
  </cols>
  <sheetData>
    <row r="1">
      <c r="A1" s="71" t="s">
        <v>101</v>
      </c>
      <c r="B1" s="72" t="s">
        <v>21</v>
      </c>
      <c r="C1" s="72" t="s">
        <v>22</v>
      </c>
      <c r="D1" s="57" t="s">
        <v>23</v>
      </c>
      <c r="E1" s="72" t="s">
        <v>24</v>
      </c>
      <c r="F1" s="35" t="s">
        <v>25</v>
      </c>
      <c r="G1" s="36" t="s">
        <v>26</v>
      </c>
      <c r="H1" s="35" t="s">
        <v>27</v>
      </c>
      <c r="I1" s="35" t="s">
        <v>28</v>
      </c>
      <c r="J1" s="34" t="s">
        <v>29</v>
      </c>
    </row>
    <row r="2">
      <c r="A2" s="73" t="s">
        <v>104</v>
      </c>
      <c r="B2" s="76">
        <f>IFERROR(__xludf.DUMMYFUNCTION("GOOGLEFINANCE(A2,""price"")"),10645.0)</f>
        <v>10645</v>
      </c>
      <c r="C2" s="77">
        <f>IFERROR(__xludf.DUMMYFUNCTION("GOOGLEFINANCE(A2,""closeyest"")"),10705.0)</f>
        <v>10705</v>
      </c>
      <c r="D2" s="61">
        <f>IFERROR(__xludf.DUMMYFUNCTION("MIN(index(GOOGLEFINANCE(A2,""ALL"",TODAY()-180,TODAY()),0,5))*1.2"),10495.199999999999)</f>
        <v>10495.2</v>
      </c>
      <c r="E2" s="62">
        <f>IFERROR(__xludf.DUMMYFUNCTION("AVERAGE(QUERY(SORT(GOOGLEFINANCE(A2,""price"",TODAY()-320,TODAY()),1,0),""select Col2 limit 100""))"),10481.285)</f>
        <v>10481.285</v>
      </c>
      <c r="F2" s="44">
        <f>IFERROR(__xludf.DUMMYFUNCTION("GOOGLEFINANCE(A2,""high52"")"),14763.0)</f>
        <v>14763</v>
      </c>
      <c r="G2" s="45">
        <f>IFERROR(__xludf.DUMMYFUNCTION("to_date(index(sort(GOOGLEFINANCE(A2, ""high"", today()-52*7, today(), ""DAILY""),2,0),2,1))"),45887.64583333333)</f>
        <v>45887.64583</v>
      </c>
      <c r="H2" s="44">
        <f>IFERROR(__xludf.DUMMYFUNCTION("GOOGLEFINANCE(A2,""low52"")"),8588.0)</f>
        <v>8588</v>
      </c>
      <c r="I2" s="45">
        <f>IFERROR(__xludf.DUMMYFUNCTION("to_date(index(sort(GOOGLEFINANCE(A2, ""low"", today()-52*7, today(), ""DAILY""),2,1),1,1))"),46114.64583333333)</f>
        <v>46114.64583</v>
      </c>
      <c r="J2" s="46" t="str">
        <f t="shared" ref="J2:J51" si="1">if(AND(B2&gt;E2,B2&gt;D2,C2&lt;E2, I2&gt;G2),"Buy Today","Do Not Buy Today")</f>
        <v>Do Not Buy Today</v>
      </c>
    </row>
    <row r="3">
      <c r="A3" s="73" t="s">
        <v>106</v>
      </c>
      <c r="B3" s="76">
        <f>IFERROR(__xludf.DUMMYFUNCTION("GOOGLEFINANCE(A3,""price"")"),532.25)</f>
        <v>532.25</v>
      </c>
      <c r="C3" s="77">
        <f>IFERROR(__xludf.DUMMYFUNCTION("GOOGLEFINANCE(A3,""closeyest"")"),531.3)</f>
        <v>531.3</v>
      </c>
      <c r="D3" s="61">
        <f>IFERROR(__xludf.DUMMYFUNCTION("MIN(index(GOOGLEFINANCE(A3,""ALL"",TODAY()-180,TODAY()),0,5))*1.2"),458.64)</f>
        <v>458.64</v>
      </c>
      <c r="E3" s="62">
        <f>IFERROR(__xludf.DUMMYFUNCTION("AVERAGE(QUERY(SORT(GOOGLEFINANCE(A3,""price"",TODAY()-320,TODAY()),1,0),""select Col2 limit 100""))"),465.4934999999999)</f>
        <v>465.4935</v>
      </c>
      <c r="F3" s="44">
        <f>IFERROR(__xludf.DUMMYFUNCTION("GOOGLEFINANCE(A3,""high52"")"),543.95)</f>
        <v>543.95</v>
      </c>
      <c r="G3" s="45">
        <f>IFERROR(__xludf.DUMMYFUNCTION("to_date(index(sort(GOOGLEFINANCE(A3, ""high"", today()-52*7, today(), ""DAILY""),2,0),2,1))"),46167.64583333333)</f>
        <v>46167.64583</v>
      </c>
      <c r="H3" s="44">
        <f>IFERROR(__xludf.DUMMYFUNCTION("GOOGLEFINANCE(A3,""low52"")"),381.0)</f>
        <v>381</v>
      </c>
      <c r="I3" s="45">
        <f>IFERROR(__xludf.DUMMYFUNCTION("to_date(index(sort(GOOGLEFINANCE(A3, ""low"", today()-52*7, today(), ""DAILY""),2,1),1,1))"),46104.64583333333)</f>
        <v>46104.64583</v>
      </c>
      <c r="J3" s="46" t="str">
        <f t="shared" si="1"/>
        <v>Do Not Buy Today</v>
      </c>
    </row>
    <row r="4">
      <c r="A4" s="73" t="s">
        <v>107</v>
      </c>
      <c r="B4" s="76">
        <f>IFERROR(__xludf.DUMMYFUNCTION("GOOGLEFINANCE(A4,""price"")"),520.9)</f>
        <v>520.9</v>
      </c>
      <c r="C4" s="77">
        <f>IFERROR(__xludf.DUMMYFUNCTION("GOOGLEFINANCE(A4,""closeyest"")"),522.7)</f>
        <v>522.7</v>
      </c>
      <c r="D4" s="61">
        <f>IFERROR(__xludf.DUMMYFUNCTION("MIN(index(GOOGLEFINANCE(A4,""ALL"",TODAY()-180,TODAY()),0,5))*1.2"),604.0799999999999)</f>
        <v>604.08</v>
      </c>
      <c r="E4" s="62">
        <f>IFERROR(__xludf.DUMMYFUNCTION("AVERAGE(QUERY(SORT(GOOGLEFINANCE(A4,""price"",TODAY()-320,TODAY()),1,0),""select Col2 limit 100""))"),597.5884999999998)</f>
        <v>597.5885</v>
      </c>
      <c r="F4" s="44">
        <f>IFERROR(__xludf.DUMMYFUNCTION("GOOGLEFINANCE(A4,""high52"")"),706.8)</f>
        <v>706.8</v>
      </c>
      <c r="G4" s="45">
        <f>IFERROR(__xludf.DUMMYFUNCTION("to_date(index(sort(GOOGLEFINANCE(A4, ""high"", today()-52*7, today(), ""DAILY""),2,0),2,1))"),46035.64583333333)</f>
        <v>46035.64583</v>
      </c>
      <c r="H4" s="44">
        <f>IFERROR(__xludf.DUMMYFUNCTION("GOOGLEFINANCE(A4,""low52"")"),488.6)</f>
        <v>488.6</v>
      </c>
      <c r="I4" s="45">
        <f>IFERROR(__xludf.DUMMYFUNCTION("to_date(index(sort(GOOGLEFINANCE(A4, ""low"", today()-52*7, today(), ""DAILY""),2,1),1,1))"),46160.64583333333)</f>
        <v>46160.64583</v>
      </c>
      <c r="J4" s="46" t="str">
        <f t="shared" si="1"/>
        <v>Do Not Buy Today</v>
      </c>
    </row>
    <row r="5">
      <c r="A5" s="73" t="s">
        <v>117</v>
      </c>
      <c r="B5" s="76">
        <f>IFERROR(__xludf.DUMMYFUNCTION("GOOGLEFINANCE(A5,""price"")"),264.8)</f>
        <v>264.8</v>
      </c>
      <c r="C5" s="77">
        <f>IFERROR(__xludf.DUMMYFUNCTION("GOOGLEFINANCE(A5,""closeyest"")"),253.9)</f>
        <v>253.9</v>
      </c>
      <c r="D5" s="61">
        <f>IFERROR(__xludf.DUMMYFUNCTION("MIN(index(GOOGLEFINANCE(A5,""ALL"",TODAY()-180,TODAY()),0,5))*1.2"),299.94)</f>
        <v>299.94</v>
      </c>
      <c r="E5" s="62">
        <f>IFERROR(__xludf.DUMMYFUNCTION("AVERAGE(QUERY(SORT(GOOGLEFINANCE(A5,""price"",TODAY()-320,TODAY()),1,0),""select Col2 limit 100""))"),303.73099999999994)</f>
        <v>303.731</v>
      </c>
      <c r="F5" s="44">
        <f>IFERROR(__xludf.DUMMYFUNCTION("GOOGLEFINANCE(A5,""high52"")"),474.0)</f>
        <v>474</v>
      </c>
      <c r="G5" s="45">
        <f>IFERROR(__xludf.DUMMYFUNCTION("to_date(index(sort(GOOGLEFINANCE(A5, ""high"", today()-52*7, today(), ""DAILY""),2,0),2,1))"),45919.64583333333)</f>
        <v>45919.64583</v>
      </c>
      <c r="H5" s="44">
        <f>IFERROR(__xludf.DUMMYFUNCTION("GOOGLEFINANCE(A5,""low52"")"),247.3)</f>
        <v>247.3</v>
      </c>
      <c r="I5" s="45">
        <f>IFERROR(__xludf.DUMMYFUNCTION("to_date(index(sort(GOOGLEFINANCE(A5, ""low"", today()-52*7, today(), ""DAILY""),2,1),1,1))"),46129.64583333333)</f>
        <v>46129.64583</v>
      </c>
      <c r="J5" s="46" t="str">
        <f t="shared" si="1"/>
        <v>Do Not Buy Today</v>
      </c>
    </row>
    <row r="6">
      <c r="A6" s="73" t="s">
        <v>129</v>
      </c>
      <c r="B6" s="76">
        <f>IFERROR(__xludf.DUMMYFUNCTION("GOOGLEFINANCE(A6,""price"")"),305.1)</f>
        <v>305.1</v>
      </c>
      <c r="C6" s="77">
        <f>IFERROR(__xludf.DUMMYFUNCTION("GOOGLEFINANCE(A6,""closeyest"")"),304.6)</f>
        <v>304.6</v>
      </c>
      <c r="D6" s="61">
        <f>IFERROR(__xludf.DUMMYFUNCTION("MIN(index(GOOGLEFINANCE(A6,""ALL"",TODAY()-180,TODAY()),0,5))*1.2"),325.56)</f>
        <v>325.56</v>
      </c>
      <c r="E6" s="62">
        <f>IFERROR(__xludf.DUMMYFUNCTION("AVERAGE(QUERY(SORT(GOOGLEFINANCE(A6,""price"",TODAY()-320,TODAY()),1,0),""select Col2 limit 100""))"),333.3525000000001)</f>
        <v>333.3525</v>
      </c>
      <c r="F6" s="44">
        <f>IFERROR(__xludf.DUMMYFUNCTION("GOOGLEFINANCE(A6,""high52"")"),391.65)</f>
        <v>391.65</v>
      </c>
      <c r="G6" s="45">
        <f>IFERROR(__xludf.DUMMYFUNCTION("to_date(index(sort(GOOGLEFINANCE(A6, ""high"", today()-52*7, today(), ""DAILY""),2,0),2,1))"),46058.64583333333)</f>
        <v>46058.64583</v>
      </c>
      <c r="H6" s="44">
        <f>IFERROR(__xludf.DUMMYFUNCTION("GOOGLEFINANCE(A6,""low52"")"),266.6)</f>
        <v>266.6</v>
      </c>
      <c r="I6" s="45">
        <f>IFERROR(__xludf.DUMMYFUNCTION("to_date(index(sort(GOOGLEFINANCE(A6, ""low"", today()-52*7, today(), ""DAILY""),2,1),1,1))"),46114.64583333333)</f>
        <v>46114.64583</v>
      </c>
      <c r="J6" s="46" t="str">
        <f t="shared" si="1"/>
        <v>Do Not Buy Today</v>
      </c>
    </row>
    <row r="7">
      <c r="A7" s="73" t="s">
        <v>132</v>
      </c>
      <c r="B7" s="76">
        <f>IFERROR(__xludf.DUMMYFUNCTION("GOOGLEFINANCE(A7,""price"")"),839.3)</f>
        <v>839.3</v>
      </c>
      <c r="C7" s="77">
        <f>IFERROR(__xludf.DUMMYFUNCTION("GOOGLEFINANCE(A7,""closeyest"")"),854.9)</f>
        <v>854.9</v>
      </c>
      <c r="D7" s="61">
        <f>IFERROR(__xludf.DUMMYFUNCTION("MIN(index(GOOGLEFINANCE(A7,""ALL"",TODAY()-180,TODAY()),0,5))*1.2"),870.78)</f>
        <v>870.78</v>
      </c>
      <c r="E7" s="62">
        <f>IFERROR(__xludf.DUMMYFUNCTION("AVERAGE(QUERY(SORT(GOOGLEFINANCE(A7,""price"",TODAY()-320,TODAY()),1,0),""select Col2 limit 100""))"),820.0325)</f>
        <v>820.0325</v>
      </c>
      <c r="F7" s="44">
        <f>IFERROR(__xludf.DUMMYFUNCTION("GOOGLEFINANCE(A7,""high52"")"),980.0)</f>
        <v>980</v>
      </c>
      <c r="G7" s="45">
        <f>IFERROR(__xludf.DUMMYFUNCTION("to_date(index(sort(GOOGLEFINANCE(A7, ""high"", today()-52*7, today(), ""DAILY""),2,0),2,1))"),45838.64583333333)</f>
        <v>45838.64583</v>
      </c>
      <c r="H7" s="44">
        <f>IFERROR(__xludf.DUMMYFUNCTION("GOOGLEFINANCE(A7,""low52"")"),721.5)</f>
        <v>721.5</v>
      </c>
      <c r="I7" s="45">
        <f>IFERROR(__xludf.DUMMYFUNCTION("to_date(index(sort(GOOGLEFINANCE(A7, ""low"", today()-52*7, today(), ""DAILY""),2,1),1,1))"),46114.64583333333)</f>
        <v>46114.64583</v>
      </c>
      <c r="J7" s="46" t="str">
        <f t="shared" si="1"/>
        <v>Do Not Buy Today</v>
      </c>
    </row>
    <row r="8">
      <c r="A8" s="73" t="s">
        <v>139</v>
      </c>
      <c r="B8" s="76">
        <f>IFERROR(__xludf.DUMMYFUNCTION("GOOGLEFINANCE(A8,""price"")"),427.4)</f>
        <v>427.4</v>
      </c>
      <c r="C8" s="77">
        <f>IFERROR(__xludf.DUMMYFUNCTION("GOOGLEFINANCE(A8,""closeyest"")"),420.95)</f>
        <v>420.95</v>
      </c>
      <c r="D8" s="61">
        <f>IFERROR(__xludf.DUMMYFUNCTION("MIN(index(GOOGLEFINANCE(A8,""ALL"",TODAY()-180,TODAY()),0,5))*1.2"),414.3)</f>
        <v>414.3</v>
      </c>
      <c r="E8" s="62">
        <f>IFERROR(__xludf.DUMMYFUNCTION("AVERAGE(QUERY(SORT(GOOGLEFINANCE(A8,""price"",TODAY()-320,TODAY()),1,0),""select Col2 limit 100""))"),392.2879999999998)</f>
        <v>392.288</v>
      </c>
      <c r="F8" s="44">
        <f>IFERROR(__xludf.DUMMYFUNCTION("GOOGLEFINANCE(A8,""high52"")"),464.9)</f>
        <v>464.9</v>
      </c>
      <c r="G8" s="45">
        <f>IFERROR(__xludf.DUMMYFUNCTION("to_date(index(sort(GOOGLEFINANCE(A8, ""high"", today()-52*7, today(), ""DAILY""),2,0),2,1))"),46140.64583333333)</f>
        <v>46140.64583</v>
      </c>
      <c r="H8" s="44">
        <f>IFERROR(__xludf.DUMMYFUNCTION("GOOGLEFINANCE(A8,""low52"")"),342.5)</f>
        <v>342.5</v>
      </c>
      <c r="I8" s="45">
        <f>IFERROR(__xludf.DUMMYFUNCTION("to_date(index(sort(GOOGLEFINANCE(A8, ""low"", today()-52*7, today(), ""DAILY""),2,1),1,1))"),46049.64583333333)</f>
        <v>46049.64583</v>
      </c>
      <c r="J8" s="46" t="str">
        <f t="shared" si="1"/>
        <v>Do Not Buy Today</v>
      </c>
    </row>
    <row r="9">
      <c r="A9" s="73" t="s">
        <v>142</v>
      </c>
      <c r="B9" s="76">
        <f>IFERROR(__xludf.DUMMYFUNCTION("GOOGLEFINANCE(A9,""price"")"),1001.55)</f>
        <v>1001.55</v>
      </c>
      <c r="C9" s="77">
        <f>IFERROR(__xludf.DUMMYFUNCTION("GOOGLEFINANCE(A9,""closeyest"")"),980.7)</f>
        <v>980.7</v>
      </c>
      <c r="D9" s="61">
        <f>IFERROR(__xludf.DUMMYFUNCTION("MIN(index(GOOGLEFINANCE(A9,""ALL"",TODAY()-180,TODAY()),0,5))*1.2"),1111.14)</f>
        <v>1111.14</v>
      </c>
      <c r="E9" s="62">
        <f>IFERROR(__xludf.DUMMYFUNCTION("AVERAGE(QUERY(SORT(GOOGLEFINANCE(A9,""price"",TODAY()-320,TODAY()),1,0),""select Col2 limit 100""))"),1093.7439999999997)</f>
        <v>1093.744</v>
      </c>
      <c r="F9" s="44">
        <f>IFERROR(__xludf.DUMMYFUNCTION("GOOGLEFINANCE(A9,""high52"")"),1550.0)</f>
        <v>1550</v>
      </c>
      <c r="G9" s="45">
        <f>IFERROR(__xludf.DUMMYFUNCTION("to_date(index(sort(GOOGLEFINANCE(A9, ""high"", today()-52*7, today(), ""DAILY""),2,0),2,1))"),45818.64583333333)</f>
        <v>45818.64583</v>
      </c>
      <c r="H9" s="44">
        <f>IFERROR(__xludf.DUMMYFUNCTION("GOOGLEFINANCE(A9,""low52"")"),908.3)</f>
        <v>908.3</v>
      </c>
      <c r="I9" s="45">
        <f>IFERROR(__xludf.DUMMYFUNCTION("to_date(index(sort(GOOGLEFINANCE(A9, ""low"", today()-52*7, today(), ""DAILY""),2,1),1,1))"),46167.64583333333)</f>
        <v>46167.64583</v>
      </c>
      <c r="J9" s="46" t="str">
        <f t="shared" si="1"/>
        <v>Do Not Buy Today</v>
      </c>
    </row>
    <row r="10">
      <c r="A10" s="73" t="s">
        <v>143</v>
      </c>
      <c r="B10" s="76">
        <f>IFERROR(__xludf.DUMMYFUNCTION("GOOGLEFINANCE(A10,""price"")"),1478.2)</f>
        <v>1478.2</v>
      </c>
      <c r="C10" s="77">
        <f>IFERROR(__xludf.DUMMYFUNCTION("GOOGLEFINANCE(A10,""closeyest"")"),1478.5)</f>
        <v>1478.5</v>
      </c>
      <c r="D10" s="61">
        <f>IFERROR(__xludf.DUMMYFUNCTION("MIN(index(GOOGLEFINANCE(A10,""ALL"",TODAY()-180,TODAY()),0,5))*1.2"),1528.32)</f>
        <v>1528.32</v>
      </c>
      <c r="E10" s="62">
        <f>IFERROR(__xludf.DUMMYFUNCTION("AVERAGE(QUERY(SORT(GOOGLEFINANCE(A10,""price"",TODAY()-320,TODAY()),1,0),""select Col2 limit 100""))"),1427.241)</f>
        <v>1427.241</v>
      </c>
      <c r="F10" s="44">
        <f>IFERROR(__xludf.DUMMYFUNCTION("GOOGLEFINANCE(A10,""high52"")"),1574.95)</f>
        <v>1574.95</v>
      </c>
      <c r="G10" s="45">
        <f>IFERROR(__xludf.DUMMYFUNCTION("to_date(index(sort(GOOGLEFINANCE(A10, ""high"", today()-52*7, today(), ""DAILY""),2,0),2,1))"),45903.64583333333)</f>
        <v>45903.64583</v>
      </c>
      <c r="H10" s="44">
        <f>IFERROR(__xludf.DUMMYFUNCTION("GOOGLEFINANCE(A10,""low52"")"),1259.0)</f>
        <v>1259</v>
      </c>
      <c r="I10" s="45">
        <f>IFERROR(__xludf.DUMMYFUNCTION("to_date(index(sort(GOOGLEFINANCE(A10, ""low"", today()-52*7, today(), ""DAILY""),2,1),1,1))"),46118.64583333333)</f>
        <v>46118.64583</v>
      </c>
      <c r="J10" s="46" t="str">
        <f t="shared" si="1"/>
        <v>Do Not Buy Today</v>
      </c>
    </row>
    <row r="11">
      <c r="A11" s="73" t="s">
        <v>150</v>
      </c>
      <c r="B11" s="76">
        <f>IFERROR(__xludf.DUMMYFUNCTION("GOOGLEFINANCE(A11,""price"")"),1858.7)</f>
        <v>1858.7</v>
      </c>
      <c r="C11" s="77">
        <f>IFERROR(__xludf.DUMMYFUNCTION("GOOGLEFINANCE(A11,""closeyest"")"),1860.3)</f>
        <v>1860.3</v>
      </c>
      <c r="D11" s="61">
        <f>IFERROR(__xludf.DUMMYFUNCTION("MIN(index(GOOGLEFINANCE(A11,""ALL"",TODAY()-180,TODAY()),0,5))*1.2"),2026.9199999999998)</f>
        <v>2026.92</v>
      </c>
      <c r="E11" s="62">
        <f>IFERROR(__xludf.DUMMYFUNCTION("AVERAGE(QUERY(SORT(GOOGLEFINANCE(A11,""price"",TODAY()-320,TODAY()),1,0),""select Col2 limit 100""))"),1849.0680000000013)</f>
        <v>1849.068</v>
      </c>
      <c r="F11" s="44">
        <f>IFERROR(__xludf.DUMMYFUNCTION("GOOGLEFINANCE(A11,""high52"")"),2068.7)</f>
        <v>2068.7</v>
      </c>
      <c r="G11" s="45">
        <f>IFERROR(__xludf.DUMMYFUNCTION("to_date(index(sort(GOOGLEFINANCE(A11, ""high"", today()-52*7, today(), ""DAILY""),2,0),2,1))"),45839.64583333333)</f>
        <v>45839.64583</v>
      </c>
      <c r="H11" s="44">
        <f>IFERROR(__xludf.DUMMYFUNCTION("GOOGLEFINANCE(A11,""low52"")"),1629.5)</f>
        <v>1629.5</v>
      </c>
      <c r="I11" s="45">
        <f>IFERROR(__xludf.DUMMYFUNCTION("to_date(index(sort(GOOGLEFINANCE(A11, ""low"", today()-52*7, today(), ""DAILY""),2,1),1,1))"),46114.64583333333)</f>
        <v>46114.64583</v>
      </c>
      <c r="J11" s="46" t="str">
        <f t="shared" si="1"/>
        <v>Do Not Buy Today</v>
      </c>
    </row>
    <row r="12">
      <c r="A12" s="73" t="s">
        <v>151</v>
      </c>
      <c r="B12" s="76">
        <f>IFERROR(__xludf.DUMMYFUNCTION("GOOGLEFINANCE(A12,""price"")"),4091.4)</f>
        <v>4091.4</v>
      </c>
      <c r="C12" s="77">
        <f>IFERROR(__xludf.DUMMYFUNCTION("GOOGLEFINANCE(A12,""closeyest"")"),4103.6)</f>
        <v>4103.6</v>
      </c>
      <c r="D12" s="61">
        <f>IFERROR(__xludf.DUMMYFUNCTION("MIN(index(GOOGLEFINANCE(A12,""ALL"",TODAY()-180,TODAY()),0,5))*1.2"),4375.56)</f>
        <v>4375.56</v>
      </c>
      <c r="E12" s="62">
        <f>IFERROR(__xludf.DUMMYFUNCTION("AVERAGE(QUERY(SORT(GOOGLEFINANCE(A12,""price"",TODAY()-320,TODAY()),1,0),""select Col2 limit 100""))"),4031.62)</f>
        <v>4031.62</v>
      </c>
      <c r="F12" s="44">
        <f>IFERROR(__xludf.DUMMYFUNCTION("GOOGLEFINANCE(A12,""high52"")"),4949.5)</f>
        <v>4949.5</v>
      </c>
      <c r="G12" s="45">
        <f>IFERROR(__xludf.DUMMYFUNCTION("to_date(index(sort(GOOGLEFINANCE(A12, ""high"", today()-52*7, today(), ""DAILY""),2,0),2,1))"),45904.64583333333)</f>
        <v>45904.64583</v>
      </c>
      <c r="H12" s="44">
        <f>IFERROR(__xludf.DUMMYFUNCTION("GOOGLEFINANCE(A12,""low52"")"),3529.0)</f>
        <v>3529</v>
      </c>
      <c r="I12" s="45">
        <f>IFERROR(__xludf.DUMMYFUNCTION("to_date(index(sort(GOOGLEFINANCE(A12, ""low"", today()-52*7, today(), ""DAILY""),2,1),1,1))"),46055.64583333333)</f>
        <v>46055.64583</v>
      </c>
      <c r="J12" s="46" t="str">
        <f t="shared" si="1"/>
        <v>Do Not Buy Today</v>
      </c>
    </row>
    <row r="13">
      <c r="A13" s="73" t="s">
        <v>156</v>
      </c>
      <c r="B13" s="76">
        <f>IFERROR(__xludf.DUMMYFUNCTION("GOOGLEFINANCE(A13,""price"")"),1028.0)</f>
        <v>1028</v>
      </c>
      <c r="C13" s="77">
        <f>IFERROR(__xludf.DUMMYFUNCTION("GOOGLEFINANCE(A13,""closeyest"")"),1031.8)</f>
        <v>1031.8</v>
      </c>
      <c r="D13" s="61">
        <f>IFERROR(__xludf.DUMMYFUNCTION("MIN(index(GOOGLEFINANCE(A13,""ALL"",TODAY()-180,TODAY()),0,5))*1.2"),1181.76)</f>
        <v>1181.76</v>
      </c>
      <c r="E13" s="62">
        <f>IFERROR(__xludf.DUMMYFUNCTION("AVERAGE(QUERY(SORT(GOOGLEFINANCE(A13,""price"",TODAY()-320,TODAY()),1,0),""select Col2 limit 100""))"),1126.442)</f>
        <v>1126.442</v>
      </c>
      <c r="F13" s="44">
        <f>IFERROR(__xludf.DUMMYFUNCTION("GOOGLEFINANCE(A13,""high52"")"),1309.0)</f>
        <v>1309</v>
      </c>
      <c r="G13" s="45">
        <f>IFERROR(__xludf.DUMMYFUNCTION("to_date(index(sort(GOOGLEFINANCE(A13, ""high"", today()-52*7, today(), ""DAILY""),2,0),2,1))"),45904.64583333333)</f>
        <v>45904.64583</v>
      </c>
      <c r="H13" s="44">
        <f>IFERROR(__xludf.DUMMYFUNCTION("GOOGLEFINANCE(A13,""low52"")"),967.05)</f>
        <v>967.05</v>
      </c>
      <c r="I13" s="45">
        <f>IFERROR(__xludf.DUMMYFUNCTION("to_date(index(sort(GOOGLEFINANCE(A13, ""low"", today()-52*7, today(), ""DAILY""),2,1),1,1))"),46114.64583333333)</f>
        <v>46114.64583</v>
      </c>
      <c r="J13" s="46" t="str">
        <f t="shared" si="1"/>
        <v>Do Not Buy Today</v>
      </c>
    </row>
    <row r="14">
      <c r="A14" s="73" t="s">
        <v>158</v>
      </c>
      <c r="B14" s="76">
        <f>IFERROR(__xludf.DUMMYFUNCTION("GOOGLEFINANCE(A14,""price"")"),36040.0)</f>
        <v>36040</v>
      </c>
      <c r="C14" s="77">
        <f>IFERROR(__xludf.DUMMYFUNCTION("GOOGLEFINANCE(A14,""closeyest"")"),35835.0)</f>
        <v>35835</v>
      </c>
      <c r="D14" s="61">
        <f>IFERROR(__xludf.DUMMYFUNCTION("MIN(index(GOOGLEFINANCE(A14,""ALL"",TODAY()-180,TODAY()),0,5))*1.2"),34494.0)</f>
        <v>34494</v>
      </c>
      <c r="E14" s="62">
        <f>IFERROR(__xludf.DUMMYFUNCTION("AVERAGE(QUERY(SORT(GOOGLEFINANCE(A14,""price"",TODAY()-320,TODAY()),1,0),""select Col2 limit 100""))"),35450.0)</f>
        <v>35450</v>
      </c>
      <c r="F14" s="44">
        <f>IFERROR(__xludf.DUMMYFUNCTION("GOOGLEFINANCE(A14,""high52"")"),41945.0)</f>
        <v>41945</v>
      </c>
      <c r="G14" s="45">
        <f>IFERROR(__xludf.DUMMYFUNCTION("to_date(index(sort(GOOGLEFINANCE(A14, ""high"", today()-52*7, today(), ""DAILY""),2,0),2,1))"),45910.64583333333)</f>
        <v>45910.64583</v>
      </c>
      <c r="H14" s="44">
        <f>IFERROR(__xludf.DUMMYFUNCTION("GOOGLEFINANCE(A14,""low52"")"),28610.0)</f>
        <v>28610</v>
      </c>
      <c r="I14" s="45">
        <f>IFERROR(__xludf.DUMMYFUNCTION("to_date(index(sort(GOOGLEFINANCE(A14, ""low"", today()-52*7, today(), ""DAILY""),2,1),1,1))"),46111.64583333333)</f>
        <v>46111.64583</v>
      </c>
      <c r="J14" s="46" t="str">
        <f t="shared" si="1"/>
        <v>Do Not Buy Today</v>
      </c>
    </row>
    <row r="15">
      <c r="A15" s="73" t="s">
        <v>161</v>
      </c>
      <c r="B15" s="76" t="str">
        <f>IFERROR(__xludf.DUMMYFUNCTION("GOOGLEFINANCE(A15,""price"")"),"#N/A")</f>
        <v>#N/A</v>
      </c>
      <c r="C15" s="77" t="str">
        <f>IFERROR(__xludf.DUMMYFUNCTION("GOOGLEFINANCE(A15,""closeyest"")"),"#N/A")</f>
        <v>#N/A</v>
      </c>
      <c r="D15" s="61" t="str">
        <f>IFERROR(__xludf.DUMMYFUNCTION("MIN(index(GOOGLEFINANCE(A15,""ALL"",TODAY()-180,TODAY()),0,5))*1.2"),"#N/A")</f>
        <v>#N/A</v>
      </c>
      <c r="E15" s="62" t="str">
        <f>IFERROR(__xludf.DUMMYFUNCTION("AVERAGE(QUERY(SORT(GOOGLEFINANCE(A15,""price"",TODAY()-320,TODAY()),1,0),""select Col2 limit 100""))"),"#N/A")</f>
        <v>#N/A</v>
      </c>
      <c r="F15" s="44" t="str">
        <f>IFERROR(__xludf.DUMMYFUNCTION("GOOGLEFINANCE(A15,""high52"")"),"#N/A")</f>
        <v>#N/A</v>
      </c>
      <c r="G15" s="45" t="str">
        <f>IFERROR(__xludf.DUMMYFUNCTION("to_date(index(sort(GOOGLEFINANCE(A15, ""high"", today()-52*7, today(), ""DAILY""),2,0),2,1))"),"#N/A")</f>
        <v>#N/A</v>
      </c>
      <c r="H15" s="44" t="str">
        <f>IFERROR(__xludf.DUMMYFUNCTION("GOOGLEFINANCE(A15,""low52"")"),"#N/A")</f>
        <v>#N/A</v>
      </c>
      <c r="I15" s="45" t="str">
        <f>IFERROR(__xludf.DUMMYFUNCTION("to_date(index(sort(GOOGLEFINANCE(A15, ""low"", today()-52*7, today(), ""DAILY""),2,1),1,1))"),"#N/A")</f>
        <v>#N/A</v>
      </c>
      <c r="J15" s="46" t="str">
        <f t="shared" si="1"/>
        <v>#N/A</v>
      </c>
    </row>
    <row r="16">
      <c r="A16" s="73" t="s">
        <v>166</v>
      </c>
      <c r="B16" s="76">
        <f>IFERROR(__xludf.DUMMYFUNCTION("GOOGLEFINANCE(A16,""price"")"),442.6)</f>
        <v>442.6</v>
      </c>
      <c r="C16" s="77">
        <f>IFERROR(__xludf.DUMMYFUNCTION("GOOGLEFINANCE(A16,""closeyest"")"),447.6)</f>
        <v>447.6</v>
      </c>
      <c r="D16" s="61">
        <f>IFERROR(__xludf.DUMMYFUNCTION("MIN(index(GOOGLEFINANCE(A16,""ALL"",TODAY()-180,TODAY()),0,5))*1.2"),492.53999999999996)</f>
        <v>492.54</v>
      </c>
      <c r="E16" s="62">
        <f>IFERROR(__xludf.DUMMYFUNCTION("AVERAGE(QUERY(SORT(GOOGLEFINANCE(A16,""price"",TODAY()-320,TODAY()),1,0),""select Col2 limit 100""))"),477.40249999999986)</f>
        <v>477.4025</v>
      </c>
      <c r="F16" s="44">
        <f>IFERROR(__xludf.DUMMYFUNCTION("GOOGLEFINANCE(A16,""high52"")"),577.0)</f>
        <v>577</v>
      </c>
      <c r="G16" s="45">
        <f>IFERROR(__xludf.DUMMYFUNCTION("to_date(index(sort(GOOGLEFINANCE(A16, ""high"", today()-52*7, today(), ""DAILY""),2,0),2,1))"),45904.64583333333)</f>
        <v>45904.64583</v>
      </c>
      <c r="H16" s="44">
        <f>IFERROR(__xludf.DUMMYFUNCTION("GOOGLEFINANCE(A16,""low52"")"),403.35)</f>
        <v>403.35</v>
      </c>
      <c r="I16" s="45">
        <f>IFERROR(__xludf.DUMMYFUNCTION("to_date(index(sort(GOOGLEFINANCE(A16, ""low"", today()-52*7, today(), ""DAILY""),2,1),1,1))"),46114.64583333333)</f>
        <v>46114.64583</v>
      </c>
      <c r="J16" s="46" t="str">
        <f t="shared" si="1"/>
        <v>Do Not Buy Today</v>
      </c>
    </row>
    <row r="17">
      <c r="A17" s="73" t="s">
        <v>168</v>
      </c>
      <c r="B17" s="76">
        <f>IFERROR(__xludf.DUMMYFUNCTION("GOOGLEFINANCE(A17,""price"")"),353.55)</f>
        <v>353.55</v>
      </c>
      <c r="C17" s="77">
        <f>IFERROR(__xludf.DUMMYFUNCTION("GOOGLEFINANCE(A17,""closeyest"")"),344.9)</f>
        <v>344.9</v>
      </c>
      <c r="D17" s="61">
        <f>IFERROR(__xludf.DUMMYFUNCTION("MIN(index(GOOGLEFINANCE(A17,""ALL"",TODAY()-180,TODAY()),0,5))*1.2"),325.86)</f>
        <v>325.86</v>
      </c>
      <c r="E17" s="62">
        <f>IFERROR(__xludf.DUMMYFUNCTION("AVERAGE(QUERY(SORT(GOOGLEFINANCE(A17,""price"",TODAY()-320,TODAY()),1,0),""select Col2 limit 100""))"),622.1615)</f>
        <v>622.1615</v>
      </c>
      <c r="F17" s="44">
        <f>IFERROR(__xludf.DUMMYFUNCTION("GOOGLEFINANCE(A17,""high52"")"),357.95)</f>
        <v>357.95</v>
      </c>
      <c r="G17" s="45">
        <f>IFERROR(__xludf.DUMMYFUNCTION("to_date(index(sort(GOOGLEFINANCE(A17, ""high"", today()-52*7, today(), ""DAILY""),2,0),2,1))"),46133.64583333333)</f>
        <v>46133.64583</v>
      </c>
      <c r="H17" s="44">
        <f>IFERROR(__xludf.DUMMYFUNCTION("GOOGLEFINANCE(A17,""low52"")"),151.2)</f>
        <v>151.2</v>
      </c>
      <c r="I17" s="45">
        <f>IFERROR(__xludf.DUMMYFUNCTION("to_date(index(sort(GOOGLEFINANCE(A17, ""low"", today()-52*7, today(), ""DAILY""),2,1),1,1))"),46142.64583333333)</f>
        <v>46142.64583</v>
      </c>
      <c r="J17" s="46" t="str">
        <f t="shared" si="1"/>
        <v>Do Not Buy Today</v>
      </c>
    </row>
    <row r="18">
      <c r="A18" s="73" t="s">
        <v>172</v>
      </c>
      <c r="B18" s="76">
        <f>IFERROR(__xludf.DUMMYFUNCTION("GOOGLEFINANCE(A18,""price"")"),5322.0)</f>
        <v>5322</v>
      </c>
      <c r="C18" s="77">
        <f>IFERROR(__xludf.DUMMYFUNCTION("GOOGLEFINANCE(A18,""closeyest"")"),5338.0)</f>
        <v>5338</v>
      </c>
      <c r="D18" s="61">
        <f>IFERROR(__xludf.DUMMYFUNCTION("MIN(index(GOOGLEFINANCE(A18,""ALL"",TODAY()-180,TODAY()),0,5))*1.2"),6392.4)</f>
        <v>6392.4</v>
      </c>
      <c r="E18" s="62">
        <f>IFERROR(__xludf.DUMMYFUNCTION("AVERAGE(QUERY(SORT(GOOGLEFINANCE(A18,""price"",TODAY()-320,TODAY()),1,0),""select Col2 limit 100""))"),5785.75)</f>
        <v>5785.75</v>
      </c>
      <c r="F18" s="44">
        <f>IFERROR(__xludf.DUMMYFUNCTION("GOOGLEFINANCE(A18,""high52"")"),6336.0)</f>
        <v>6336</v>
      </c>
      <c r="G18" s="45">
        <f>IFERROR(__xludf.DUMMYFUNCTION("to_date(index(sort(GOOGLEFINANCE(A18, ""high"", today()-52*7, today(), ""DAILY""),2,0),2,1))"),45904.64583333333)</f>
        <v>45904.64583</v>
      </c>
      <c r="H18" s="44">
        <f>IFERROR(__xludf.DUMMYFUNCTION("GOOGLEFINANCE(A18,""low52"")"),5279.5)</f>
        <v>5279.5</v>
      </c>
      <c r="I18" s="45">
        <f>IFERROR(__xludf.DUMMYFUNCTION("to_date(index(sort(GOOGLEFINANCE(A18, ""low"", today()-52*7, today(), ""DAILY""),2,1),1,1))"),46155.64583333333)</f>
        <v>46155.64583</v>
      </c>
      <c r="J18" s="46" t="str">
        <f t="shared" si="1"/>
        <v>Do Not Buy Today</v>
      </c>
    </row>
    <row r="19">
      <c r="A19" s="73" t="s">
        <v>173</v>
      </c>
      <c r="B19" s="76">
        <f>IFERROR(__xludf.DUMMYFUNCTION("GOOGLEFINANCE(A19,""price"")"),1899.6)</f>
        <v>1899.6</v>
      </c>
      <c r="C19" s="77">
        <f>IFERROR(__xludf.DUMMYFUNCTION("GOOGLEFINANCE(A19,""closeyest"")"),1884.0)</f>
        <v>1884</v>
      </c>
      <c r="D19" s="61">
        <f>IFERROR(__xludf.DUMMYFUNCTION("MIN(index(GOOGLEFINANCE(A19,""ALL"",TODAY()-180,TODAY()),0,5))*1.2"),2029.68)</f>
        <v>2029.68</v>
      </c>
      <c r="E19" s="62">
        <f>IFERROR(__xludf.DUMMYFUNCTION("AVERAGE(QUERY(SORT(GOOGLEFINANCE(A19,""price"",TODAY()-320,TODAY()),1,0),""select Col2 limit 100""))"),2037.1679999999992)</f>
        <v>2037.168</v>
      </c>
      <c r="F19" s="44">
        <f>IFERROR(__xludf.DUMMYFUNCTION("GOOGLEFINANCE(A19,""high52"")"),2890.0)</f>
        <v>2890</v>
      </c>
      <c r="G19" s="45">
        <f>IFERROR(__xludf.DUMMYFUNCTION("to_date(index(sort(GOOGLEFINANCE(A19, ""high"", today()-52*7, today(), ""DAILY""),2,0),2,1))"),45922.64583333333)</f>
        <v>45922.64583</v>
      </c>
      <c r="H19" s="44">
        <f>IFERROR(__xludf.DUMMYFUNCTION("GOOGLEFINANCE(A19,""low52"")"),1658.0)</f>
        <v>1658</v>
      </c>
      <c r="I19" s="45">
        <f>IFERROR(__xludf.DUMMYFUNCTION("to_date(index(sort(GOOGLEFINANCE(A19, ""low"", today()-52*7, today(), ""DAILY""),2,1),1,1))"),46118.64583333333)</f>
        <v>46118.64583</v>
      </c>
      <c r="J19" s="46" t="str">
        <f t="shared" si="1"/>
        <v>Do Not Buy Today</v>
      </c>
    </row>
    <row r="20">
      <c r="A20" s="73" t="s">
        <v>178</v>
      </c>
      <c r="B20" s="76">
        <f>IFERROR(__xludf.DUMMYFUNCTION("GOOGLEFINANCE(A20,""price"")"),1211.2)</f>
        <v>1211.2</v>
      </c>
      <c r="C20" s="77">
        <f>IFERROR(__xludf.DUMMYFUNCTION("GOOGLEFINANCE(A20,""closeyest"")"),1201.0)</f>
        <v>1201</v>
      </c>
      <c r="D20" s="61">
        <f>IFERROR(__xludf.DUMMYFUNCTION("MIN(index(GOOGLEFINANCE(A20,""ALL"",TODAY()-180,TODAY()),0,5))*1.2"),1416.7199999999998)</f>
        <v>1416.72</v>
      </c>
      <c r="E20" s="62">
        <f>IFERROR(__xludf.DUMMYFUNCTION("AVERAGE(QUERY(SORT(GOOGLEFINANCE(A20,""price"",TODAY()-320,TODAY()),1,0),""select Col2 limit 100""))"),1320.3049999999996)</f>
        <v>1320.305</v>
      </c>
      <c r="F20" s="44">
        <f>IFERROR(__xludf.DUMMYFUNCTION("GOOGLEFINANCE(A20,""high52"")"),1621.1)</f>
        <v>1621.1</v>
      </c>
      <c r="G20" s="45">
        <f>IFERROR(__xludf.DUMMYFUNCTION("to_date(index(sort(GOOGLEFINANCE(A20, ""high"", today()-52*7, today(), ""DAILY""),2,0),2,1))"),45917.64583333333)</f>
        <v>45917.64583</v>
      </c>
      <c r="H20" s="44">
        <f>IFERROR(__xludf.DUMMYFUNCTION("GOOGLEFINANCE(A20,""low52"")"),1142.5)</f>
        <v>1142.5</v>
      </c>
      <c r="I20" s="45">
        <f>IFERROR(__xludf.DUMMYFUNCTION("to_date(index(sort(GOOGLEFINANCE(A20, ""low"", today()-52*7, today(), ""DAILY""),2,1),1,1))"),46114.64583333333)</f>
        <v>46114.64583</v>
      </c>
      <c r="J20" s="46" t="str">
        <f t="shared" si="1"/>
        <v>Do Not Buy Today</v>
      </c>
    </row>
    <row r="21">
      <c r="A21" s="73" t="s">
        <v>194</v>
      </c>
      <c r="B21" s="76">
        <f>IFERROR(__xludf.DUMMYFUNCTION("GOOGLEFINANCE(A21,""price"")"),459.3)</f>
        <v>459.3</v>
      </c>
      <c r="C21" s="77">
        <f>IFERROR(__xludf.DUMMYFUNCTION("GOOGLEFINANCE(A21,""closeyest"")"),449.7)</f>
        <v>449.7</v>
      </c>
      <c r="D21" s="61">
        <f>IFERROR(__xludf.DUMMYFUNCTION("MIN(index(GOOGLEFINANCE(A21,""ALL"",TODAY()-180,TODAY()),0,5))*1.2"),474.42)</f>
        <v>474.42</v>
      </c>
      <c r="E21" s="62">
        <f>IFERROR(__xludf.DUMMYFUNCTION("AVERAGE(QUERY(SORT(GOOGLEFINANCE(A21,""price"",TODAY()-320,TODAY()),1,0),""select Col2 limit 100""))"),482.75)</f>
        <v>482.75</v>
      </c>
      <c r="F21" s="44">
        <f>IFERROR(__xludf.DUMMYFUNCTION("GOOGLEFINANCE(A21,""high52"")"),624.95)</f>
        <v>624.95</v>
      </c>
      <c r="G21" s="45">
        <f>IFERROR(__xludf.DUMMYFUNCTION("to_date(index(sort(GOOGLEFINANCE(A21, ""high"", today()-52*7, today(), ""DAILY""),2,0),2,1))"),45860.64583333333)</f>
        <v>45860.64583</v>
      </c>
      <c r="H21" s="44">
        <f>IFERROR(__xludf.DUMMYFUNCTION("GOOGLEFINANCE(A21,""low52"")"),394.0)</f>
        <v>394</v>
      </c>
      <c r="I21" s="45">
        <f>IFERROR(__xludf.DUMMYFUNCTION("to_date(index(sort(GOOGLEFINANCE(A21, ""low"", today()-52*7, today(), ""DAILY""),2,1),1,1))"),46104.64583333333)</f>
        <v>46104.64583</v>
      </c>
      <c r="J21" s="46" t="str">
        <f t="shared" si="1"/>
        <v>Do Not Buy Today</v>
      </c>
    </row>
    <row r="22">
      <c r="A22" s="73" t="s">
        <v>196</v>
      </c>
      <c r="B22" s="76">
        <f>IFERROR(__xludf.DUMMYFUNCTION("GOOGLEFINANCE(A22,""price"")"),271.6)</f>
        <v>271.6</v>
      </c>
      <c r="C22" s="77">
        <f>IFERROR(__xludf.DUMMYFUNCTION("GOOGLEFINANCE(A22,""closeyest"")"),270.55)</f>
        <v>270.55</v>
      </c>
      <c r="D22" s="61">
        <f>IFERROR(__xludf.DUMMYFUNCTION("MIN(index(GOOGLEFINANCE(A22,""ALL"",TODAY()-180,TODAY()),0,5))*1.2"),297.12)</f>
        <v>297.12</v>
      </c>
      <c r="E22" s="62">
        <f>IFERROR(__xludf.DUMMYFUNCTION("AVERAGE(QUERY(SORT(GOOGLEFINANCE(A22,""price"",TODAY()-320,TODAY()),1,0),""select Col2 limit 100""))"),285.3467)</f>
        <v>285.3467</v>
      </c>
      <c r="F22" s="44">
        <f>IFERROR(__xludf.DUMMYFUNCTION("GOOGLEFINANCE(A22,""high52"")"),325.5)</f>
        <v>325.5</v>
      </c>
      <c r="G22" s="45">
        <f>IFERROR(__xludf.DUMMYFUNCTION("to_date(index(sort(GOOGLEFINANCE(A22, ""high"", today()-52*7, today(), ""DAILY""),2,0),2,1))"),46079.64583333333)</f>
        <v>46079.64583</v>
      </c>
      <c r="H22" s="44">
        <f>IFERROR(__xludf.DUMMYFUNCTION("GOOGLEFINANCE(A22,""low52"")"),230.52)</f>
        <v>230.52</v>
      </c>
      <c r="I22" s="45">
        <f>IFERROR(__xludf.DUMMYFUNCTION("to_date(index(sort(GOOGLEFINANCE(A22, ""low"", today()-52*7, today(), ""DAILY""),2,1),1,1))"),45827.64583333333)</f>
        <v>45827.64583</v>
      </c>
      <c r="J22" s="46" t="str">
        <f t="shared" si="1"/>
        <v>Do Not Buy Today</v>
      </c>
    </row>
    <row r="23">
      <c r="A23" s="73" t="s">
        <v>198</v>
      </c>
      <c r="B23" s="76">
        <f>IFERROR(__xludf.DUMMYFUNCTION("GOOGLEFINANCE(A23,""price"")"),7043.5)</f>
        <v>7043.5</v>
      </c>
      <c r="C23" s="77">
        <f>IFERROR(__xludf.DUMMYFUNCTION("GOOGLEFINANCE(A23,""closeyest"")"),6804.0)</f>
        <v>6804</v>
      </c>
      <c r="D23" s="61">
        <f>IFERROR(__xludf.DUMMYFUNCTION("MIN(index(GOOGLEFINANCE(A23,""ALL"",TODAY()-180,TODAY()),0,5))*1.2"),5629.8)</f>
        <v>5629.8</v>
      </c>
      <c r="E23" s="62">
        <f>IFERROR(__xludf.DUMMYFUNCTION("AVERAGE(QUERY(SORT(GOOGLEFINANCE(A23,""price"",TODAY()-320,TODAY()),1,0),""select Col2 limit 100""))"),6077.25)</f>
        <v>6077.25</v>
      </c>
      <c r="F23" s="44">
        <f>IFERROR(__xludf.DUMMYFUNCTION("GOOGLEFINANCE(A23,""high52"")"),7822.5)</f>
        <v>7822.5</v>
      </c>
      <c r="G23" s="45">
        <f>IFERROR(__xludf.DUMMYFUNCTION("to_date(index(sort(GOOGLEFINANCE(A23, ""high"", today()-52*7, today(), ""DAILY""),2,0),2,1))"),46134.64583333333)</f>
        <v>46134.64583</v>
      </c>
      <c r="H23" s="44">
        <f>IFERROR(__xludf.DUMMYFUNCTION("GOOGLEFINANCE(A23,""low52"")"),4637.5)</f>
        <v>4637.5</v>
      </c>
      <c r="I23" s="45">
        <f>IFERROR(__xludf.DUMMYFUNCTION("to_date(index(sort(GOOGLEFINANCE(A23, ""low"", today()-52*7, today(), ""DAILY""),2,1),1,1))"),46043.64583333333)</f>
        <v>46043.64583</v>
      </c>
      <c r="J23" s="46" t="str">
        <f t="shared" si="1"/>
        <v>Do Not Buy Today</v>
      </c>
    </row>
    <row r="24">
      <c r="A24" s="73" t="s">
        <v>202</v>
      </c>
      <c r="B24" s="76">
        <f>IFERROR(__xludf.DUMMYFUNCTION("GOOGLEFINANCE(A24,""price"")"),142.1)</f>
        <v>142.1</v>
      </c>
      <c r="C24" s="77">
        <f>IFERROR(__xludf.DUMMYFUNCTION("GOOGLEFINANCE(A24,""closeyest"")"),142.38)</f>
        <v>142.38</v>
      </c>
      <c r="D24" s="61">
        <f>IFERROR(__xludf.DUMMYFUNCTION("MIN(index(GOOGLEFINANCE(A24,""ALL"",TODAY()-180,TODAY()),0,5))*1.2"),158.172)</f>
        <v>158.172</v>
      </c>
      <c r="E24" s="62">
        <f>IFERROR(__xludf.DUMMYFUNCTION("AVERAGE(QUERY(SORT(GOOGLEFINANCE(A24,""price"",TODAY()-320,TODAY()),1,0),""select Col2 limit 100""))"),155.54149999999998)</f>
        <v>155.5415</v>
      </c>
      <c r="F24" s="44">
        <f>IFERROR(__xludf.DUMMYFUNCTION("GOOGLEFINANCE(A24,""high52"")"),188.96)</f>
        <v>188.96</v>
      </c>
      <c r="G24" s="45">
        <f>IFERROR(__xludf.DUMMYFUNCTION("to_date(index(sort(GOOGLEFINANCE(A24, ""high"", today()-52*7, today(), ""DAILY""),2,0),2,1))"),46080.64583333333)</f>
        <v>46080.64583</v>
      </c>
      <c r="H24" s="44">
        <f>IFERROR(__xludf.DUMMYFUNCTION("GOOGLEFINANCE(A24,""low52"")"),130.22)</f>
        <v>130.22</v>
      </c>
      <c r="I24" s="45">
        <f>IFERROR(__xludf.DUMMYFUNCTION("to_date(index(sort(GOOGLEFINANCE(A24, ""low"", today()-52*7, today(), ""DAILY""),2,1),1,1))"),46114.64583333333)</f>
        <v>46114.64583</v>
      </c>
      <c r="J24" s="46" t="str">
        <f t="shared" si="1"/>
        <v>Do Not Buy Today</v>
      </c>
    </row>
    <row r="25">
      <c r="A25" s="73" t="s">
        <v>213</v>
      </c>
      <c r="B25" s="76">
        <f>IFERROR(__xludf.DUMMYFUNCTION("GOOGLEFINANCE(A25,""price"")"),85.52)</f>
        <v>85.52</v>
      </c>
      <c r="C25" s="77">
        <f>IFERROR(__xludf.DUMMYFUNCTION("GOOGLEFINANCE(A25,""closeyest"")"),85.05)</f>
        <v>85.05</v>
      </c>
      <c r="D25" s="61">
        <f>IFERROR(__xludf.DUMMYFUNCTION("MIN(index(GOOGLEFINANCE(A25,""ALL"",TODAY()-180,TODAY()),0,5))*1.2"),87.708)</f>
        <v>87.708</v>
      </c>
      <c r="E25" s="62">
        <f>IFERROR(__xludf.DUMMYFUNCTION("AVERAGE(QUERY(SORT(GOOGLEFINANCE(A25,""price"",TODAY()-320,TODAY()),1,0),""select Col2 limit 100""))"),87.4545)</f>
        <v>87.4545</v>
      </c>
      <c r="F25" s="44">
        <f>IFERROR(__xludf.DUMMYFUNCTION("GOOGLEFINANCE(A25,""high52"")"),128.45)</f>
        <v>128.45</v>
      </c>
      <c r="G25" s="45">
        <f>IFERROR(__xludf.DUMMYFUNCTION("to_date(index(sort(GOOGLEFINANCE(A25, ""high"", today()-52*7, today(), ""DAILY""),2,0),2,1))"),45817.64583333333)</f>
        <v>45817.64583</v>
      </c>
      <c r="H25" s="44">
        <f>IFERROR(__xludf.DUMMYFUNCTION("GOOGLEFINANCE(A25,""low52"")"),72.65)</f>
        <v>72.65</v>
      </c>
      <c r="I25" s="45">
        <f>IFERROR(__xludf.DUMMYFUNCTION("to_date(index(sort(GOOGLEFINANCE(A25, ""low"", today()-52*7, today(), ""DAILY""),2,1),1,1))"),46111.64583333333)</f>
        <v>46111.64583</v>
      </c>
      <c r="J25" s="46" t="str">
        <f t="shared" si="1"/>
        <v>Do Not Buy Today</v>
      </c>
    </row>
    <row r="26">
      <c r="A26" s="73" t="s">
        <v>215</v>
      </c>
      <c r="B26" s="76">
        <f>IFERROR(__xludf.DUMMYFUNCTION("GOOGLEFINANCE(A26,""price"")"),1087.4)</f>
        <v>1087.4</v>
      </c>
      <c r="C26" s="77">
        <f>IFERROR(__xludf.DUMMYFUNCTION("GOOGLEFINANCE(A26,""closeyest"")"),1079.05)</f>
        <v>1079.05</v>
      </c>
      <c r="D26" s="61">
        <f>IFERROR(__xludf.DUMMYFUNCTION("MIN(index(GOOGLEFINANCE(A26,""ALL"",TODAY()-180,TODAY()),0,5))*1.2"),1032.72)</f>
        <v>1032.72</v>
      </c>
      <c r="E26" s="62">
        <f>IFERROR(__xludf.DUMMYFUNCTION("AVERAGE(QUERY(SORT(GOOGLEFINANCE(A26,""price"",TODAY()-320,TODAY()),1,0),""select Col2 limit 100""))"),917.4985)</f>
        <v>917.4985</v>
      </c>
      <c r="F26" s="44">
        <f>IFERROR(__xludf.DUMMYFUNCTION("GOOGLEFINANCE(A26,""high52"")"),1093.65)</f>
        <v>1093.65</v>
      </c>
      <c r="G26" s="45">
        <f>IFERROR(__xludf.DUMMYFUNCTION("to_date(index(sort(GOOGLEFINANCE(A26, ""high"", today()-52*7, today(), ""DAILY""),2,0),2,1))"),46162.64583333333)</f>
        <v>46162.64583</v>
      </c>
      <c r="H26" s="44">
        <f>IFERROR(__xludf.DUMMYFUNCTION("GOOGLEFINANCE(A26,""low52"")"),835.5)</f>
        <v>835.5</v>
      </c>
      <c r="I26" s="45">
        <f>IFERROR(__xludf.DUMMYFUNCTION("to_date(index(sort(GOOGLEFINANCE(A26, ""low"", today()-52*7, today(), ""DAILY""),2,1),1,1))"),46114.64583333333)</f>
        <v>46114.64583</v>
      </c>
      <c r="J26" s="46" t="str">
        <f t="shared" si="1"/>
        <v>Do Not Buy Today</v>
      </c>
    </row>
    <row r="27">
      <c r="A27" s="73" t="s">
        <v>217</v>
      </c>
      <c r="B27" s="76">
        <f>IFERROR(__xludf.DUMMYFUNCTION("GOOGLEFINANCE(A27,""price"")"),133.75)</f>
        <v>133.75</v>
      </c>
      <c r="C27" s="77">
        <f>IFERROR(__xludf.DUMMYFUNCTION("GOOGLEFINANCE(A27,""closeyest"")"),133.15)</f>
        <v>133.15</v>
      </c>
      <c r="D27" s="61">
        <f>IFERROR(__xludf.DUMMYFUNCTION("MIN(index(GOOGLEFINANCE(A27,""ALL"",TODAY()-180,TODAY()),0,5))*1.2"),148.14)</f>
        <v>148.14</v>
      </c>
      <c r="E27" s="62">
        <f>IFERROR(__xludf.DUMMYFUNCTION("AVERAGE(QUERY(SORT(GOOGLEFINANCE(A27,""price"",TODAY()-320,TODAY()),1,0),""select Col2 limit 100""))"),142.8947)</f>
        <v>142.8947</v>
      </c>
      <c r="F27" s="44">
        <f>IFERROR(__xludf.DUMMYFUNCTION("GOOGLEFINANCE(A27,""high52"")"),162.89)</f>
        <v>162.89</v>
      </c>
      <c r="G27" s="45">
        <f>IFERROR(__xludf.DUMMYFUNCTION("to_date(index(sort(GOOGLEFINANCE(A27, ""high"", today()-52*7, today(), ""DAILY""),2,0),2,1))"),46079.64583333333)</f>
        <v>46079.64583</v>
      </c>
      <c r="H27" s="44">
        <f>IFERROR(__xludf.DUMMYFUNCTION("GOOGLEFINANCE(A27,""low52"")"),103.55)</f>
        <v>103.55</v>
      </c>
      <c r="I27" s="45">
        <f>IFERROR(__xludf.DUMMYFUNCTION("to_date(index(sort(GOOGLEFINANCE(A27, ""low"", today()-52*7, today(), ""DAILY""),2,1),1,1))"),45898.64583333333)</f>
        <v>45898.64583</v>
      </c>
      <c r="J27" s="46" t="str">
        <f t="shared" si="1"/>
        <v>Do Not Buy Today</v>
      </c>
    </row>
    <row r="28">
      <c r="A28" s="73" t="s">
        <v>219</v>
      </c>
      <c r="B28" s="76">
        <f>IFERROR(__xludf.DUMMYFUNCTION("GOOGLEFINANCE(A28,""price"")"),337.9)</f>
        <v>337.9</v>
      </c>
      <c r="C28" s="77">
        <f>IFERROR(__xludf.DUMMYFUNCTION("GOOGLEFINANCE(A28,""closeyest"")"),337.6)</f>
        <v>337.6</v>
      </c>
      <c r="D28" s="61">
        <f>IFERROR(__xludf.DUMMYFUNCTION("MIN(index(GOOGLEFINANCE(A28,""ALL"",TODAY()-180,TODAY()),0,5))*1.2"),366.12)</f>
        <v>366.12</v>
      </c>
      <c r="E28" s="62">
        <f>IFERROR(__xludf.DUMMYFUNCTION("AVERAGE(QUERY(SORT(GOOGLEFINANCE(A28,""price"",TODAY()-320,TODAY()),1,0),""select Col2 limit 100""))"),353.26050000000004)</f>
        <v>353.2605</v>
      </c>
      <c r="F28" s="44">
        <f>IFERROR(__xludf.DUMMYFUNCTION("GOOGLEFINANCE(A28,""high52"")"),428.7)</f>
        <v>428.7</v>
      </c>
      <c r="G28" s="45">
        <f>IFERROR(__xludf.DUMMYFUNCTION("to_date(index(sort(GOOGLEFINANCE(A28, ""high"", today()-52*7, today(), ""DAILY""),2,0),2,1))"),45817.64583333333)</f>
        <v>45817.64583</v>
      </c>
      <c r="H28" s="44">
        <f>IFERROR(__xludf.DUMMYFUNCTION("GOOGLEFINANCE(A28,""low52"")"),304.05)</f>
        <v>304.05</v>
      </c>
      <c r="I28" s="45">
        <f>IFERROR(__xludf.DUMMYFUNCTION("to_date(index(sort(GOOGLEFINANCE(A28, ""low"", today()-52*7, today(), ""DAILY""),2,1),1,1))"),46111.64583333333)</f>
        <v>46111.64583</v>
      </c>
      <c r="J28" s="46" t="str">
        <f t="shared" si="1"/>
        <v>Do Not Buy Today</v>
      </c>
    </row>
    <row r="29">
      <c r="A29" s="73" t="s">
        <v>226</v>
      </c>
      <c r="B29" s="76">
        <f>IFERROR(__xludf.DUMMYFUNCTION("GOOGLEFINANCE(A29,""price"")"),1301.6)</f>
        <v>1301.6</v>
      </c>
      <c r="C29" s="77">
        <f>IFERROR(__xludf.DUMMYFUNCTION("GOOGLEFINANCE(A29,""closeyest"")"),1293.4)</f>
        <v>1293.4</v>
      </c>
      <c r="D29" s="61">
        <f>IFERROR(__xludf.DUMMYFUNCTION("MIN(index(GOOGLEFINANCE(A29,""ALL"",TODAY()-180,TODAY()),0,5))*1.2"),1462.56)</f>
        <v>1462.56</v>
      </c>
      <c r="E29" s="62">
        <f>IFERROR(__xludf.DUMMYFUNCTION("AVERAGE(QUERY(SORT(GOOGLEFINANCE(A29,""price"",TODAY()-320,TODAY()),1,0),""select Col2 limit 100""))"),1335.9860000000003)</f>
        <v>1335.986</v>
      </c>
      <c r="F29" s="44">
        <f>IFERROR(__xludf.DUMMYFUNCTION("GOOGLEFINANCE(A29,""high52"")"),1645.0)</f>
        <v>1645</v>
      </c>
      <c r="G29" s="45">
        <f>IFERROR(__xludf.DUMMYFUNCTION("to_date(index(sort(GOOGLEFINANCE(A29, ""high"", today()-52*7, today(), ""DAILY""),2,0),2,1))"),45818.64583333333)</f>
        <v>45818.64583</v>
      </c>
      <c r="H29" s="44">
        <f>IFERROR(__xludf.DUMMYFUNCTION("GOOGLEFINANCE(A29,""low52"")"),1210.8)</f>
        <v>1210.8</v>
      </c>
      <c r="I29" s="45">
        <f>IFERROR(__xludf.DUMMYFUNCTION("to_date(index(sort(GOOGLEFINANCE(A29, ""low"", today()-52*7, today(), ""DAILY""),2,1),1,1))"),46119.64583333333)</f>
        <v>46119.64583</v>
      </c>
      <c r="J29" s="46" t="str">
        <f t="shared" si="1"/>
        <v>Do Not Buy Today</v>
      </c>
    </row>
    <row r="30">
      <c r="A30" s="73" t="s">
        <v>228</v>
      </c>
      <c r="B30" s="76">
        <f>IFERROR(__xludf.DUMMYFUNCTION("GOOGLEFINANCE(A30,""price"")"),1491.5)</f>
        <v>1491.5</v>
      </c>
      <c r="C30" s="77">
        <f>IFERROR(__xludf.DUMMYFUNCTION("GOOGLEFINANCE(A30,""closeyest"")"),1457.4)</f>
        <v>1457.4</v>
      </c>
      <c r="D30" s="61">
        <f>IFERROR(__xludf.DUMMYFUNCTION("MIN(index(GOOGLEFINANCE(A30,""ALL"",TODAY()-180,TODAY()),0,5))*1.2"),927.3599999999999)</f>
        <v>927.36</v>
      </c>
      <c r="E30" s="62">
        <f>IFERROR(__xludf.DUMMYFUNCTION("AVERAGE(QUERY(SORT(GOOGLEFINANCE(A30,""price"",TODAY()-320,TODAY()),1,0),""select Col2 limit 100""))"),1034.9350000000004)</f>
        <v>1034.935</v>
      </c>
      <c r="F30" s="44">
        <f>IFERROR(__xludf.DUMMYFUNCTION("GOOGLEFINANCE(A30,""high52"")"),1518.0)</f>
        <v>1518</v>
      </c>
      <c r="G30" s="45">
        <f>IFERROR(__xludf.DUMMYFUNCTION("to_date(index(sort(GOOGLEFINANCE(A30, ""high"", today()-52*7, today(), ""DAILY""),2,0),2,1))"),46157.64583333333)</f>
        <v>46157.64583</v>
      </c>
      <c r="H30" s="44">
        <f>IFERROR(__xludf.DUMMYFUNCTION("GOOGLEFINANCE(A30,""low52"")"),765.0)</f>
        <v>765</v>
      </c>
      <c r="I30" s="45">
        <f>IFERROR(__xludf.DUMMYFUNCTION("to_date(index(sort(GOOGLEFINANCE(A30, ""low"", today()-52*7, today(), ""DAILY""),2,1),1,1))"),46045.64583333333)</f>
        <v>46045.64583</v>
      </c>
      <c r="J30" s="46" t="str">
        <f t="shared" si="1"/>
        <v>Do Not Buy Today</v>
      </c>
    </row>
    <row r="31">
      <c r="A31" s="73" t="s">
        <v>230</v>
      </c>
      <c r="B31" s="76">
        <f>IFERROR(__xludf.DUMMYFUNCTION("GOOGLEFINANCE(A31,""price"")"),4487.6)</f>
        <v>4487.6</v>
      </c>
      <c r="C31" s="77">
        <f>IFERROR(__xludf.DUMMYFUNCTION("GOOGLEFINANCE(A31,""closeyest"")"),4480.8)</f>
        <v>4480.8</v>
      </c>
      <c r="D31" s="61">
        <f>IFERROR(__xludf.DUMMYFUNCTION("MIN(index(GOOGLEFINANCE(A31,""ALL"",TODAY()-180,TODAY()),0,5))*1.2"),4732.2)</f>
        <v>4732.2</v>
      </c>
      <c r="E31" s="62">
        <f>IFERROR(__xludf.DUMMYFUNCTION("AVERAGE(QUERY(SORT(GOOGLEFINANCE(A31,""price"",TODAY()-320,TODAY()),1,0),""select Col2 limit 100""))"),4601.279)</f>
        <v>4601.279</v>
      </c>
      <c r="F31" s="44">
        <f>IFERROR(__xludf.DUMMYFUNCTION("GOOGLEFINANCE(A31,""high52"")"),6232.5)</f>
        <v>6232.5</v>
      </c>
      <c r="G31" s="45">
        <f>IFERROR(__xludf.DUMMYFUNCTION("to_date(index(sort(GOOGLEFINANCE(A31, ""high"", today()-52*7, today(), ""DAILY""),2,0),2,1))"),45887.64583333333)</f>
        <v>45887.64583</v>
      </c>
      <c r="H31" s="44">
        <f>IFERROR(__xludf.DUMMYFUNCTION("GOOGLEFINANCE(A31,""low52"")"),3895.2)</f>
        <v>3895.2</v>
      </c>
      <c r="I31" s="45">
        <f>IFERROR(__xludf.DUMMYFUNCTION("to_date(index(sort(GOOGLEFINANCE(A31, ""low"", today()-52*7, today(), ""DAILY""),2,1),1,1))"),46085.64583333333)</f>
        <v>46085.64583</v>
      </c>
      <c r="J31" s="46" t="str">
        <f t="shared" si="1"/>
        <v>Do Not Buy Today</v>
      </c>
    </row>
    <row r="32">
      <c r="A32" s="73" t="s">
        <v>233</v>
      </c>
      <c r="B32" s="76">
        <f>IFERROR(__xludf.DUMMYFUNCTION("GOOGLEFINANCE(A32,""price"")"),930.7)</f>
        <v>930.7</v>
      </c>
      <c r="C32" s="77">
        <f>IFERROR(__xludf.DUMMYFUNCTION("GOOGLEFINANCE(A32,""closeyest"")"),903.7)</f>
        <v>903.7</v>
      </c>
      <c r="D32" s="61">
        <f>IFERROR(__xludf.DUMMYFUNCTION("MIN(index(GOOGLEFINANCE(A32,""ALL"",TODAY()-180,TODAY()),0,5))*1.2"),812.4)</f>
        <v>812.4</v>
      </c>
      <c r="E32" s="62">
        <f>IFERROR(__xludf.DUMMYFUNCTION("AVERAGE(QUERY(SORT(GOOGLEFINANCE(A32,""price"",TODAY()-320,TODAY()),1,0),""select Col2 limit 100""))"),936.2754999999999)</f>
        <v>936.2755</v>
      </c>
      <c r="F32" s="44">
        <f>IFERROR(__xludf.DUMMYFUNCTION("GOOGLEFINANCE(A32,""high52"")"),1531.0)</f>
        <v>1531</v>
      </c>
      <c r="G32" s="45">
        <f>IFERROR(__xludf.DUMMYFUNCTION("to_date(index(sort(GOOGLEFINANCE(A32, ""high"", today()-52*7, today(), ""DAILY""),2,0),2,1))"),45817.64583333333)</f>
        <v>45817.64583</v>
      </c>
      <c r="H32" s="44">
        <f>IFERROR(__xludf.DUMMYFUNCTION("GOOGLEFINANCE(A32,""low52"")"),650.8)</f>
        <v>650.8</v>
      </c>
      <c r="I32" s="45">
        <f>IFERROR(__xludf.DUMMYFUNCTION("to_date(index(sort(GOOGLEFINANCE(A32, ""low"", today()-52*7, today(), ""DAILY""),2,1),1,1))"),46114.64583333333)</f>
        <v>46114.64583</v>
      </c>
      <c r="J32" s="46" t="str">
        <f t="shared" si="1"/>
        <v>Do Not Buy Today</v>
      </c>
    </row>
    <row r="33">
      <c r="A33" s="73" t="s">
        <v>240</v>
      </c>
      <c r="B33" s="76">
        <f>IFERROR(__xludf.DUMMYFUNCTION("GOOGLEFINANCE(A33,""price"")"),249.7)</f>
        <v>249.7</v>
      </c>
      <c r="C33" s="77">
        <f>IFERROR(__xludf.DUMMYFUNCTION("GOOGLEFINANCE(A33,""closeyest"")"),244.53)</f>
        <v>244.53</v>
      </c>
      <c r="D33" s="61">
        <f>IFERROR(__xludf.DUMMYFUNCTION("MIN(index(GOOGLEFINANCE(A33,""ALL"",TODAY()-180,TODAY()),0,5))*1.2"),159.552)</f>
        <v>159.552</v>
      </c>
      <c r="E33" s="62">
        <f>IFERROR(__xludf.DUMMYFUNCTION("AVERAGE(QUERY(SORT(GOOGLEFINANCE(A33,""price"",TODAY()-320,TODAY()),1,0),""select Col2 limit 100""))"),167.4224)</f>
        <v>167.4224</v>
      </c>
      <c r="F33" s="44">
        <f>IFERROR(__xludf.DUMMYFUNCTION("GOOGLEFINANCE(A33,""high52"")"),252.0)</f>
        <v>252</v>
      </c>
      <c r="G33" s="45">
        <f>IFERROR(__xludf.DUMMYFUNCTION("to_date(index(sort(GOOGLEFINANCE(A33, ""high"", today()-52*7, today(), ""DAILY""),2,0),2,1))"),46168.64583333333)</f>
        <v>46168.64583</v>
      </c>
      <c r="H33" s="44">
        <f>IFERROR(__xludf.DUMMYFUNCTION("GOOGLEFINANCE(A33,""low52"")"),105.42)</f>
        <v>105.42</v>
      </c>
      <c r="I33" s="45">
        <f>IFERROR(__xludf.DUMMYFUNCTION("to_date(index(sort(GOOGLEFINANCE(A33, ""low"", today()-52*7, today(), ""DAILY""),2,1),1,1))"),45828.64583333333)</f>
        <v>45828.64583</v>
      </c>
      <c r="J33" s="46" t="str">
        <f t="shared" si="1"/>
        <v>Do Not Buy Today</v>
      </c>
    </row>
    <row r="34">
      <c r="A34" s="73" t="s">
        <v>242</v>
      </c>
      <c r="B34" s="76">
        <f>IFERROR(__xludf.DUMMYFUNCTION("GOOGLEFINANCE(A34,""price"")"),25535.0)</f>
        <v>25535</v>
      </c>
      <c r="C34" s="77">
        <f>IFERROR(__xludf.DUMMYFUNCTION("GOOGLEFINANCE(A34,""closeyest"")"),25180.0)</f>
        <v>25180</v>
      </c>
      <c r="D34" s="61">
        <f>IFERROR(__xludf.DUMMYFUNCTION("MIN(index(GOOGLEFINANCE(A34,""ALL"",TODAY()-180,TODAY()),0,5))*1.2"),27270.0)</f>
        <v>27270</v>
      </c>
      <c r="E34" s="62">
        <f>IFERROR(__xludf.DUMMYFUNCTION("AVERAGE(QUERY(SORT(GOOGLEFINANCE(A34,""price"",TODAY()-320,TODAY()),1,0),""select Col2 limit 100""))"),25543.05)</f>
        <v>25543.05</v>
      </c>
      <c r="F34" s="44">
        <f>IFERROR(__xludf.DUMMYFUNCTION("GOOGLEFINANCE(A34,""high52"")"),32490.0)</f>
        <v>32490</v>
      </c>
      <c r="G34" s="45">
        <f>IFERROR(__xludf.DUMMYFUNCTION("to_date(index(sort(GOOGLEFINANCE(A34, ""high"", today()-52*7, today(), ""DAILY""),2,0),2,1))"),45860.64583333333)</f>
        <v>45860.64583</v>
      </c>
      <c r="H34" s="44">
        <f>IFERROR(__xludf.DUMMYFUNCTION("GOOGLEFINANCE(A34,""low52"")"),22550.0)</f>
        <v>22550</v>
      </c>
      <c r="I34" s="45">
        <f>IFERROR(__xludf.DUMMYFUNCTION("to_date(index(sort(GOOGLEFINANCE(A34, ""low"", today()-52*7, today(), ""DAILY""),2,1),1,1))"),46104.64583333333)</f>
        <v>46104.64583</v>
      </c>
      <c r="J34" s="46" t="str">
        <f t="shared" si="1"/>
        <v>Do Not Buy Today</v>
      </c>
    </row>
    <row r="35">
      <c r="A35" s="73" t="s">
        <v>243</v>
      </c>
      <c r="B35" s="76">
        <f>IFERROR(__xludf.DUMMYFUNCTION("GOOGLEFINANCE(A35,""price"")"),106.45)</f>
        <v>106.45</v>
      </c>
      <c r="C35" s="77">
        <f>IFERROR(__xludf.DUMMYFUNCTION("GOOGLEFINANCE(A35,""closeyest"")"),105.91)</f>
        <v>105.91</v>
      </c>
      <c r="D35" s="61">
        <f>IFERROR(__xludf.DUMMYFUNCTION("MIN(index(GOOGLEFINANCE(A35,""ALL"",TODAY()-180,TODAY()),0,5))*1.2"),119.38799999999999)</f>
        <v>119.388</v>
      </c>
      <c r="E35" s="62">
        <f>IFERROR(__xludf.DUMMYFUNCTION("AVERAGE(QUERY(SORT(GOOGLEFINANCE(A35,""price"",TODAY()-320,TODAY()),1,0),""select Col2 limit 100""))"),116.43580000000001)</f>
        <v>116.4358</v>
      </c>
      <c r="F35" s="44">
        <f>IFERROR(__xludf.DUMMYFUNCTION("GOOGLEFINANCE(A35,""high52"")"),135.15)</f>
        <v>135.15</v>
      </c>
      <c r="G35" s="45">
        <f>IFERROR(__xludf.DUMMYFUNCTION("to_date(index(sort(GOOGLEFINANCE(A35, ""high"", today()-52*7, today(), ""DAILY""),2,0),2,1))"),46041.64583333333)</f>
        <v>46041.64583</v>
      </c>
      <c r="H35" s="44">
        <f>IFERROR(__xludf.DUMMYFUNCTION("GOOGLEFINANCE(A35,""low52"")"),98.5)</f>
        <v>98.5</v>
      </c>
      <c r="I35" s="45">
        <f>IFERROR(__xludf.DUMMYFUNCTION("to_date(index(sort(GOOGLEFINANCE(A35, ""low"", today()-52*7, today(), ""DAILY""),2,1),1,1))"),46160.64583333333)</f>
        <v>46160.64583</v>
      </c>
      <c r="J35" s="46" t="str">
        <f t="shared" si="1"/>
        <v>Do Not Buy Today</v>
      </c>
    </row>
    <row r="36">
      <c r="A36" s="73" t="s">
        <v>245</v>
      </c>
      <c r="B36" s="76">
        <f>IFERROR(__xludf.DUMMYFUNCTION("GOOGLEFINANCE(A36,""price"")"),913.2)</f>
        <v>913.2</v>
      </c>
      <c r="C36" s="77">
        <f>IFERROR(__xludf.DUMMYFUNCTION("GOOGLEFINANCE(A36,""closeyest"")"),879.15)</f>
        <v>879.15</v>
      </c>
      <c r="D36" s="61">
        <f>IFERROR(__xludf.DUMMYFUNCTION("MIN(index(GOOGLEFINANCE(A36,""ALL"",TODAY()-180,TODAY()),0,5))*1.2"),636.78)</f>
        <v>636.78</v>
      </c>
      <c r="E36" s="62">
        <f>IFERROR(__xludf.DUMMYFUNCTION("AVERAGE(QUERY(SORT(GOOGLEFINANCE(A36,""price"",TODAY()-320,TODAY()),1,0),""select Col2 limit 100""))"),711.8305)</f>
        <v>711.8305</v>
      </c>
      <c r="F36" s="44">
        <f>IFERROR(__xludf.DUMMYFUNCTION("GOOGLEFINANCE(A36,""high52"")"),920.9)</f>
        <v>920.9</v>
      </c>
      <c r="G36" s="45">
        <f>IFERROR(__xludf.DUMMYFUNCTION("to_date(index(sort(GOOGLEFINANCE(A36, ""high"", today()-52*7, today(), ""DAILY""),2,0),2,1))"),46168.64583333333)</f>
        <v>46168.64583</v>
      </c>
      <c r="H36" s="44">
        <f>IFERROR(__xludf.DUMMYFUNCTION("GOOGLEFINANCE(A36,""low52"")"),525.5)</f>
        <v>525.5</v>
      </c>
      <c r="I36" s="45">
        <f>IFERROR(__xludf.DUMMYFUNCTION("to_date(index(sort(GOOGLEFINANCE(A36, ""low"", today()-52*7, today(), ""DAILY""),2,1),1,1))"),46049.64583333333)</f>
        <v>46049.64583</v>
      </c>
      <c r="J36" s="46" t="str">
        <f t="shared" si="1"/>
        <v>Do Not Buy Today</v>
      </c>
    </row>
    <row r="37">
      <c r="A37" s="73" t="s">
        <v>248</v>
      </c>
      <c r="B37" s="76">
        <f>IFERROR(__xludf.DUMMYFUNCTION("GOOGLEFINANCE(A37,""price"")"),663.6)</f>
        <v>663.6</v>
      </c>
      <c r="C37" s="77">
        <f>IFERROR(__xludf.DUMMYFUNCTION("GOOGLEFINANCE(A37,""closeyest"")"),657.15)</f>
        <v>657.15</v>
      </c>
      <c r="D37" s="61">
        <f>IFERROR(__xludf.DUMMYFUNCTION("MIN(index(GOOGLEFINANCE(A37,""ALL"",TODAY()-180,TODAY()),0,5))*1.2"),685.14)</f>
        <v>685.14</v>
      </c>
      <c r="E37" s="62">
        <f>IFERROR(__xludf.DUMMYFUNCTION("AVERAGE(QUERY(SORT(GOOGLEFINANCE(A37,""price"",TODAY()-320,TODAY()),1,0),""select Col2 limit 100""))"),659.3375)</f>
        <v>659.3375</v>
      </c>
      <c r="F37" s="44">
        <f>IFERROR(__xludf.DUMMYFUNCTION("GOOGLEFINANCE(A37,""high52"")"),811.95)</f>
        <v>811.95</v>
      </c>
      <c r="G37" s="45">
        <f>IFERROR(__xludf.DUMMYFUNCTION("to_date(index(sort(GOOGLEFINANCE(A37, ""high"", today()-52*7, today(), ""DAILY""),2,0),2,1))"),45890.64583333333)</f>
        <v>45890.64583</v>
      </c>
      <c r="H37" s="44">
        <f>IFERROR(__xludf.DUMMYFUNCTION("GOOGLEFINANCE(A37,""low52"")"),565.0)</f>
        <v>565</v>
      </c>
      <c r="I37" s="45">
        <f>IFERROR(__xludf.DUMMYFUNCTION("to_date(index(sort(GOOGLEFINANCE(A37, ""low"", today()-52*7, today(), ""DAILY""),2,1),1,1))"),46114.64583333333)</f>
        <v>46114.64583</v>
      </c>
      <c r="J37" s="46" t="str">
        <f t="shared" si="1"/>
        <v>Do Not Buy Today</v>
      </c>
    </row>
    <row r="38">
      <c r="A38" s="73" t="s">
        <v>249</v>
      </c>
      <c r="B38" s="76">
        <f>IFERROR(__xludf.DUMMYFUNCTION("GOOGLEFINANCE(A38,""price"")"),1567.7)</f>
        <v>1567.7</v>
      </c>
      <c r="C38" s="77">
        <f>IFERROR(__xludf.DUMMYFUNCTION("GOOGLEFINANCE(A38,""closeyest"")"),1567.3)</f>
        <v>1567.3</v>
      </c>
      <c r="D38" s="61">
        <f>IFERROR(__xludf.DUMMYFUNCTION("MIN(index(GOOGLEFINANCE(A38,""ALL"",TODAY()-180,TODAY()),0,5))*1.2"),1625.64)</f>
        <v>1625.64</v>
      </c>
      <c r="E38" s="62">
        <f>IFERROR(__xludf.DUMMYFUNCTION("AVERAGE(QUERY(SORT(GOOGLEFINANCE(A38,""price"",TODAY()-320,TODAY()),1,0),""select Col2 limit 100""))"),1615.5150000000003)</f>
        <v>1615.515</v>
      </c>
      <c r="F38" s="44">
        <f>IFERROR(__xludf.DUMMYFUNCTION("GOOGLEFINANCE(A38,""high52"")"),1831.5)</f>
        <v>1831.5</v>
      </c>
      <c r="G38" s="45">
        <f>IFERROR(__xludf.DUMMYFUNCTION("to_date(index(sort(GOOGLEFINANCE(A38, ""high"", today()-52*7, today(), ""DAILY""),2,0),2,1))"),46028.64583333333)</f>
        <v>46028.64583</v>
      </c>
      <c r="H38" s="44">
        <f>IFERROR(__xludf.DUMMYFUNCTION("GOOGLEFINANCE(A38,""low52"")"),1299.4)</f>
        <v>1299.4</v>
      </c>
      <c r="I38" s="45">
        <f>IFERROR(__xludf.DUMMYFUNCTION("to_date(index(sort(GOOGLEFINANCE(A38, ""low"", today()-52*7, today(), ""DAILY""),2,1),1,1))"),46114.64583333333)</f>
        <v>46114.64583</v>
      </c>
      <c r="J38" s="46" t="str">
        <f t="shared" si="1"/>
        <v>Do Not Buy Today</v>
      </c>
    </row>
    <row r="39">
      <c r="A39" s="73" t="s">
        <v>255</v>
      </c>
      <c r="B39" s="76">
        <f>IFERROR(__xludf.DUMMYFUNCTION("GOOGLEFINANCE(A39,""price"")"),136.1)</f>
        <v>136.1</v>
      </c>
      <c r="C39" s="77">
        <f>IFERROR(__xludf.DUMMYFUNCTION("GOOGLEFINANCE(A39,""closeyest"")"),135.82)</f>
        <v>135.82</v>
      </c>
      <c r="D39" s="61">
        <f>IFERROR(__xludf.DUMMYFUNCTION("MIN(index(GOOGLEFINANCE(A39,""ALL"",TODAY()-180,TODAY()),0,5))*1.2"),126.09599999999999)</f>
        <v>126.096</v>
      </c>
      <c r="E39" s="62">
        <f>IFERROR(__xludf.DUMMYFUNCTION("AVERAGE(QUERY(SORT(GOOGLEFINANCE(A39,""price"",TODAY()-320,TODAY()),1,0),""select Col2 limit 100""))"),121.63370000000003)</f>
        <v>121.6337</v>
      </c>
      <c r="F39" s="44">
        <f>IFERROR(__xludf.DUMMYFUNCTION("GOOGLEFINANCE(A39,""high52"")"),139.01)</f>
        <v>139.01</v>
      </c>
      <c r="G39" s="45">
        <f>IFERROR(__xludf.DUMMYFUNCTION("to_date(index(sort(GOOGLEFINANCE(A39, ""high"", today()-52*7, today(), ""DAILY""),2,0),2,1))"),46164.64583333333)</f>
        <v>46164.64583</v>
      </c>
      <c r="H39" s="44">
        <f>IFERROR(__xludf.DUMMYFUNCTION("GOOGLEFINANCE(A39,""low52"")"),89.7)</f>
        <v>89.7</v>
      </c>
      <c r="I39" s="45">
        <f>IFERROR(__xludf.DUMMYFUNCTION("to_date(index(sort(GOOGLEFINANCE(A39, ""low"", today()-52*7, today(), ""DAILY""),2,1),1,1))"),45880.64583333333)</f>
        <v>45880.64583</v>
      </c>
      <c r="J39" s="46" t="str">
        <f t="shared" si="1"/>
        <v>Do Not Buy Today</v>
      </c>
    </row>
    <row r="40">
      <c r="A40" s="73" t="s">
        <v>256</v>
      </c>
      <c r="B40" s="76">
        <f>IFERROR(__xludf.DUMMYFUNCTION("GOOGLEFINANCE(A40,""price"")"),99.53)</f>
        <v>99.53</v>
      </c>
      <c r="C40" s="77">
        <f>IFERROR(__xludf.DUMMYFUNCTION("GOOGLEFINANCE(A40,""closeyest"")"),99.28)</f>
        <v>99.28</v>
      </c>
      <c r="D40" s="61">
        <f>IFERROR(__xludf.DUMMYFUNCTION("MIN(index(GOOGLEFINANCE(A40,""ALL"",TODAY()-180,TODAY()),0,5))*1.2"),104.676)</f>
        <v>104.676</v>
      </c>
      <c r="E40" s="62">
        <f>IFERROR(__xludf.DUMMYFUNCTION("AVERAGE(QUERY(SORT(GOOGLEFINANCE(A40,""price"",TODAY()-320,TODAY()),1,0),""select Col2 limit 100""))"),107.45889999999997)</f>
        <v>107.4589</v>
      </c>
      <c r="F40" s="44">
        <f>IFERROR(__xludf.DUMMYFUNCTION("GOOGLEFINANCE(A40,""high52"")"),148.95)</f>
        <v>148.95</v>
      </c>
      <c r="G40" s="45">
        <f>IFERROR(__xludf.DUMMYFUNCTION("to_date(index(sort(GOOGLEFINANCE(A40, ""high"", today()-52*7, today(), ""DAILY""),2,0),2,1))"),45817.64583333333)</f>
        <v>45817.64583</v>
      </c>
      <c r="H40" s="44">
        <f>IFERROR(__xludf.DUMMYFUNCTION("GOOGLEFINANCE(A40,""low52"")"),87.0)</f>
        <v>87</v>
      </c>
      <c r="I40" s="45">
        <f>IFERROR(__xludf.DUMMYFUNCTION("to_date(index(sort(GOOGLEFINANCE(A40, ""low"", today()-52*7, today(), ""DAILY""),2,1),1,1))"),46111.64583333333)</f>
        <v>46111.64583</v>
      </c>
      <c r="J40" s="46" t="str">
        <f t="shared" si="1"/>
        <v>Do Not Buy Today</v>
      </c>
    </row>
    <row r="41">
      <c r="A41" s="73" t="s">
        <v>257</v>
      </c>
      <c r="B41" s="76">
        <f>IFERROR(__xludf.DUMMYFUNCTION("GOOGLEFINANCE(A41,""price"")"),430.95)</f>
        <v>430.95</v>
      </c>
      <c r="C41" s="77">
        <f>IFERROR(__xludf.DUMMYFUNCTION("GOOGLEFINANCE(A41,""closeyest"")"),433.7)</f>
        <v>433.7</v>
      </c>
      <c r="D41" s="61">
        <f>IFERROR(__xludf.DUMMYFUNCTION("MIN(index(GOOGLEFINANCE(A41,""ALL"",TODAY()-180,TODAY()),0,5))*1.2"),402.06)</f>
        <v>402.06</v>
      </c>
      <c r="E41" s="62">
        <f>IFERROR(__xludf.DUMMYFUNCTION("AVERAGE(QUERY(SORT(GOOGLEFINANCE(A41,""price"",TODAY()-320,TODAY()),1,0),""select Col2 limit 100""))"),412.3425)</f>
        <v>412.3425</v>
      </c>
      <c r="F41" s="44">
        <f>IFERROR(__xludf.DUMMYFUNCTION("GOOGLEFINANCE(A41,""high52"")"),486.5)</f>
        <v>486.5</v>
      </c>
      <c r="G41" s="45">
        <f>IFERROR(__xludf.DUMMYFUNCTION("to_date(index(sort(GOOGLEFINANCE(A41, ""high"", today()-52*7, today(), ""DAILY""),2,0),2,1))"),46140.64583333333)</f>
        <v>46140.64583</v>
      </c>
      <c r="H41" s="44">
        <f>IFERROR(__xludf.DUMMYFUNCTION("GOOGLEFINANCE(A41,""low52"")"),329.9)</f>
        <v>329.9</v>
      </c>
      <c r="I41" s="45">
        <f>IFERROR(__xludf.DUMMYFUNCTION("to_date(index(sort(GOOGLEFINANCE(A41, ""low"", today()-52*7, today(), ""DAILY""),2,1),1,1))"),46009.64583333333)</f>
        <v>46009.64583</v>
      </c>
      <c r="J41" s="46" t="str">
        <f t="shared" si="1"/>
        <v>Do Not Buy Today</v>
      </c>
    </row>
    <row r="42">
      <c r="A42" s="73" t="s">
        <v>267</v>
      </c>
      <c r="B42" s="76">
        <f>IFERROR(__xludf.DUMMYFUNCTION("GOOGLEFINANCE(A42,""price"")"),597.45)</f>
        <v>597.45</v>
      </c>
      <c r="C42" s="77">
        <f>IFERROR(__xludf.DUMMYFUNCTION("GOOGLEFINANCE(A42,""closeyest"")"),589.8)</f>
        <v>589.8</v>
      </c>
      <c r="D42" s="61">
        <f>IFERROR(__xludf.DUMMYFUNCTION("MIN(index(GOOGLEFINANCE(A42,""ALL"",TODAY()-180,TODAY()),0,5))*1.2"),604.92)</f>
        <v>604.92</v>
      </c>
      <c r="E42" s="62">
        <f>IFERROR(__xludf.DUMMYFUNCTION("AVERAGE(QUERY(SORT(GOOGLEFINANCE(A42,""price"",TODAY()-320,TODAY()),1,0),""select Col2 limit 100""))"),606.0825000000003)</f>
        <v>606.0825</v>
      </c>
      <c r="F42" s="44">
        <f>IFERROR(__xludf.DUMMYFUNCTION("GOOGLEFINANCE(A42,""high52"")"),886.8)</f>
        <v>886.8</v>
      </c>
      <c r="G42" s="45">
        <f>IFERROR(__xludf.DUMMYFUNCTION("to_date(index(sort(GOOGLEFINANCE(A42, ""high"", today()-52*7, today(), ""DAILY""),2,0),2,1))"),45817.64583333333)</f>
        <v>45817.64583</v>
      </c>
      <c r="H42" s="44">
        <f>IFERROR(__xludf.DUMMYFUNCTION("GOOGLEFINANCE(A42,""low52"")"),489.4)</f>
        <v>489.4</v>
      </c>
      <c r="I42" s="45">
        <f>IFERROR(__xludf.DUMMYFUNCTION("to_date(index(sort(GOOGLEFINANCE(A42, ""low"", today()-52*7, today(), ""DAILY""),2,1),1,1))"),46114.64583333333)</f>
        <v>46114.64583</v>
      </c>
      <c r="J42" s="46" t="str">
        <f t="shared" si="1"/>
        <v>Do Not Buy Today</v>
      </c>
    </row>
    <row r="43">
      <c r="A43" s="73" t="s">
        <v>270</v>
      </c>
      <c r="B43" s="76">
        <f>IFERROR(__xludf.DUMMYFUNCTION("GOOGLEFINANCE(A43,""price"")"),1537.3)</f>
        <v>1537.3</v>
      </c>
      <c r="C43" s="77">
        <f>IFERROR(__xludf.DUMMYFUNCTION("GOOGLEFINANCE(A43,""closeyest"")"),1463.3)</f>
        <v>1463.3</v>
      </c>
      <c r="D43" s="61">
        <f>IFERROR(__xludf.DUMMYFUNCTION("MIN(index(GOOGLEFINANCE(A43,""ALL"",TODAY()-180,TODAY()),0,5))*1.2"),975.24)</f>
        <v>975.24</v>
      </c>
      <c r="E43" s="62">
        <f>IFERROR(__xludf.DUMMYFUNCTION("AVERAGE(QUERY(SORT(GOOGLEFINANCE(A43,""price"",TODAY()-320,TODAY()),1,0),""select Col2 limit 100""))"),1092.1120000000003)</f>
        <v>1092.112</v>
      </c>
      <c r="F43" s="44">
        <f>IFERROR(__xludf.DUMMYFUNCTION("GOOGLEFINANCE(A43,""high52"")"),1558.8)</f>
        <v>1558.8</v>
      </c>
      <c r="G43" s="45">
        <f>IFERROR(__xludf.DUMMYFUNCTION("to_date(index(sort(GOOGLEFINANCE(A43, ""high"", today()-52*7, today(), ""DAILY""),2,0),2,1))"),46168.64583333333)</f>
        <v>46168.64583</v>
      </c>
      <c r="H43" s="44">
        <f>IFERROR(__xludf.DUMMYFUNCTION("GOOGLEFINANCE(A43,""low52"")"),744.9)</f>
        <v>744.9</v>
      </c>
      <c r="I43" s="45">
        <f>IFERROR(__xludf.DUMMYFUNCTION("to_date(index(sort(GOOGLEFINANCE(A43, ""low"", today()-52*7, today(), ""DAILY""),2,1),1,1))"),45905.64583333333)</f>
        <v>45905.64583</v>
      </c>
      <c r="J43" s="46" t="str">
        <f t="shared" si="1"/>
        <v>Do Not Buy Today</v>
      </c>
    </row>
    <row r="44">
      <c r="A44" s="73" t="s">
        <v>273</v>
      </c>
      <c r="B44" s="76">
        <f>IFERROR(__xludf.DUMMYFUNCTION("GOOGLEFINANCE(A44,""price"")"),1238.0)</f>
        <v>1238</v>
      </c>
      <c r="C44" s="77">
        <f>IFERROR(__xludf.DUMMYFUNCTION("GOOGLEFINANCE(A44,""closeyest"")"),1222.9)</f>
        <v>1222.9</v>
      </c>
      <c r="D44" s="61">
        <f>IFERROR(__xludf.DUMMYFUNCTION("MIN(index(GOOGLEFINANCE(A44,""ALL"",TODAY()-180,TODAY()),0,5))*1.2"),1183.2)</f>
        <v>1183.2</v>
      </c>
      <c r="E44" s="62">
        <f>IFERROR(__xludf.DUMMYFUNCTION("AVERAGE(QUERY(SORT(GOOGLEFINANCE(A44,""price"",TODAY()-320,TODAY()),1,0),""select Col2 limit 100""))"),1169.718)</f>
        <v>1169.718</v>
      </c>
      <c r="F44" s="44">
        <f>IFERROR(__xludf.DUMMYFUNCTION("GOOGLEFINANCE(A44,""high52"")"),1306.2)</f>
        <v>1306.2</v>
      </c>
      <c r="G44" s="45">
        <f>IFERROR(__xludf.DUMMYFUNCTION("to_date(index(sort(GOOGLEFINANCE(A44, ""high"", today()-52*7, today(), ""DAILY""),2,0),2,1))"),46133.64583333333)</f>
        <v>46133.64583</v>
      </c>
      <c r="H44" s="44">
        <f>IFERROR(__xludf.DUMMYFUNCTION("GOOGLEFINANCE(A44,""low52"")"),882.65)</f>
        <v>882.65</v>
      </c>
      <c r="I44" s="45">
        <f>IFERROR(__xludf.DUMMYFUNCTION("to_date(index(sort(GOOGLEFINANCE(A44, ""low"", today()-52*7, today(), ""DAILY""),2,1),1,1))"),45827.64583333333)</f>
        <v>45827.64583</v>
      </c>
      <c r="J44" s="46" t="str">
        <f t="shared" si="1"/>
        <v>Do Not Buy Today</v>
      </c>
    </row>
    <row r="45">
      <c r="A45" s="73" t="s">
        <v>281</v>
      </c>
      <c r="B45" s="76">
        <f>IFERROR(__xludf.DUMMYFUNCTION("GOOGLEFINANCE(A45,""price"")"),168.76)</f>
        <v>168.76</v>
      </c>
      <c r="C45" s="77">
        <f>IFERROR(__xludf.DUMMYFUNCTION("GOOGLEFINANCE(A45,""closeyest"")"),167.63)</f>
        <v>167.63</v>
      </c>
      <c r="D45" s="61">
        <f>IFERROR(__xludf.DUMMYFUNCTION("MIN(index(GOOGLEFINANCE(A45,""ALL"",TODAY()-180,TODAY()),0,5))*1.2"),162.48)</f>
        <v>162.48</v>
      </c>
      <c r="E45" s="62">
        <f>IFERROR(__xludf.DUMMYFUNCTION("AVERAGE(QUERY(SORT(GOOGLEFINANCE(A45,""price"",TODAY()-320,TODAY()),1,0),""select Col2 limit 100""))"),160.08729999999986)</f>
        <v>160.0873</v>
      </c>
      <c r="F45" s="44">
        <f>IFERROR(__xludf.DUMMYFUNCTION("GOOGLEFINANCE(A45,""high52"")"),202.79)</f>
        <v>202.79</v>
      </c>
      <c r="G45" s="45">
        <f>IFERROR(__xludf.DUMMYFUNCTION("to_date(index(sort(GOOGLEFINANCE(A45, ""high"", today()-52*7, today(), ""DAILY""),2,0),2,1))"),45820.64583333333)</f>
        <v>45820.64583</v>
      </c>
      <c r="H45" s="44">
        <f>IFERROR(__xludf.DUMMYFUNCTION("GOOGLEFINANCE(A45,""low52"")"),134.36)</f>
        <v>134.36</v>
      </c>
      <c r="I45" s="45">
        <f>IFERROR(__xludf.DUMMYFUNCTION("to_date(index(sort(GOOGLEFINANCE(A45, ""low"", today()-52*7, today(), ""DAILY""),2,1),1,1))"),46104.64583333333)</f>
        <v>46104.64583</v>
      </c>
      <c r="J45" s="46" t="str">
        <f t="shared" si="1"/>
        <v>Do Not Buy Today</v>
      </c>
    </row>
    <row r="46">
      <c r="A46" s="73" t="s">
        <v>282</v>
      </c>
      <c r="B46" s="76">
        <f>IFERROR(__xludf.DUMMYFUNCTION("GOOGLEFINANCE(A46,""price"")"),597.55)</f>
        <v>597.55</v>
      </c>
      <c r="C46" s="77">
        <f>IFERROR(__xludf.DUMMYFUNCTION("GOOGLEFINANCE(A46,""closeyest"")"),576.0)</f>
        <v>576</v>
      </c>
      <c r="D46" s="61">
        <f>IFERROR(__xludf.DUMMYFUNCTION("MIN(index(GOOGLEFINANCE(A46,""ALL"",TODAY()-180,TODAY()),0,5))*1.2"),528.06)</f>
        <v>528.06</v>
      </c>
      <c r="E46" s="62">
        <f>IFERROR(__xludf.DUMMYFUNCTION("AVERAGE(QUERY(SORT(GOOGLEFINANCE(A46,""price"",TODAY()-320,TODAY()),1,0),""select Col2 limit 100""))"),505.0295)</f>
        <v>505.0295</v>
      </c>
      <c r="F46" s="44">
        <f>IFERROR(__xludf.DUMMYFUNCTION("GOOGLEFINANCE(A46,""high52"")"),598.7)</f>
        <v>598.7</v>
      </c>
      <c r="G46" s="45">
        <f>IFERROR(__xludf.DUMMYFUNCTION("to_date(index(sort(GOOGLEFINANCE(A46, ""high"", today()-52*7, today(), ""DAILY""),2,0),2,1))"),46140.64583333333)</f>
        <v>46140.64583</v>
      </c>
      <c r="H46" s="44">
        <f>IFERROR(__xludf.DUMMYFUNCTION("GOOGLEFINANCE(A46,""low52"")"),427.75)</f>
        <v>427.75</v>
      </c>
      <c r="I46" s="45">
        <f>IFERROR(__xludf.DUMMYFUNCTION("to_date(index(sort(GOOGLEFINANCE(A46, ""low"", today()-52*7, today(), ""DAILY""),2,1),1,1))"),46049.64583333333)</f>
        <v>46049.64583</v>
      </c>
      <c r="J46" s="46" t="str">
        <f t="shared" si="1"/>
        <v>Do Not Buy Today</v>
      </c>
    </row>
    <row r="47">
      <c r="A47" s="73" t="s">
        <v>285</v>
      </c>
      <c r="B47" s="76">
        <f>IFERROR(__xludf.DUMMYFUNCTION("GOOGLEFINANCE(A47,""price"")"),6787.0)</f>
        <v>6787</v>
      </c>
      <c r="C47" s="77">
        <f>IFERROR(__xludf.DUMMYFUNCTION("GOOGLEFINANCE(A47,""closeyest"")"),6753.0)</f>
        <v>6753</v>
      </c>
      <c r="D47" s="61">
        <f>IFERROR(__xludf.DUMMYFUNCTION("MIN(index(GOOGLEFINANCE(A47,""ALL"",TODAY()-180,TODAY()),0,5))*1.2"),6985.2)</f>
        <v>6985.2</v>
      </c>
      <c r="E47" s="62">
        <f>IFERROR(__xludf.DUMMYFUNCTION("AVERAGE(QUERY(SORT(GOOGLEFINANCE(A47,""price"",TODAY()-320,TODAY()),1,0),""select Col2 limit 100""))"),6316.62)</f>
        <v>6316.62</v>
      </c>
      <c r="F47" s="44">
        <f>IFERROR(__xludf.DUMMYFUNCTION("GOOGLEFINANCE(A47,""high52"")"),7071.5)</f>
        <v>7071.5</v>
      </c>
      <c r="G47" s="45">
        <f>IFERROR(__xludf.DUMMYFUNCTION("to_date(index(sort(GOOGLEFINANCE(A47, ""high"", today()-52*7, today(), ""DAILY""),2,0),2,1))"),45846.64583333333)</f>
        <v>45846.64583</v>
      </c>
      <c r="H47" s="44">
        <f>IFERROR(__xludf.DUMMYFUNCTION("GOOGLEFINANCE(A47,""low52"")"),5636.5)</f>
        <v>5636.5</v>
      </c>
      <c r="I47" s="45">
        <f>IFERROR(__xludf.DUMMYFUNCTION("to_date(index(sort(GOOGLEFINANCE(A47, ""low"", today()-52*7, today(), ""DAILY""),2,1),1,1))"),45929.64583333333)</f>
        <v>45929.64583</v>
      </c>
      <c r="J47" s="46" t="str">
        <f t="shared" si="1"/>
        <v>Do Not Buy Today</v>
      </c>
    </row>
    <row r="48">
      <c r="A48" s="73" t="s">
        <v>286</v>
      </c>
      <c r="B48" s="76">
        <f>IFERROR(__xludf.DUMMYFUNCTION("GOOGLEFINANCE(A48,""price"")"),3445.3)</f>
        <v>3445.3</v>
      </c>
      <c r="C48" s="77">
        <f>IFERROR(__xludf.DUMMYFUNCTION("GOOGLEFINANCE(A48,""closeyest"")"),3454.9)</f>
        <v>3454.9</v>
      </c>
      <c r="D48" s="61">
        <f>IFERROR(__xludf.DUMMYFUNCTION("MIN(index(GOOGLEFINANCE(A48,""ALL"",TODAY()-180,TODAY()),0,5))*1.2"),3940.08)</f>
        <v>3940.08</v>
      </c>
      <c r="E48" s="62">
        <f>IFERROR(__xludf.DUMMYFUNCTION("AVERAGE(QUERY(SORT(GOOGLEFINANCE(A48,""price"",TODAY()-320,TODAY()),1,0),""select Col2 limit 100""))"),3643.194000000002)</f>
        <v>3643.194</v>
      </c>
      <c r="F48" s="44">
        <f>IFERROR(__xludf.DUMMYFUNCTION("GOOGLEFINANCE(A48,""high52"")"),3970.0)</f>
        <v>3970</v>
      </c>
      <c r="G48" s="45">
        <f>IFERROR(__xludf.DUMMYFUNCTION("to_date(index(sort(GOOGLEFINANCE(A48, ""high"", today()-52*7, today(), ""DAILY""),2,0),2,1))"),46079.64583333333)</f>
        <v>46079.64583</v>
      </c>
      <c r="H48" s="44">
        <f>IFERROR(__xludf.DUMMYFUNCTION("GOOGLEFINANCE(A48,""low52"")"),2655.1)</f>
        <v>2655.1</v>
      </c>
      <c r="I48" s="45">
        <f>IFERROR(__xludf.DUMMYFUNCTION("to_date(index(sort(GOOGLEFINANCE(A48, ""low"", today()-52*7, today(), ""DAILY""),2,1),1,1))"),45821.64583333333)</f>
        <v>45821.64583</v>
      </c>
      <c r="J48" s="46" t="str">
        <f t="shared" si="1"/>
        <v>Do Not Buy Today</v>
      </c>
    </row>
    <row r="49">
      <c r="A49" s="73" t="s">
        <v>292</v>
      </c>
      <c r="B49" s="76">
        <f>IFERROR(__xludf.DUMMYFUNCTION("GOOGLEFINANCE(A49,""price"")"),3792.0)</f>
        <v>3792</v>
      </c>
      <c r="C49" s="77">
        <f>IFERROR(__xludf.DUMMYFUNCTION("GOOGLEFINANCE(A49,""closeyest"")"),3677.2)</f>
        <v>3677.2</v>
      </c>
      <c r="D49" s="61">
        <f>IFERROR(__xludf.DUMMYFUNCTION("MIN(index(GOOGLEFINANCE(A49,""ALL"",TODAY()-180,TODAY()),0,5))*1.2"),3418.3199999999997)</f>
        <v>3418.32</v>
      </c>
      <c r="E49" s="62">
        <f>IFERROR(__xludf.DUMMYFUNCTION("AVERAGE(QUERY(SORT(GOOGLEFINANCE(A49,""price"",TODAY()-320,TODAY()),1,0),""select Col2 limit 100""))"),3300.292999999999)</f>
        <v>3300.293</v>
      </c>
      <c r="F49" s="44">
        <f>IFERROR(__xludf.DUMMYFUNCTION("GOOGLEFINANCE(A49,""high52"")"),3930.0)</f>
        <v>3930</v>
      </c>
      <c r="G49" s="45">
        <f>IFERROR(__xludf.DUMMYFUNCTION("to_date(index(sort(GOOGLEFINANCE(A49, ""high"", today()-52*7, today(), ""DAILY""),2,0),2,1))"),46146.64583333333)</f>
        <v>46146.64583</v>
      </c>
      <c r="H49" s="44">
        <f>IFERROR(__xludf.DUMMYFUNCTION("GOOGLEFINANCE(A49,""low52"")"),2826.0)</f>
        <v>2826</v>
      </c>
      <c r="I49" s="45">
        <f>IFERROR(__xludf.DUMMYFUNCTION("to_date(index(sort(GOOGLEFINANCE(A49, ""low"", today()-52*7, today(), ""DAILY""),2,1),1,1))"),46043.64583333333)</f>
        <v>46043.64583</v>
      </c>
      <c r="J49" s="46" t="str">
        <f t="shared" si="1"/>
        <v>Do Not Buy Today</v>
      </c>
    </row>
    <row r="50">
      <c r="A50" s="73" t="s">
        <v>294</v>
      </c>
      <c r="B50" s="76">
        <f>IFERROR(__xludf.DUMMYFUNCTION("GOOGLEFINANCE(A50,""price"")"),4466.2)</f>
        <v>4466.2</v>
      </c>
      <c r="C50" s="77">
        <f>IFERROR(__xludf.DUMMYFUNCTION("GOOGLEFINANCE(A50,""closeyest"")"),4452.1)</f>
        <v>4452.1</v>
      </c>
      <c r="D50" s="61">
        <f>IFERROR(__xludf.DUMMYFUNCTION("MIN(index(GOOGLEFINANCE(A50,""ALL"",TODAY()-180,TODAY()),0,5))*1.2"),4464.719999999999)</f>
        <v>4464.72</v>
      </c>
      <c r="E50" s="62">
        <f>IFERROR(__xludf.DUMMYFUNCTION("AVERAGE(QUERY(SORT(GOOGLEFINANCE(A50,""price"",TODAY()-320,TODAY()),1,0),""select Col2 limit 100""))"),4175.216)</f>
        <v>4175.216</v>
      </c>
      <c r="F50" s="44">
        <f>IFERROR(__xludf.DUMMYFUNCTION("GOOGLEFINANCE(A50,""high52"")"),4712.9)</f>
        <v>4712.9</v>
      </c>
      <c r="G50" s="45">
        <f>IFERROR(__xludf.DUMMYFUNCTION("to_date(index(sort(GOOGLEFINANCE(A50, ""high"", today()-52*7, today(), ""DAILY""),2,0),2,1))"),46167.64583333333)</f>
        <v>46167.64583</v>
      </c>
      <c r="H50" s="44">
        <f>IFERROR(__xludf.DUMMYFUNCTION("GOOGLEFINANCE(A50,""low52"")"),3102.0)</f>
        <v>3102</v>
      </c>
      <c r="I50" s="45">
        <f>IFERROR(__xludf.DUMMYFUNCTION("to_date(index(sort(GOOGLEFINANCE(A50, ""low"", today()-52*7, today(), ""DAILY""),2,1),1,1))"),45810.64583333333)</f>
        <v>45810.64583</v>
      </c>
      <c r="J50" s="46" t="str">
        <f t="shared" si="1"/>
        <v>Do Not Buy Today</v>
      </c>
    </row>
    <row r="51">
      <c r="A51" s="73" t="s">
        <v>296</v>
      </c>
      <c r="B51" s="76">
        <f>IFERROR(__xludf.DUMMYFUNCTION("GOOGLEFINANCE(A51,""price"")"),4442.1)</f>
        <v>4442.1</v>
      </c>
      <c r="C51" s="77">
        <f>IFERROR(__xludf.DUMMYFUNCTION("GOOGLEFINANCE(A51,""closeyest"")"),4427.7)</f>
        <v>4427.7</v>
      </c>
      <c r="D51" s="61">
        <f>IFERROR(__xludf.DUMMYFUNCTION("MIN(index(GOOGLEFINANCE(A51,""ALL"",TODAY()-180,TODAY()),0,5))*1.2"),4184.639999999999)</f>
        <v>4184.64</v>
      </c>
      <c r="E51" s="62">
        <f>IFERROR(__xludf.DUMMYFUNCTION("AVERAGE(QUERY(SORT(GOOGLEFINANCE(A51,""price"",TODAY()-320,TODAY()),1,0),""select Col2 limit 100""))"),4226.416000000001)</f>
        <v>4226.416</v>
      </c>
      <c r="F51" s="44">
        <f>IFERROR(__xludf.DUMMYFUNCTION("GOOGLEFINANCE(A51,""high52"")"),5147.0)</f>
        <v>5147</v>
      </c>
      <c r="G51" s="45">
        <f>IFERROR(__xludf.DUMMYFUNCTION("to_date(index(sort(GOOGLEFINANCE(A51, ""high"", today()-52*7, today(), ""DAILY""),2,0),2,1))"),45818.64583333333)</f>
        <v>45818.64583</v>
      </c>
      <c r="H51" s="44">
        <f>IFERROR(__xludf.DUMMYFUNCTION("GOOGLEFINANCE(A51,""low52"")"),3479.1)</f>
        <v>3479.1</v>
      </c>
      <c r="I51" s="45">
        <f>IFERROR(__xludf.DUMMYFUNCTION("to_date(index(sort(GOOGLEFINANCE(A51, ""low"", today()-52*7, today(), ""DAILY""),2,1),1,1))"),46111.64583333333)</f>
        <v>46111.64583</v>
      </c>
      <c r="J51" s="46" t="str">
        <f t="shared" si="1"/>
        <v>Do Not Buy Today</v>
      </c>
    </row>
  </sheetData>
  <conditionalFormatting sqref="J1:J51">
    <cfRule type="cellIs" dxfId="0" priority="1" operator="equal">
      <formula>"Buy Today"</formula>
    </cfRule>
  </conditionalFormatting>
  <conditionalFormatting sqref="J1:J1001">
    <cfRule type="cellIs" dxfId="1" priority="2" operator="equal">
      <formula>"Buy Today"</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16.0"/>
    <col customWidth="1" min="10" max="10" width="15.63"/>
  </cols>
  <sheetData>
    <row r="1">
      <c r="A1" s="71" t="s">
        <v>101</v>
      </c>
      <c r="B1" s="71" t="s">
        <v>21</v>
      </c>
      <c r="C1" s="71" t="s">
        <v>22</v>
      </c>
      <c r="D1" s="57" t="s">
        <v>23</v>
      </c>
      <c r="E1" s="71" t="s">
        <v>24</v>
      </c>
      <c r="F1" s="35" t="s">
        <v>25</v>
      </c>
      <c r="G1" s="36" t="s">
        <v>26</v>
      </c>
      <c r="H1" s="35" t="s">
        <v>27</v>
      </c>
      <c r="I1" s="35" t="s">
        <v>28</v>
      </c>
      <c r="J1" s="34" t="s">
        <v>29</v>
      </c>
      <c r="K1" s="80"/>
      <c r="L1" s="80"/>
      <c r="M1" s="80"/>
      <c r="N1" s="80"/>
      <c r="O1" s="80"/>
      <c r="P1" s="80"/>
      <c r="Q1" s="80"/>
      <c r="R1" s="80"/>
      <c r="S1" s="80"/>
      <c r="T1" s="80"/>
      <c r="U1" s="80"/>
      <c r="V1" s="80"/>
      <c r="W1" s="80"/>
      <c r="X1" s="80"/>
      <c r="Y1" s="80"/>
      <c r="Z1" s="80"/>
      <c r="AA1" s="80"/>
      <c r="AB1" s="80"/>
    </row>
    <row r="2">
      <c r="A2" s="73" t="s">
        <v>102</v>
      </c>
      <c r="B2" s="76">
        <f>IFERROR(__xludf.DUMMYFUNCTION("GOOGLEFINANCE(A2,""price"")"),4367.4)</f>
        <v>4367.4</v>
      </c>
      <c r="C2" s="77">
        <f>IFERROR(__xludf.DUMMYFUNCTION("GOOGLEFINANCE(A2,""closeyest"")"),4403.3)</f>
        <v>4403.3</v>
      </c>
      <c r="D2" s="61">
        <f>IFERROR(__xludf.DUMMYFUNCTION("MIN(index(GOOGLEFINANCE(A2,""ALL"",TODAY()-180,TODAY()),0,5))*1.2"),3097.2)</f>
        <v>3097.2</v>
      </c>
      <c r="E2" s="62">
        <f>IFERROR(__xludf.DUMMYFUNCTION("AVERAGE(QUERY(SORT(GOOGLEFINANCE(A2,""price"",TODAY()-320,TODAY()),1,0),""select Col2 limit 100""))"),3111.713000000001)</f>
        <v>3111.713</v>
      </c>
      <c r="F2" s="44">
        <f>IFERROR(__xludf.DUMMYFUNCTION("GOOGLEFINANCE(A2,""high52"")"),4446.8)</f>
        <v>4446.8</v>
      </c>
      <c r="G2" s="45">
        <f>IFERROR(__xludf.DUMMYFUNCTION("to_date(index(sort(GOOGLEFINANCE(A2, ""high"", today()-52*7, today(), ""DAILY""),2,0),2,1))"),46168.64583333333)</f>
        <v>46168.64583</v>
      </c>
      <c r="H2" s="44">
        <f>IFERROR(__xludf.DUMMYFUNCTION("GOOGLEFINANCE(A2,""low52"")"),2021.5)</f>
        <v>2021.5</v>
      </c>
      <c r="I2" s="45">
        <f>IFERROR(__xludf.DUMMYFUNCTION("to_date(index(sort(GOOGLEFINANCE(A2, ""low"", today()-52*7, today(), ""DAILY""),2,1),1,1))"),45926.64583333333)</f>
        <v>45926.64583</v>
      </c>
      <c r="J2" s="46" t="str">
        <f t="shared" ref="J2:J51" si="1">if(AND(B2&gt;E2,B2&gt;D2,C2&lt;E2, I2&gt;G2),"Buy Today","Do Not Buy Today")</f>
        <v>Do Not Buy Today</v>
      </c>
    </row>
    <row r="3">
      <c r="A3" s="73" t="s">
        <v>112</v>
      </c>
      <c r="B3" s="76">
        <f>IFERROR(__xludf.DUMMYFUNCTION("GOOGLEFINANCE(A3,""price"")"),419.0)</f>
        <v>419</v>
      </c>
      <c r="C3" s="77">
        <f>IFERROR(__xludf.DUMMYFUNCTION("GOOGLEFINANCE(A3,""closeyest"")"),417.75)</f>
        <v>417.75</v>
      </c>
      <c r="D3" s="61">
        <f>IFERROR(__xludf.DUMMYFUNCTION("MIN(index(GOOGLEFINANCE(A3,""ALL"",TODAY()-180,TODAY()),0,5))*1.2"),291.0)</f>
        <v>291</v>
      </c>
      <c r="E3" s="62">
        <f>IFERROR(__xludf.DUMMYFUNCTION("AVERAGE(QUERY(SORT(GOOGLEFINANCE(A3,""price"",TODAY()-320,TODAY()),1,0),""select Col2 limit 100""))"),295.9180000000001)</f>
        <v>295.918</v>
      </c>
      <c r="F3" s="44">
        <f>IFERROR(__xludf.DUMMYFUNCTION("GOOGLEFINANCE(A3,""high52"")"),423.2)</f>
        <v>423.2</v>
      </c>
      <c r="G3" s="45">
        <f>IFERROR(__xludf.DUMMYFUNCTION("to_date(index(sort(GOOGLEFINANCE(A3, ""high"", today()-52*7, today(), ""DAILY""),2,0),2,1))"),46167.64583333333)</f>
        <v>46167.64583</v>
      </c>
      <c r="H3" s="44">
        <f>IFERROR(__xludf.DUMMYFUNCTION("GOOGLEFINANCE(A3,""low52"")"),205.12)</f>
        <v>205.12</v>
      </c>
      <c r="I3" s="45">
        <f>IFERROR(__xludf.DUMMYFUNCTION("to_date(index(sort(GOOGLEFINANCE(A3, ""low"", today()-52*7, today(), ""DAILY""),2,1),1,1))"),45898.64583333333)</f>
        <v>45898.64583</v>
      </c>
      <c r="J3" s="46" t="str">
        <f t="shared" si="1"/>
        <v>Do Not Buy Today</v>
      </c>
    </row>
    <row r="4">
      <c r="A4" s="73" t="s">
        <v>113</v>
      </c>
      <c r="B4" s="76">
        <f>IFERROR(__xludf.DUMMYFUNCTION("GOOGLEFINANCE(A4,""price"")"),983.9)</f>
        <v>983.9</v>
      </c>
      <c r="C4" s="77">
        <f>IFERROR(__xludf.DUMMYFUNCTION("GOOGLEFINANCE(A4,""closeyest"")"),993.95)</f>
        <v>993.95</v>
      </c>
      <c r="D4" s="61">
        <f>IFERROR(__xludf.DUMMYFUNCTION("MIN(index(GOOGLEFINANCE(A4,""ALL"",TODAY()-180,TODAY()),0,5))*1.2"),1117.92)</f>
        <v>1117.92</v>
      </c>
      <c r="E4" s="62">
        <f>IFERROR(__xludf.DUMMYFUNCTION("AVERAGE(QUERY(SORT(GOOGLEFINANCE(A4,""price"",TODAY()-320,TODAY()),1,0),""select Col2 limit 100""))"),1018.4300000000003)</f>
        <v>1018.43</v>
      </c>
      <c r="F4" s="44">
        <f>IFERROR(__xludf.DUMMYFUNCTION("GOOGLEFINANCE(A4,""high52"")"),1314.3)</f>
        <v>1314.3</v>
      </c>
      <c r="G4" s="45">
        <f>IFERROR(__xludf.DUMMYFUNCTION("to_date(index(sort(GOOGLEFINANCE(A4, ""high"", today()-52*7, today(), ""DAILY""),2,0),2,1))"),45842.64583333333)</f>
        <v>45842.64583</v>
      </c>
      <c r="H4" s="44">
        <f>IFERROR(__xludf.DUMMYFUNCTION("GOOGLEFINANCE(A4,""low52"")"),903.0)</f>
        <v>903</v>
      </c>
      <c r="I4" s="45">
        <f>IFERROR(__xludf.DUMMYFUNCTION("to_date(index(sort(GOOGLEFINANCE(A4, ""low"", today()-52*7, today(), ""DAILY""),2,1),1,1))"),46119.64583333333)</f>
        <v>46119.64583</v>
      </c>
      <c r="J4" s="46" t="str">
        <f t="shared" si="1"/>
        <v>Do Not Buy Today</v>
      </c>
    </row>
    <row r="5">
      <c r="A5" s="73" t="s">
        <v>120</v>
      </c>
      <c r="B5" s="76">
        <f>IFERROR(__xludf.DUMMYFUNCTION("GOOGLEFINANCE(A5,""price"")"),3578.6)</f>
        <v>3578.6</v>
      </c>
      <c r="C5" s="77">
        <f>IFERROR(__xludf.DUMMYFUNCTION("GOOGLEFINANCE(A5,""closeyest"")"),3570.9)</f>
        <v>3570.9</v>
      </c>
      <c r="D5" s="61">
        <f>IFERROR(__xludf.DUMMYFUNCTION("MIN(index(GOOGLEFINANCE(A5,""ALL"",TODAY()-180,TODAY()),0,5))*1.2"),3865.3199999999997)</f>
        <v>3865.32</v>
      </c>
      <c r="E5" s="62">
        <f>IFERROR(__xludf.DUMMYFUNCTION("AVERAGE(QUERY(SORT(GOOGLEFINANCE(A5,""price"",TODAY()-320,TODAY()),1,0),""select Col2 limit 100""))"),3685.096000000001)</f>
        <v>3685.096</v>
      </c>
      <c r="F5" s="44">
        <f>IFERROR(__xludf.DUMMYFUNCTION("GOOGLEFINANCE(A5,""high52"")"),4739.0)</f>
        <v>4739</v>
      </c>
      <c r="G5" s="45">
        <f>IFERROR(__xludf.DUMMYFUNCTION("to_date(index(sort(GOOGLEFINANCE(A5, ""high"", today()-52*7, today(), ""DAILY""),2,0),2,1))"),45825.64583333333)</f>
        <v>45825.64583</v>
      </c>
      <c r="H5" s="44">
        <f>IFERROR(__xludf.DUMMYFUNCTION("GOOGLEFINANCE(A5,""low52"")"),3182.0)</f>
        <v>3182</v>
      </c>
      <c r="I5" s="45">
        <f>IFERROR(__xludf.DUMMYFUNCTION("to_date(index(sort(GOOGLEFINANCE(A5, ""low"", today()-52*7, today(), ""DAILY""),2,1),1,1))"),46002.64583333333)</f>
        <v>46002.64583</v>
      </c>
      <c r="J5" s="46" t="str">
        <f t="shared" si="1"/>
        <v>Do Not Buy Today</v>
      </c>
    </row>
    <row r="6">
      <c r="A6" s="73" t="s">
        <v>122</v>
      </c>
      <c r="B6" s="76">
        <f>IFERROR(__xludf.DUMMYFUNCTION("GOOGLEFINANCE(A6,""price"")"),486.3)</f>
        <v>486.3</v>
      </c>
      <c r="C6" s="77">
        <f>IFERROR(__xludf.DUMMYFUNCTION("GOOGLEFINANCE(A6,""closeyest"")"),492.1)</f>
        <v>492.1</v>
      </c>
      <c r="D6" s="61">
        <f>IFERROR(__xludf.DUMMYFUNCTION("MIN(index(GOOGLEFINANCE(A6,""ALL"",TODAY()-180,TODAY()),0,5))*1.2"),477.78)</f>
        <v>477.78</v>
      </c>
      <c r="E6" s="62">
        <f>IFERROR(__xludf.DUMMYFUNCTION("AVERAGE(QUERY(SORT(GOOGLEFINANCE(A6,""price"",TODAY()-320,TODAY()),1,0),""select Col2 limit 100""))"),469.03400000000016)</f>
        <v>469.034</v>
      </c>
      <c r="F6" s="44">
        <f>IFERROR(__xludf.DUMMYFUNCTION("GOOGLEFINANCE(A6,""high52"")"),531.0)</f>
        <v>531</v>
      </c>
      <c r="G6" s="45">
        <f>IFERROR(__xludf.DUMMYFUNCTION("to_date(index(sort(GOOGLEFINANCE(A6, ""high"", today()-52*7, today(), ""DAILY""),2,0),2,1))"),46156.64583333333)</f>
        <v>46156.64583</v>
      </c>
      <c r="H6" s="44">
        <f>IFERROR(__xludf.DUMMYFUNCTION("GOOGLEFINANCE(A6,""low52"")"),384.6)</f>
        <v>384.6</v>
      </c>
      <c r="I6" s="45">
        <f>IFERROR(__xludf.DUMMYFUNCTION("to_date(index(sort(GOOGLEFINANCE(A6, ""low"", today()-52*7, today(), ""DAILY""),2,1),1,1))"),45898.64583333333)</f>
        <v>45898.64583</v>
      </c>
      <c r="J6" s="46" t="str">
        <f t="shared" si="1"/>
        <v>Do Not Buy Today</v>
      </c>
    </row>
    <row r="7">
      <c r="A7" s="73" t="s">
        <v>123</v>
      </c>
      <c r="B7" s="76">
        <f>IFERROR(__xludf.DUMMYFUNCTION("GOOGLEFINANCE(A7,""price"")"),3160.0)</f>
        <v>3160</v>
      </c>
      <c r="C7" s="77">
        <f>IFERROR(__xludf.DUMMYFUNCTION("GOOGLEFINANCE(A7,""closeyest"")"),3039.1)</f>
        <v>3039.1</v>
      </c>
      <c r="D7" s="61">
        <f>IFERROR(__xludf.DUMMYFUNCTION("MIN(index(GOOGLEFINANCE(A7,""ALL"",TODAY()-180,TODAY()),0,5))*1.2"),2627.1600000000003)</f>
        <v>2627.16</v>
      </c>
      <c r="E7" s="62">
        <f>IFERROR(__xludf.DUMMYFUNCTION("AVERAGE(QUERY(SORT(GOOGLEFINANCE(A7,""price"",TODAY()-320,TODAY()),1,0),""select Col2 limit 100""))"),2639.132)</f>
        <v>2639.132</v>
      </c>
      <c r="F7" s="44">
        <f>IFERROR(__xludf.DUMMYFUNCTION("GOOGLEFINANCE(A7,""high52"")"),3419.9)</f>
        <v>3419.9</v>
      </c>
      <c r="G7" s="45">
        <f>IFERROR(__xludf.DUMMYFUNCTION("to_date(index(sort(GOOGLEFINANCE(A7, ""high"", today()-52*7, today(), ""DAILY""),2,0),2,1))"),45916.64583333333)</f>
        <v>45916.64583</v>
      </c>
      <c r="H7" s="44">
        <f>IFERROR(__xludf.DUMMYFUNCTION("GOOGLEFINANCE(A7,""low52"")"),2164.9)</f>
        <v>2164.9</v>
      </c>
      <c r="I7" s="45">
        <f>IFERROR(__xludf.DUMMYFUNCTION("to_date(index(sort(GOOGLEFINANCE(A7, ""low"", today()-52*7, today(), ""DAILY""),2,1),1,1))"),46049.64583333333)</f>
        <v>46049.64583</v>
      </c>
      <c r="J7" s="46" t="str">
        <f t="shared" si="1"/>
        <v>Do Not Buy Today</v>
      </c>
    </row>
    <row r="8">
      <c r="A8" s="73" t="s">
        <v>127</v>
      </c>
      <c r="B8" s="76">
        <f>IFERROR(__xludf.DUMMYFUNCTION("GOOGLEFINANCE(A8,""price"")"),1139.5)</f>
        <v>1139.5</v>
      </c>
      <c r="C8" s="77">
        <f>IFERROR(__xludf.DUMMYFUNCTION("GOOGLEFINANCE(A8,""closeyest"")"),1131.6)</f>
        <v>1131.6</v>
      </c>
      <c r="D8" s="61">
        <f>IFERROR(__xludf.DUMMYFUNCTION("MIN(index(GOOGLEFINANCE(A8,""ALL"",TODAY()-180,TODAY()),0,5))*1.2"),1150.8)</f>
        <v>1150.8</v>
      </c>
      <c r="E8" s="62">
        <f>IFERROR(__xludf.DUMMYFUNCTION("AVERAGE(QUERY(SORT(GOOGLEFINANCE(A8,""price"",TODAY()-320,TODAY()),1,0),""select Col2 limit 100""))"),1148.1615000000004)</f>
        <v>1148.1615</v>
      </c>
      <c r="F8" s="44">
        <f>IFERROR(__xludf.DUMMYFUNCTION("GOOGLEFINANCE(A8,""high52"")"),1381.8)</f>
        <v>1381.8</v>
      </c>
      <c r="G8" s="45">
        <f>IFERROR(__xludf.DUMMYFUNCTION("to_date(index(sort(GOOGLEFINANCE(A8, ""high"", today()-52*7, today(), ""DAILY""),2,0),2,1))"),45993.64583333333)</f>
        <v>45993.64583</v>
      </c>
      <c r="H8" s="44">
        <f>IFERROR(__xludf.DUMMYFUNCTION("GOOGLEFINANCE(A8,""low52"")"),849.2)</f>
        <v>849.2</v>
      </c>
      <c r="I8" s="45">
        <f>IFERROR(__xludf.DUMMYFUNCTION("to_date(index(sort(GOOGLEFINANCE(A8, ""low"", today()-52*7, today(), ""DAILY""),2,1),1,1))"),45805.64583333333)</f>
        <v>45805.64583</v>
      </c>
      <c r="J8" s="46" t="str">
        <f t="shared" si="1"/>
        <v>Do Not Buy Today</v>
      </c>
    </row>
    <row r="9">
      <c r="A9" s="73" t="s">
        <v>130</v>
      </c>
      <c r="B9" s="76">
        <f>IFERROR(__xludf.DUMMYFUNCTION("GOOGLEFINANCE(A9,""price"")"),92.4)</f>
        <v>92.4</v>
      </c>
      <c r="C9" s="77">
        <f>IFERROR(__xludf.DUMMYFUNCTION("GOOGLEFINANCE(A9,""closeyest"")"),90.67)</f>
        <v>90.67</v>
      </c>
      <c r="D9" s="61">
        <f>IFERROR(__xludf.DUMMYFUNCTION("MIN(index(GOOGLEFINANCE(A9,""ALL"",TODAY()-180,TODAY()),0,5))*1.2"),88.704)</f>
        <v>88.704</v>
      </c>
      <c r="E9" s="62">
        <f>IFERROR(__xludf.DUMMYFUNCTION("AVERAGE(QUERY(SORT(GOOGLEFINANCE(A9,""price"",TODAY()-320,TODAY()),1,0),""select Col2 limit 100""))"),83.4449)</f>
        <v>83.4449</v>
      </c>
      <c r="F9" s="44">
        <f>IFERROR(__xludf.DUMMYFUNCTION("GOOGLEFINANCE(A9,""high52"")"),94.25)</f>
        <v>94.25</v>
      </c>
      <c r="G9" s="45">
        <f>IFERROR(__xludf.DUMMYFUNCTION("to_date(index(sort(GOOGLEFINANCE(A9, ""high"", today()-52*7, today(), ""DAILY""),2,0),2,1))"),46157.64583333333)</f>
        <v>46157.64583</v>
      </c>
      <c r="H9" s="44">
        <f>IFERROR(__xludf.DUMMYFUNCTION("GOOGLEFINANCE(A9,""low52"")"),66.8)</f>
        <v>66.8</v>
      </c>
      <c r="I9" s="45">
        <f>IFERROR(__xludf.DUMMYFUNCTION("to_date(index(sort(GOOGLEFINANCE(A9, ""low"", today()-52*7, today(), ""DAILY""),2,1),1,1))"),45827.64583333333)</f>
        <v>45827.64583</v>
      </c>
      <c r="J9" s="46" t="str">
        <f t="shared" si="1"/>
        <v>Do Not Buy Today</v>
      </c>
    </row>
    <row r="10">
      <c r="A10" s="73" t="s">
        <v>135</v>
      </c>
      <c r="B10" s="76">
        <f>IFERROR(__xludf.DUMMYFUNCTION("GOOGLEFINANCE(A10,""price"")"),394.4)</f>
        <v>394.4</v>
      </c>
      <c r="C10" s="77">
        <f>IFERROR(__xludf.DUMMYFUNCTION("GOOGLEFINANCE(A10,""closeyest"")"),398.0)</f>
        <v>398</v>
      </c>
      <c r="D10" s="61">
        <f>IFERROR(__xludf.DUMMYFUNCTION("MIN(index(GOOGLEFINANCE(A10,""ALL"",TODAY()-180,TODAY()),0,5))*1.2"),382.97999999999996)</f>
        <v>382.98</v>
      </c>
      <c r="E10" s="62">
        <f>IFERROR(__xludf.DUMMYFUNCTION("AVERAGE(QUERY(SORT(GOOGLEFINANCE(A10,""price"",TODAY()-320,TODAY()),1,0),""select Col2 limit 100""))"),407.8474999999998)</f>
        <v>407.8475</v>
      </c>
      <c r="F10" s="44">
        <f>IFERROR(__xludf.DUMMYFUNCTION("GOOGLEFINANCE(A10,""high52"")"),508.45)</f>
        <v>508.45</v>
      </c>
      <c r="G10" s="45">
        <f>IFERROR(__xludf.DUMMYFUNCTION("to_date(index(sort(GOOGLEFINANCE(A10, ""high"", today()-52*7, today(), ""DAILY""),2,0),2,1))"),46027.64583333333)</f>
        <v>46027.64583</v>
      </c>
      <c r="H10" s="44">
        <f>IFERROR(__xludf.DUMMYFUNCTION("GOOGLEFINANCE(A10,""low52"")"),316.2)</f>
        <v>316.2</v>
      </c>
      <c r="I10" s="45">
        <f>IFERROR(__xludf.DUMMYFUNCTION("to_date(index(sort(GOOGLEFINANCE(A10, ""low"", today()-52*7, today(), ""DAILY""),2,1),1,1))"),46085.64583333333)</f>
        <v>46085.64583</v>
      </c>
      <c r="J10" s="46" t="str">
        <f t="shared" si="1"/>
        <v>Do Not Buy Today</v>
      </c>
    </row>
    <row r="11">
      <c r="A11" s="73" t="s">
        <v>141</v>
      </c>
      <c r="B11" s="76">
        <f>IFERROR(__xludf.DUMMYFUNCTION("GOOGLEFINANCE(A11,""price"")"),5101.3)</f>
        <v>5101.3</v>
      </c>
      <c r="C11" s="77">
        <f>IFERROR(__xludf.DUMMYFUNCTION("GOOGLEFINANCE(A11,""closeyest"")"),5105.8)</f>
        <v>5105.8</v>
      </c>
      <c r="D11" s="61">
        <f>IFERROR(__xludf.DUMMYFUNCTION("MIN(index(GOOGLEFINANCE(A11,""ALL"",TODAY()-180,TODAY()),0,5))*1.2"),5435.28)</f>
        <v>5435.28</v>
      </c>
      <c r="E11" s="62">
        <f>IFERROR(__xludf.DUMMYFUNCTION("AVERAGE(QUERY(SORT(GOOGLEFINANCE(A11,""price"",TODAY()-320,TODAY()),1,0),""select Col2 limit 100""))"),5382.857)</f>
        <v>5382.857</v>
      </c>
      <c r="F11" s="44">
        <f>IFERROR(__xludf.DUMMYFUNCTION("GOOGLEFINANCE(A11,""high52"")"),6599.0)</f>
        <v>6599</v>
      </c>
      <c r="G11" s="45">
        <f>IFERROR(__xludf.DUMMYFUNCTION("to_date(index(sort(GOOGLEFINANCE(A11, ""high"", today()-52*7, today(), ""DAILY""),2,0),2,1))"),46014.64583333333)</f>
        <v>46014.64583</v>
      </c>
      <c r="H11" s="44">
        <f>IFERROR(__xludf.DUMMYFUNCTION("GOOGLEFINANCE(A11,""low52"")"),4449.1)</f>
        <v>4449.1</v>
      </c>
      <c r="I11" s="45">
        <f>IFERROR(__xludf.DUMMYFUNCTION("to_date(index(sort(GOOGLEFINANCE(A11, ""low"", today()-52*7, today(), ""DAILY""),2,1),1,1))"),46083.64583333333)</f>
        <v>46083.64583</v>
      </c>
      <c r="J11" s="46" t="str">
        <f t="shared" si="1"/>
        <v>Do Not Buy Today</v>
      </c>
    </row>
    <row r="12">
      <c r="A12" s="73" t="s">
        <v>144</v>
      </c>
      <c r="B12" s="76">
        <f>IFERROR(__xludf.DUMMYFUNCTION("GOOGLEFINANCE(A12,""price"")"),1455.5)</f>
        <v>1455.5</v>
      </c>
      <c r="C12" s="77">
        <f>IFERROR(__xludf.DUMMYFUNCTION("GOOGLEFINANCE(A12,""closeyest"")"),1468.5)</f>
        <v>1468.5</v>
      </c>
      <c r="D12" s="61">
        <f>IFERROR(__xludf.DUMMYFUNCTION("MIN(index(GOOGLEFINANCE(A12,""ALL"",TODAY()-180,TODAY()),0,5))*1.2"),1503.24)</f>
        <v>1503.24</v>
      </c>
      <c r="E12" s="62">
        <f>IFERROR(__xludf.DUMMYFUNCTION("AVERAGE(QUERY(SORT(GOOGLEFINANCE(A12,""price"",TODAY()-320,TODAY()),1,0),""select Col2 limit 100""))"),1468.3499999999997)</f>
        <v>1468.35</v>
      </c>
      <c r="F12" s="44">
        <f>IFERROR(__xludf.DUMMYFUNCTION("GOOGLEFINANCE(A12,""high52"")"),1824.1)</f>
        <v>1824.1</v>
      </c>
      <c r="G12" s="45">
        <f>IFERROR(__xludf.DUMMYFUNCTION("to_date(index(sort(GOOGLEFINANCE(A12, ""high"", today()-52*7, today(), ""DAILY""),2,0),2,1))"),46139.64583333333)</f>
        <v>46139.64583</v>
      </c>
      <c r="H12" s="44">
        <f>IFERROR(__xludf.DUMMYFUNCTION("GOOGLEFINANCE(A12,""low52"")"),1188.0)</f>
        <v>1188</v>
      </c>
      <c r="I12" s="45">
        <f>IFERROR(__xludf.DUMMYFUNCTION("to_date(index(sort(GOOGLEFINANCE(A12, ""low"", today()-52*7, today(), ""DAILY""),2,1),1,1))"),45936.64583333333)</f>
        <v>45936.64583</v>
      </c>
      <c r="J12" s="46" t="str">
        <f t="shared" si="1"/>
        <v>Do Not Buy Today</v>
      </c>
    </row>
    <row r="13">
      <c r="A13" s="73" t="s">
        <v>149</v>
      </c>
      <c r="B13" s="76">
        <f>IFERROR(__xludf.DUMMYFUNCTION("GOOGLEFINANCE(A13,""price"")"),289.75)</f>
        <v>289.75</v>
      </c>
      <c r="C13" s="77">
        <f>IFERROR(__xludf.DUMMYFUNCTION("GOOGLEFINANCE(A13,""closeyest"")"),290.2)</f>
        <v>290.2</v>
      </c>
      <c r="D13" s="61">
        <f>IFERROR(__xludf.DUMMYFUNCTION("MIN(index(GOOGLEFINANCE(A13,""ALL"",TODAY()-180,TODAY()),0,5))*1.2"),296.21999999999997)</f>
        <v>296.22</v>
      </c>
      <c r="E13" s="62">
        <f>IFERROR(__xludf.DUMMYFUNCTION("AVERAGE(QUERY(SORT(GOOGLEFINANCE(A13,""price"",TODAY()-320,TODAY()),1,0),""select Col2 limit 100""))"),280.18899999999996)</f>
        <v>280.189</v>
      </c>
      <c r="F13" s="44">
        <f>IFERROR(__xludf.DUMMYFUNCTION("GOOGLEFINANCE(A13,""high52"")"),302.0)</f>
        <v>302</v>
      </c>
      <c r="G13" s="45">
        <f>IFERROR(__xludf.DUMMYFUNCTION("to_date(index(sort(GOOGLEFINANCE(A13, ""high"", today()-52*7, today(), ""DAILY""),2,0),2,1))"),46080.64583333333)</f>
        <v>46080.64583</v>
      </c>
      <c r="H13" s="44">
        <f>IFERROR(__xludf.DUMMYFUNCTION("GOOGLEFINANCE(A13,""low52"")"),185.11)</f>
        <v>185.11</v>
      </c>
      <c r="I13" s="45">
        <f>IFERROR(__xludf.DUMMYFUNCTION("to_date(index(sort(GOOGLEFINANCE(A13, ""low"", today()-52*7, today(), ""DAILY""),2,1),1,1))"),45873.64583333333)</f>
        <v>45873.64583</v>
      </c>
      <c r="J13" s="46" t="str">
        <f t="shared" si="1"/>
        <v>Do Not Buy Today</v>
      </c>
    </row>
    <row r="14">
      <c r="A14" s="73" t="s">
        <v>152</v>
      </c>
      <c r="B14" s="76">
        <f>IFERROR(__xludf.DUMMYFUNCTION("GOOGLEFINANCE(A14,""price"")"),627.85)</f>
        <v>627.85</v>
      </c>
      <c r="C14" s="77">
        <f>IFERROR(__xludf.DUMMYFUNCTION("GOOGLEFINANCE(A14,""closeyest"")"),628.7)</f>
        <v>628.7</v>
      </c>
      <c r="D14" s="61">
        <f>IFERROR(__xludf.DUMMYFUNCTION("MIN(index(GOOGLEFINANCE(A14,""ALL"",TODAY()-180,TODAY()),0,5))*1.2"),744.24)</f>
        <v>744.24</v>
      </c>
      <c r="E14" s="62">
        <f>IFERROR(__xludf.DUMMYFUNCTION("AVERAGE(QUERY(SORT(GOOGLEFINANCE(A14,""price"",TODAY()-320,TODAY()),1,0),""select Col2 limit 100""))"),728.2109999999999)</f>
        <v>728.211</v>
      </c>
      <c r="F14" s="44">
        <f>IFERROR(__xludf.DUMMYFUNCTION("GOOGLEFINANCE(A14,""high52"")"),1027.25)</f>
        <v>1027.25</v>
      </c>
      <c r="G14" s="45">
        <f>IFERROR(__xludf.DUMMYFUNCTION("to_date(index(sort(GOOGLEFINANCE(A14, ""high"", today()-52*7, today(), ""DAILY""),2,0),2,1))"),45818.64583333333)</f>
        <v>45818.64583</v>
      </c>
      <c r="H14" s="44">
        <f>IFERROR(__xludf.DUMMYFUNCTION("GOOGLEFINANCE(A14,""low52"")"),612.1)</f>
        <v>612.1</v>
      </c>
      <c r="I14" s="45">
        <f>IFERROR(__xludf.DUMMYFUNCTION("to_date(index(sort(GOOGLEFINANCE(A14, ""low"", today()-52*7, today(), ""DAILY""),2,1),1,1))"),46160.64583333333)</f>
        <v>46160.64583</v>
      </c>
      <c r="J14" s="46" t="str">
        <f t="shared" si="1"/>
        <v>Do Not Buy Today</v>
      </c>
    </row>
    <row r="15">
      <c r="A15" s="73" t="s">
        <v>159</v>
      </c>
      <c r="B15" s="76">
        <f>IFERROR(__xludf.DUMMYFUNCTION("GOOGLEFINANCE(A15,""price"")"),1010.6)</f>
        <v>1010.6</v>
      </c>
      <c r="C15" s="77">
        <f>IFERROR(__xludf.DUMMYFUNCTION("GOOGLEFINANCE(A15,""closeyest"")"),1011.8)</f>
        <v>1011.8</v>
      </c>
      <c r="D15" s="61">
        <f>IFERROR(__xludf.DUMMYFUNCTION("MIN(index(GOOGLEFINANCE(A15,""ALL"",TODAY()-180,TODAY()),0,5))*1.2"),1011.24)</f>
        <v>1011.24</v>
      </c>
      <c r="E15" s="62">
        <f>IFERROR(__xludf.DUMMYFUNCTION("AVERAGE(QUERY(SORT(GOOGLEFINANCE(A15,""price"",TODAY()-320,TODAY()),1,0),""select Col2 limit 100""))"),976.6619999999999)</f>
        <v>976.662</v>
      </c>
      <c r="F15" s="44">
        <f>IFERROR(__xludf.DUMMYFUNCTION("GOOGLEFINANCE(A15,""high52"")"),1079.55)</f>
        <v>1079.55</v>
      </c>
      <c r="G15" s="45">
        <f>IFERROR(__xludf.DUMMYFUNCTION("to_date(index(sort(GOOGLEFINANCE(A15, ""high"", today()-52*7, today(), ""DAILY""),2,0),2,1))"),46136.64583333333)</f>
        <v>46136.64583</v>
      </c>
      <c r="H15" s="44">
        <f>IFERROR(__xludf.DUMMYFUNCTION("GOOGLEFINANCE(A15,""low52"")"),682.15)</f>
        <v>682.15</v>
      </c>
      <c r="I15" s="45">
        <f>IFERROR(__xludf.DUMMYFUNCTION("to_date(index(sort(GOOGLEFINANCE(A15, ""low"", today()-52*7, today(), ""DAILY""),2,1),1,1))"),45905.64583333333)</f>
        <v>45905.64583</v>
      </c>
      <c r="J15" s="46" t="str">
        <f t="shared" si="1"/>
        <v>Do Not Buy Today</v>
      </c>
    </row>
    <row r="16">
      <c r="A16" s="73" t="s">
        <v>165</v>
      </c>
      <c r="B16" s="76">
        <f>IFERROR(__xludf.DUMMYFUNCTION("GOOGLEFINANCE(A16,""price"")"),127315.0)</f>
        <v>127315</v>
      </c>
      <c r="C16" s="77">
        <f>IFERROR(__xludf.DUMMYFUNCTION("GOOGLEFINANCE(A16,""closeyest"")"),127160.0)</f>
        <v>127160</v>
      </c>
      <c r="D16" s="61">
        <f>IFERROR(__xludf.DUMMYFUNCTION("MIN(index(GOOGLEFINANCE(A16,""ALL"",TODAY()-180,TODAY()),0,5))*1.2"),149970.0)</f>
        <v>149970</v>
      </c>
      <c r="E16" s="62">
        <f>IFERROR(__xludf.DUMMYFUNCTION("AVERAGE(QUERY(SORT(GOOGLEFINANCE(A16,""price"",TODAY()-320,TODAY()),1,0),""select Col2 limit 100""))"),137465.8)</f>
        <v>137465.8</v>
      </c>
      <c r="F16" s="44">
        <f>IFERROR(__xludf.DUMMYFUNCTION("GOOGLEFINANCE(A16,""high52"")"),163600.0)</f>
        <v>163600</v>
      </c>
      <c r="G16" s="45">
        <f>IFERROR(__xludf.DUMMYFUNCTION("to_date(index(sort(GOOGLEFINANCE(A16, ""high"", today()-52*7, today(), ""DAILY""),2,0),2,1))"),45954.64583333333)</f>
        <v>45954.64583</v>
      </c>
      <c r="H16" s="44">
        <f>IFERROR(__xludf.DUMMYFUNCTION("GOOGLEFINANCE(A16,""low52"")"),123455.0)</f>
        <v>123455</v>
      </c>
      <c r="I16" s="45">
        <f>IFERROR(__xludf.DUMMYFUNCTION("to_date(index(sort(GOOGLEFINANCE(A16, ""low"", today()-52*7, today(), ""DAILY""),2,1),1,1))"),46104.64583333333)</f>
        <v>46104.64583</v>
      </c>
      <c r="J16" s="46" t="str">
        <f t="shared" si="1"/>
        <v>Do Not Buy Today</v>
      </c>
    </row>
    <row r="17">
      <c r="A17" s="73" t="s">
        <v>175</v>
      </c>
      <c r="B17" s="76">
        <f>IFERROR(__xludf.DUMMYFUNCTION("GOOGLEFINANCE(A17,""price"")"),1592.1)</f>
        <v>1592.1</v>
      </c>
      <c r="C17" s="77">
        <f>IFERROR(__xludf.DUMMYFUNCTION("GOOGLEFINANCE(A17,""closeyest"")"),1578.8)</f>
        <v>1578.8</v>
      </c>
      <c r="D17" s="61">
        <f>IFERROR(__xludf.DUMMYFUNCTION("MIN(index(GOOGLEFINANCE(A17,""ALL"",TODAY()-180,TODAY()),0,5))*1.2"),1617.36)</f>
        <v>1617.36</v>
      </c>
      <c r="E17" s="62">
        <f>IFERROR(__xludf.DUMMYFUNCTION("AVERAGE(QUERY(SORT(GOOGLEFINANCE(A17,""price"",TODAY()-320,TODAY()),1,0),""select Col2 limit 100""))"),1549.5639999999996)</f>
        <v>1549.564</v>
      </c>
      <c r="F17" s="44">
        <f>IFERROR(__xludf.DUMMYFUNCTION("GOOGLEFINANCE(A17,""high52"")"),1768.7)</f>
        <v>1768.7</v>
      </c>
      <c r="G17" s="45">
        <f>IFERROR(__xludf.DUMMYFUNCTION("to_date(index(sort(GOOGLEFINANCE(A17, ""high"", today()-52*7, today(), ""DAILY""),2,0),2,1))"),46092.64583333333)</f>
        <v>46092.64583</v>
      </c>
      <c r="H17" s="44">
        <f>IFERROR(__xludf.DUMMYFUNCTION("GOOGLEFINANCE(A17,""low52"")"),1263.7)</f>
        <v>1263.7</v>
      </c>
      <c r="I17" s="45">
        <f>IFERROR(__xludf.DUMMYFUNCTION("to_date(index(sort(GOOGLEFINANCE(A17, ""low"", today()-52*7, today(), ""DAILY""),2,1),1,1))"),45881.64583333333)</f>
        <v>45881.64583</v>
      </c>
      <c r="J17" s="46" t="str">
        <f t="shared" si="1"/>
        <v>Do Not Buy Today</v>
      </c>
    </row>
    <row r="18">
      <c r="A18" s="73" t="s">
        <v>180</v>
      </c>
      <c r="B18" s="76">
        <f>IFERROR(__xludf.DUMMYFUNCTION("GOOGLEFINANCE(A18,""price"")"),1410.9)</f>
        <v>1410.9</v>
      </c>
      <c r="C18" s="77">
        <f>IFERROR(__xludf.DUMMYFUNCTION("GOOGLEFINANCE(A18,""closeyest"")"),1402.2)</f>
        <v>1402.2</v>
      </c>
      <c r="D18" s="61">
        <f>IFERROR(__xludf.DUMMYFUNCTION("MIN(index(GOOGLEFINANCE(A18,""ALL"",TODAY()-180,TODAY()),0,5))*1.2"),1351.8)</f>
        <v>1351.8</v>
      </c>
      <c r="E18" s="62">
        <f>IFERROR(__xludf.DUMMYFUNCTION("AVERAGE(QUERY(SORT(GOOGLEFINANCE(A18,""price"",TODAY()-320,TODAY()),1,0),""select Col2 limit 100""))"),1414.6400000000006)</f>
        <v>1414.64</v>
      </c>
      <c r="F18" s="44">
        <f>IFERROR(__xludf.DUMMYFUNCTION("GOOGLEFINANCE(A18,""high52"")"),1814.0)</f>
        <v>1814</v>
      </c>
      <c r="G18" s="45">
        <f>IFERROR(__xludf.DUMMYFUNCTION("to_date(index(sort(GOOGLEFINANCE(A18, ""high"", today()-52*7, today(), ""DAILY""),2,0),2,1))"),45860.64583333333)</f>
        <v>45860.64583</v>
      </c>
      <c r="H18" s="44">
        <f>IFERROR(__xludf.DUMMYFUNCTION("GOOGLEFINANCE(A18,""low52"")"),1090.0)</f>
        <v>1090</v>
      </c>
      <c r="I18" s="45">
        <f>IFERROR(__xludf.DUMMYFUNCTION("to_date(index(sort(GOOGLEFINANCE(A18, ""low"", today()-52*7, today(), ""DAILY""),2,1),1,1))"),46114.64583333333)</f>
        <v>46114.64583</v>
      </c>
      <c r="J18" s="46" t="str">
        <f t="shared" si="1"/>
        <v>Do Not Buy Today</v>
      </c>
    </row>
    <row r="19">
      <c r="A19" s="73" t="s">
        <v>181</v>
      </c>
      <c r="B19" s="76">
        <f>IFERROR(__xludf.DUMMYFUNCTION("GOOGLEFINANCE(A19,""price"")"),2845.7)</f>
        <v>2845.7</v>
      </c>
      <c r="C19" s="77">
        <f>IFERROR(__xludf.DUMMYFUNCTION("GOOGLEFINANCE(A19,""closeyest"")"),2837.9)</f>
        <v>2837.9</v>
      </c>
      <c r="D19" s="61">
        <f>IFERROR(__xludf.DUMMYFUNCTION("MIN(index(GOOGLEFINANCE(A19,""ALL"",TODAY()-180,TODAY()),0,5))*1.2"),3262.56)</f>
        <v>3262.56</v>
      </c>
      <c r="E19" s="62">
        <f>IFERROR(__xludf.DUMMYFUNCTION("AVERAGE(QUERY(SORT(GOOGLEFINANCE(A19,""price"",TODAY()-320,TODAY()),1,0),""select Col2 limit 100""))"),3065.311)</f>
        <v>3065.311</v>
      </c>
      <c r="F19" s="44">
        <f>IFERROR(__xludf.DUMMYFUNCTION("GOOGLEFINANCE(A19,""high52"")"),4330.0)</f>
        <v>4330</v>
      </c>
      <c r="G19" s="45">
        <f>IFERROR(__xludf.DUMMYFUNCTION("to_date(index(sort(GOOGLEFINANCE(A19, ""high"", today()-52*7, today(), ""DAILY""),2,0),2,1))"),45868.64583333333)</f>
        <v>45868.64583</v>
      </c>
      <c r="H19" s="44">
        <f>IFERROR(__xludf.DUMMYFUNCTION("GOOGLEFINANCE(A19,""low52"")"),2700.0)</f>
        <v>2700</v>
      </c>
      <c r="I19" s="45">
        <f>IFERROR(__xludf.DUMMYFUNCTION("to_date(index(sort(GOOGLEFINANCE(A19, ""low"", today()-52*7, today(), ""DAILY""),2,1),1,1))"),46111.64583333333)</f>
        <v>46111.64583</v>
      </c>
      <c r="J19" s="46" t="str">
        <f t="shared" si="1"/>
        <v>Do Not Buy Today</v>
      </c>
    </row>
    <row r="20">
      <c r="A20" s="73" t="s">
        <v>183</v>
      </c>
      <c r="B20" s="76">
        <f>IFERROR(__xludf.DUMMYFUNCTION("GOOGLEFINANCE(A20,""price"")"),1417.5)</f>
        <v>1417.5</v>
      </c>
      <c r="C20" s="77">
        <f>IFERROR(__xludf.DUMMYFUNCTION("GOOGLEFINANCE(A20,""closeyest"")"),1422.8)</f>
        <v>1422.8</v>
      </c>
      <c r="D20" s="61">
        <f>IFERROR(__xludf.DUMMYFUNCTION("MIN(index(GOOGLEFINANCE(A20,""ALL"",TODAY()-180,TODAY()),0,5))*1.2"),1288.68)</f>
        <v>1288.68</v>
      </c>
      <c r="E20" s="62">
        <f>IFERROR(__xludf.DUMMYFUNCTION("AVERAGE(QUERY(SORT(GOOGLEFINANCE(A20,""price"",TODAY()-320,TODAY()),1,0),""select Col2 limit 100""))"),1377.729)</f>
        <v>1377.729</v>
      </c>
      <c r="F20" s="44">
        <f>IFERROR(__xludf.DUMMYFUNCTION("GOOGLEFINANCE(A20,""high52"")"),1994.0)</f>
        <v>1994</v>
      </c>
      <c r="G20" s="45">
        <f>IFERROR(__xludf.DUMMYFUNCTION("to_date(index(sort(GOOGLEFINANCE(A20, ""high"", today()-52*7, today(), ""DAILY""),2,0),2,1))"),45846.64583333333)</f>
        <v>45846.64583</v>
      </c>
      <c r="H20" s="44">
        <f>IFERROR(__xludf.DUMMYFUNCTION("GOOGLEFINANCE(A20,""low52"")"),1008.1)</f>
        <v>1008.1</v>
      </c>
      <c r="I20" s="45">
        <f>IFERROR(__xludf.DUMMYFUNCTION("to_date(index(sort(GOOGLEFINANCE(A20, ""low"", today()-52*7, today(), ""DAILY""),2,1),1,1))"),46085.64583333333)</f>
        <v>46085.64583</v>
      </c>
      <c r="J20" s="46" t="str">
        <f t="shared" si="1"/>
        <v>Do Not Buy Today</v>
      </c>
    </row>
    <row r="21">
      <c r="A21" s="73" t="s">
        <v>185</v>
      </c>
      <c r="B21" s="76">
        <f>IFERROR(__xludf.DUMMYFUNCTION("GOOGLEFINANCE(A21,""price"")"),10296.0)</f>
        <v>10296</v>
      </c>
      <c r="C21" s="77">
        <f>IFERROR(__xludf.DUMMYFUNCTION("GOOGLEFINANCE(A21,""closeyest"")"),9882.0)</f>
        <v>9882</v>
      </c>
      <c r="D21" s="61">
        <f>IFERROR(__xludf.DUMMYFUNCTION("MIN(index(GOOGLEFINANCE(A21,""ALL"",TODAY()-180,TODAY()),0,5))*1.2"),7562.4)</f>
        <v>7562.4</v>
      </c>
      <c r="E21" s="62">
        <f>IFERROR(__xludf.DUMMYFUNCTION("AVERAGE(QUERY(SORT(GOOGLEFINANCE(A21,""price"",TODAY()-320,TODAY()),1,0),""select Col2 limit 100""))"),7737.47)</f>
        <v>7737.47</v>
      </c>
      <c r="F21" s="44">
        <f>IFERROR(__xludf.DUMMYFUNCTION("GOOGLEFINANCE(A21,""high52"")"),10357.0)</f>
        <v>10357</v>
      </c>
      <c r="G21" s="45">
        <f>IFERROR(__xludf.DUMMYFUNCTION("to_date(index(sort(GOOGLEFINANCE(A21, ""high"", today()-52*7, today(), ""DAILY""),2,0),2,1))"),46161.64583333333)</f>
        <v>46161.64583</v>
      </c>
      <c r="H21" s="44">
        <f>IFERROR(__xludf.DUMMYFUNCTION("GOOGLEFINANCE(A21,""low52"")"),6234.5)</f>
        <v>6234.5</v>
      </c>
      <c r="I21" s="45">
        <f>IFERROR(__xludf.DUMMYFUNCTION("to_date(index(sort(GOOGLEFINANCE(A21, ""low"", today()-52*7, today(), ""DAILY""),2,1),1,1))"),46098.64583333333)</f>
        <v>46098.64583</v>
      </c>
      <c r="J21" s="46" t="str">
        <f t="shared" si="1"/>
        <v>Do Not Buy Today</v>
      </c>
    </row>
    <row r="22">
      <c r="A22" s="73" t="s">
        <v>187</v>
      </c>
      <c r="B22" s="76">
        <f>IFERROR(__xludf.DUMMYFUNCTION("GOOGLEFINANCE(A22,""price"")"),22.87)</f>
        <v>22.87</v>
      </c>
      <c r="C22" s="77">
        <f>IFERROR(__xludf.DUMMYFUNCTION("GOOGLEFINANCE(A22,""closeyest"")"),22.83)</f>
        <v>22.83</v>
      </c>
      <c r="D22" s="61">
        <f>IFERROR(__xludf.DUMMYFUNCTION("MIN(index(GOOGLEFINANCE(A22,""ALL"",TODAY()-180,TODAY()),0,5))*1.2"),20.7)</f>
        <v>20.7</v>
      </c>
      <c r="E22" s="62">
        <f>IFERROR(__xludf.DUMMYFUNCTION("AVERAGE(QUERY(SORT(GOOGLEFINANCE(A22,""price"",TODAY()-320,TODAY()),1,0),""select Col2 limit 100""))"),20.739799999999995)</f>
        <v>20.7398</v>
      </c>
      <c r="F22" s="44">
        <f>IFERROR(__xludf.DUMMYFUNCTION("GOOGLEFINANCE(A22,""high52"")"),24.3)</f>
        <v>24.3</v>
      </c>
      <c r="G22" s="45">
        <f>IFERROR(__xludf.DUMMYFUNCTION("to_date(index(sort(GOOGLEFINANCE(A22, ""high"", today()-52*7, today(), ""DAILY""),2,0),2,1))"),45940.64583333333)</f>
        <v>45940.64583</v>
      </c>
      <c r="H22" s="44">
        <f>IFERROR(__xludf.DUMMYFUNCTION("GOOGLEFINANCE(A22,""low52"")"),17.2)</f>
        <v>17.2</v>
      </c>
      <c r="I22" s="45">
        <f>IFERROR(__xludf.DUMMYFUNCTION("to_date(index(sort(GOOGLEFINANCE(A22, ""low"", today()-52*7, today(), ""DAILY""),2,1),1,1))"),46111.64583333333)</f>
        <v>46111.64583</v>
      </c>
      <c r="J22" s="46" t="str">
        <f t="shared" si="1"/>
        <v>Do Not Buy Today</v>
      </c>
    </row>
    <row r="23">
      <c r="A23" s="73" t="s">
        <v>188</v>
      </c>
      <c r="B23" s="76">
        <f>IFERROR(__xludf.DUMMYFUNCTION("GOOGLEFINANCE(A23,""price"")"),1796.0)</f>
        <v>1796</v>
      </c>
      <c r="C23" s="77">
        <f>IFERROR(__xludf.DUMMYFUNCTION("GOOGLEFINANCE(A23,""closeyest"")"),1760.2)</f>
        <v>1760.2</v>
      </c>
      <c r="D23" s="61">
        <f>IFERROR(__xludf.DUMMYFUNCTION("MIN(index(GOOGLEFINANCE(A23,""ALL"",TODAY()-180,TODAY()),0,5))*1.2"),1765.56)</f>
        <v>1765.56</v>
      </c>
      <c r="E23" s="62">
        <f>IFERROR(__xludf.DUMMYFUNCTION("AVERAGE(QUERY(SORT(GOOGLEFINANCE(A23,""price"",TODAY()-320,TODAY()),1,0),""select Col2 limit 100""))"),1753.9749999999997)</f>
        <v>1753.975</v>
      </c>
      <c r="F23" s="44">
        <f>IFERROR(__xludf.DUMMYFUNCTION("GOOGLEFINANCE(A23,""high52"")"),2506.5)</f>
        <v>2506.5</v>
      </c>
      <c r="G23" s="45">
        <f>IFERROR(__xludf.DUMMYFUNCTION("to_date(index(sort(GOOGLEFINANCE(A23, ""high"", today()-52*7, today(), ""DAILY""),2,0),2,1))"),45818.64583333333)</f>
        <v>45818.64583</v>
      </c>
      <c r="H23" s="44">
        <f>IFERROR(__xludf.DUMMYFUNCTION("GOOGLEFINANCE(A23,""low52"")"),1434.0)</f>
        <v>1434</v>
      </c>
      <c r="I23" s="45">
        <f>IFERROR(__xludf.DUMMYFUNCTION("to_date(index(sort(GOOGLEFINANCE(A23, ""low"", today()-52*7, today(), ""DAILY""),2,1),1,1))"),46114.64583333333)</f>
        <v>46114.64583</v>
      </c>
      <c r="J23" s="46" t="str">
        <f t="shared" si="1"/>
        <v>Do Not Buy Today</v>
      </c>
    </row>
    <row r="24">
      <c r="A24" s="73" t="s">
        <v>193</v>
      </c>
      <c r="B24" s="76">
        <f>IFERROR(__xludf.DUMMYFUNCTION("GOOGLEFINANCE(A24,""price"")"),1692.2)</f>
        <v>1692.2</v>
      </c>
      <c r="C24" s="77">
        <f>IFERROR(__xludf.DUMMYFUNCTION("GOOGLEFINANCE(A24,""closeyest"")"),1693.7)</f>
        <v>1693.7</v>
      </c>
      <c r="D24" s="61">
        <f>IFERROR(__xludf.DUMMYFUNCTION("MIN(index(GOOGLEFINANCE(A24,""ALL"",TODAY()-180,TODAY()),0,5))*1.2"),1693.8)</f>
        <v>1693.8</v>
      </c>
      <c r="E24" s="62">
        <f>IFERROR(__xludf.DUMMYFUNCTION("AVERAGE(QUERY(SORT(GOOGLEFINANCE(A24,""price"",TODAY()-320,TODAY()),1,0),""select Col2 limit 100""))"),1586.3170000000007)</f>
        <v>1586.317</v>
      </c>
      <c r="F24" s="44">
        <f>IFERROR(__xludf.DUMMYFUNCTION("GOOGLEFINANCE(A24,""high52"")"),2005.0)</f>
        <v>2005</v>
      </c>
      <c r="G24" s="45">
        <f>IFERROR(__xludf.DUMMYFUNCTION("to_date(index(sort(GOOGLEFINANCE(A24, ""high"", today()-52*7, today(), ""DAILY""),2,0),2,1))"),45833.64583333333)</f>
        <v>45833.64583</v>
      </c>
      <c r="H24" s="44">
        <f>IFERROR(__xludf.DUMMYFUNCTION("GOOGLEFINANCE(A24,""low52"")"),1391.2)</f>
        <v>1391.2</v>
      </c>
      <c r="I24" s="45">
        <f>IFERROR(__xludf.DUMMYFUNCTION("to_date(index(sort(GOOGLEFINANCE(A24, ""low"", today()-52*7, today(), ""DAILY""),2,1),1,1))"),46104.64583333333)</f>
        <v>46104.64583</v>
      </c>
      <c r="J24" s="46" t="str">
        <f t="shared" si="1"/>
        <v>Do Not Buy Today</v>
      </c>
    </row>
    <row r="25">
      <c r="A25" s="73" t="s">
        <v>197</v>
      </c>
      <c r="B25" s="76">
        <f>IFERROR(__xludf.DUMMYFUNCTION("GOOGLEFINANCE(A25,""price"")"),1789.2)</f>
        <v>1789.2</v>
      </c>
      <c r="C25" s="77">
        <f>IFERROR(__xludf.DUMMYFUNCTION("GOOGLEFINANCE(A25,""closeyest"")"),1789.0)</f>
        <v>1789</v>
      </c>
      <c r="D25" s="61">
        <f>IFERROR(__xludf.DUMMYFUNCTION("MIN(index(GOOGLEFINANCE(A25,""ALL"",TODAY()-180,TODAY()),0,5))*1.2"),1712.28)</f>
        <v>1712.28</v>
      </c>
      <c r="E25" s="62">
        <f>IFERROR(__xludf.DUMMYFUNCTION("AVERAGE(QUERY(SORT(GOOGLEFINANCE(A25,""price"",TODAY()-320,TODAY()),1,0),""select Col2 limit 100""))"),1601.2699999999995)</f>
        <v>1601.27</v>
      </c>
      <c r="F25" s="44">
        <f>IFERROR(__xludf.DUMMYFUNCTION("GOOGLEFINANCE(A25,""high52"")"),1978.0)</f>
        <v>1978</v>
      </c>
      <c r="G25" s="45">
        <f>IFERROR(__xludf.DUMMYFUNCTION("to_date(index(sort(GOOGLEFINANCE(A25, ""high"", today()-52*7, today(), ""DAILY""),2,0),2,1))"),45825.64583333333)</f>
        <v>45825.64583</v>
      </c>
      <c r="H25" s="44">
        <f>IFERROR(__xludf.DUMMYFUNCTION("GOOGLEFINANCE(A25,""low52"")"),1364.0)</f>
        <v>1364</v>
      </c>
      <c r="I25" s="45">
        <f>IFERROR(__xludf.DUMMYFUNCTION("to_date(index(sort(GOOGLEFINANCE(A25, ""low"", today()-52*7, today(), ""DAILY""),2,1),1,1))"),46090.64583333333)</f>
        <v>46090.64583</v>
      </c>
      <c r="J25" s="46" t="str">
        <f t="shared" si="1"/>
        <v>Do Not Buy Today</v>
      </c>
    </row>
    <row r="26">
      <c r="A26" s="73" t="s">
        <v>205</v>
      </c>
      <c r="B26" s="76">
        <f>IFERROR(__xludf.DUMMYFUNCTION("GOOGLEFINANCE(A26,""price"")"),525.75)</f>
        <v>525.75</v>
      </c>
      <c r="C26" s="77">
        <f>IFERROR(__xludf.DUMMYFUNCTION("GOOGLEFINANCE(A26,""closeyest"")"),537.2)</f>
        <v>537.2</v>
      </c>
      <c r="D26" s="61">
        <f>IFERROR(__xludf.DUMMYFUNCTION("MIN(index(GOOGLEFINANCE(A26,""ALL"",TODAY()-180,TODAY()),0,5))*1.2"),593.4)</f>
        <v>593.4</v>
      </c>
      <c r="E26" s="62">
        <f>IFERROR(__xludf.DUMMYFUNCTION("AVERAGE(QUERY(SORT(GOOGLEFINANCE(A26,""price"",TODAY()-320,TODAY()),1,0),""select Col2 limit 100""))"),581.391)</f>
        <v>581.391</v>
      </c>
      <c r="F26" s="44">
        <f>IFERROR(__xludf.DUMMYFUNCTION("GOOGLEFINANCE(A26,""high52"")"),800.0)</f>
        <v>800</v>
      </c>
      <c r="G26" s="45">
        <f>IFERROR(__xludf.DUMMYFUNCTION("to_date(index(sort(GOOGLEFINANCE(A26, ""high"", today()-52*7, today(), ""DAILY""),2,0),2,1))"),45806.64583333333)</f>
        <v>45806.64583</v>
      </c>
      <c r="H26" s="44">
        <f>IFERROR(__xludf.DUMMYFUNCTION("GOOGLEFINANCE(A26,""low52"")"),492.65)</f>
        <v>492.65</v>
      </c>
      <c r="I26" s="45">
        <f>IFERROR(__xludf.DUMMYFUNCTION("to_date(index(sort(GOOGLEFINANCE(A26, ""low"", today()-52*7, today(), ""DAILY""),2,1),1,1))"),46111.64583333333)</f>
        <v>46111.64583</v>
      </c>
      <c r="J26" s="46" t="str">
        <f t="shared" si="1"/>
        <v>Do Not Buy Today</v>
      </c>
    </row>
    <row r="27">
      <c r="A27" s="73" t="s">
        <v>207</v>
      </c>
      <c r="B27" s="76">
        <f>IFERROR(__xludf.DUMMYFUNCTION("GOOGLEFINANCE(A27,""price"")"),2712.4)</f>
        <v>2712.4</v>
      </c>
      <c r="C27" s="77">
        <f>IFERROR(__xludf.DUMMYFUNCTION("GOOGLEFINANCE(A27,""closeyest"")"),2739.8)</f>
        <v>2739.8</v>
      </c>
      <c r="D27" s="61">
        <f>IFERROR(__xludf.DUMMYFUNCTION("MIN(index(GOOGLEFINANCE(A27,""ALL"",TODAY()-180,TODAY()),0,5))*1.2"),2659.68)</f>
        <v>2659.68</v>
      </c>
      <c r="E27" s="62">
        <f>IFERROR(__xludf.DUMMYFUNCTION("AVERAGE(QUERY(SORT(GOOGLEFINANCE(A27,""price"",TODAY()-320,TODAY()),1,0),""select Col2 limit 100""))"),2616.0190000000007)</f>
        <v>2616.019</v>
      </c>
      <c r="F27" s="44">
        <f>IFERROR(__xludf.DUMMYFUNCTION("GOOGLEFINANCE(A27,""high52"")"),2967.25)</f>
        <v>2967.25</v>
      </c>
      <c r="G27" s="45">
        <f>IFERROR(__xludf.DUMMYFUNCTION("to_date(index(sort(GOOGLEFINANCE(A27, ""high"", today()-52*7, today(), ""DAILY""),2,0),2,1))"),45946.64583333333)</f>
        <v>45946.64583</v>
      </c>
      <c r="H27" s="44">
        <f>IFERROR(__xludf.DUMMYFUNCTION("GOOGLEFINANCE(A27,""low52"")"),2205.6)</f>
        <v>2205.6</v>
      </c>
      <c r="I27" s="45">
        <f>IFERROR(__xludf.DUMMYFUNCTION("to_date(index(sort(GOOGLEFINANCE(A27, ""low"", today()-52*7, today(), ""DAILY""),2,1),1,1))"),46111.64583333333)</f>
        <v>46111.64583</v>
      </c>
      <c r="J27" s="46" t="str">
        <f t="shared" si="1"/>
        <v>Do Not Buy Today</v>
      </c>
    </row>
    <row r="28">
      <c r="A28" s="73" t="s">
        <v>210</v>
      </c>
      <c r="B28" s="76">
        <f>IFERROR(__xludf.DUMMYFUNCTION("GOOGLEFINANCE(A28,""price"")"),838.7)</f>
        <v>838.7</v>
      </c>
      <c r="C28" s="77">
        <f>IFERROR(__xludf.DUMMYFUNCTION("GOOGLEFINANCE(A28,""closeyest"")"),830.0)</f>
        <v>830</v>
      </c>
      <c r="D28" s="61">
        <f>IFERROR(__xludf.DUMMYFUNCTION("MIN(index(GOOGLEFINANCE(A28,""ALL"",TODAY()-180,TODAY()),0,5))*1.2"),852.78)</f>
        <v>852.78</v>
      </c>
      <c r="E28" s="62">
        <f>IFERROR(__xludf.DUMMYFUNCTION("AVERAGE(QUERY(SORT(GOOGLEFINANCE(A28,""price"",TODAY()-320,TODAY()),1,0),""select Col2 limit 100""))"),772.0955000000001)</f>
        <v>772.0955</v>
      </c>
      <c r="F28" s="44">
        <f>IFERROR(__xludf.DUMMYFUNCTION("GOOGLEFINANCE(A28,""high52"")"),848.8)</f>
        <v>848.8</v>
      </c>
      <c r="G28" s="45">
        <f>IFERROR(__xludf.DUMMYFUNCTION("to_date(index(sort(GOOGLEFINANCE(A28, ""high"", today()-52*7, today(), ""DAILY""),2,0),2,1))"),46153.64583333333)</f>
        <v>46153.64583</v>
      </c>
      <c r="H28" s="44">
        <f>IFERROR(__xludf.DUMMYFUNCTION("GOOGLEFINANCE(A28,""low52"")"),680.3)</f>
        <v>680.3</v>
      </c>
      <c r="I28" s="45">
        <f>IFERROR(__xludf.DUMMYFUNCTION("to_date(index(sort(GOOGLEFINANCE(A28, ""low"", today()-52*7, today(), ""DAILY""),2,1),1,1))"),45824.64583333333)</f>
        <v>45824.64583</v>
      </c>
      <c r="J28" s="46" t="str">
        <f t="shared" si="1"/>
        <v>Do Not Buy Today</v>
      </c>
    </row>
    <row r="29">
      <c r="A29" s="73" t="s">
        <v>212</v>
      </c>
      <c r="B29" s="76">
        <f>IFERROR(__xludf.DUMMYFUNCTION("GOOGLEFINANCE(A29,""price"")"),2253.6)</f>
        <v>2253.6</v>
      </c>
      <c r="C29" s="77">
        <f>IFERROR(__xludf.DUMMYFUNCTION("GOOGLEFINANCE(A29,""closeyest"")"),2266.0)</f>
        <v>2266</v>
      </c>
      <c r="D29" s="61">
        <f>IFERROR(__xludf.DUMMYFUNCTION("MIN(index(GOOGLEFINANCE(A29,""ALL"",TODAY()-180,TODAY()),0,5))*1.2"),2462.1600000000003)</f>
        <v>2462.16</v>
      </c>
      <c r="E29" s="62">
        <f>IFERROR(__xludf.DUMMYFUNCTION("AVERAGE(QUERY(SORT(GOOGLEFINANCE(A29,""price"",TODAY()-320,TODAY()),1,0),""select Col2 limit 100""))"),2253.7390000000005)</f>
        <v>2253.739</v>
      </c>
      <c r="F29" s="44">
        <f>IFERROR(__xludf.DUMMYFUNCTION("GOOGLEFINANCE(A29,""high52"")"),2494.0)</f>
        <v>2494</v>
      </c>
      <c r="G29" s="45">
        <f>IFERROR(__xludf.DUMMYFUNCTION("to_date(index(sort(GOOGLEFINANCE(A29, ""high"", today()-52*7, today(), ""DAILY""),2,0),2,1))"),46149.64583333333)</f>
        <v>46149.64583</v>
      </c>
      <c r="H29" s="44">
        <f>IFERROR(__xludf.DUMMYFUNCTION("GOOGLEFINANCE(A29,""low52"")"),1836.8)</f>
        <v>1836.8</v>
      </c>
      <c r="I29" s="45">
        <f>IFERROR(__xludf.DUMMYFUNCTION("to_date(index(sort(GOOGLEFINANCE(A29, ""low"", today()-52*7, today(), ""DAILY""),2,1),1,1))"),45875.64583333333)</f>
        <v>45875.64583</v>
      </c>
      <c r="J29" s="46" t="str">
        <f t="shared" si="1"/>
        <v>Do Not Buy Today</v>
      </c>
    </row>
    <row r="30">
      <c r="A30" s="73" t="s">
        <v>220</v>
      </c>
      <c r="B30" s="76">
        <f>IFERROR(__xludf.DUMMYFUNCTION("GOOGLEFINANCE(A30,""price"")"),1447.7)</f>
        <v>1447.7</v>
      </c>
      <c r="C30" s="77">
        <f>IFERROR(__xludf.DUMMYFUNCTION("GOOGLEFINANCE(A30,""closeyest"")"),1461.2)</f>
        <v>1461.2</v>
      </c>
      <c r="D30" s="61">
        <f>IFERROR(__xludf.DUMMYFUNCTION("MIN(index(GOOGLEFINANCE(A30,""ALL"",TODAY()-180,TODAY()),0,5))*1.2"),1346.04)</f>
        <v>1346.04</v>
      </c>
      <c r="E30" s="62">
        <f>IFERROR(__xludf.DUMMYFUNCTION("AVERAGE(QUERY(SORT(GOOGLEFINANCE(A30,""price"",TODAY()-320,TODAY()),1,0),""select Col2 limit 100""))"),1287.6609999999996)</f>
        <v>1287.661</v>
      </c>
      <c r="F30" s="44">
        <f>IFERROR(__xludf.DUMMYFUNCTION("GOOGLEFINANCE(A30,""high52"")"),1550.0)</f>
        <v>1550</v>
      </c>
      <c r="G30" s="45">
        <f>IFERROR(__xludf.DUMMYFUNCTION("to_date(index(sort(GOOGLEFINANCE(A30, ""high"", today()-52*7, today(), ""DAILY""),2,0),2,1))"),46163.64583333333)</f>
        <v>46163.64583</v>
      </c>
      <c r="H30" s="44">
        <f>IFERROR(__xludf.DUMMYFUNCTION("GOOGLEFINANCE(A30,""low52"")"),1016.1)</f>
        <v>1016.1</v>
      </c>
      <c r="I30" s="45">
        <f>IFERROR(__xludf.DUMMYFUNCTION("to_date(index(sort(GOOGLEFINANCE(A30, ""low"", today()-52*7, today(), ""DAILY""),2,1),1,1))"),45901.64583333333)</f>
        <v>45901.64583</v>
      </c>
      <c r="J30" s="46" t="str">
        <f t="shared" si="1"/>
        <v>Do Not Buy Today</v>
      </c>
    </row>
    <row r="31">
      <c r="A31" s="73" t="s">
        <v>223</v>
      </c>
      <c r="B31" s="76">
        <f>IFERROR(__xludf.DUMMYFUNCTION("GOOGLEFINANCE(A31,""price"")"),70.3)</f>
        <v>70.3</v>
      </c>
      <c r="C31" s="77">
        <f>IFERROR(__xludf.DUMMYFUNCTION("GOOGLEFINANCE(A31,""closeyest"")"),70.22)</f>
        <v>70.22</v>
      </c>
      <c r="D31" s="61">
        <f>IFERROR(__xludf.DUMMYFUNCTION("MIN(index(GOOGLEFINANCE(A31,""ALL"",TODAY()-180,TODAY()),0,5))*1.2"),70.62)</f>
        <v>70.62</v>
      </c>
      <c r="E31" s="62">
        <f>IFERROR(__xludf.DUMMYFUNCTION("AVERAGE(QUERY(SORT(GOOGLEFINANCE(A31,""price"",TODAY()-320,TODAY()),1,0),""select Col2 limit 100""))"),73.61639999999998)</f>
        <v>73.6164</v>
      </c>
      <c r="F31" s="44">
        <f>IFERROR(__xludf.DUMMYFUNCTION("GOOGLEFINANCE(A31,""high52"")"),87.0)</f>
        <v>87</v>
      </c>
      <c r="G31" s="45">
        <f>IFERROR(__xludf.DUMMYFUNCTION("to_date(index(sort(GOOGLEFINANCE(A31, ""high"", today()-52*7, today(), ""DAILY""),2,0),2,1))"),46024.64583333333)</f>
        <v>46024.64583</v>
      </c>
      <c r="H31" s="44">
        <f>IFERROR(__xludf.DUMMYFUNCTION("GOOGLEFINANCE(A31,""low52"")"),58.08)</f>
        <v>58.08</v>
      </c>
      <c r="I31" s="45">
        <f>IFERROR(__xludf.DUMMYFUNCTION("to_date(index(sort(GOOGLEFINANCE(A31, ""low"", today()-52*7, today(), ""DAILY""),2,1),1,1))"),46114.64583333333)</f>
        <v>46114.64583</v>
      </c>
      <c r="J31" s="46" t="str">
        <f t="shared" si="1"/>
        <v>Do Not Buy Today</v>
      </c>
    </row>
    <row r="32">
      <c r="A32" s="73" t="s">
        <v>225</v>
      </c>
      <c r="B32" s="76">
        <f>IFERROR(__xludf.DUMMYFUNCTION("GOOGLEFINANCE(A32,""price"")"),206.58)</f>
        <v>206.58</v>
      </c>
      <c r="C32" s="77">
        <f>IFERROR(__xludf.DUMMYFUNCTION("GOOGLEFINANCE(A32,""closeyest"")"),203.84)</f>
        <v>203.84</v>
      </c>
      <c r="D32" s="61">
        <f>IFERROR(__xludf.DUMMYFUNCTION("MIN(index(GOOGLEFINANCE(A32,""ALL"",TODAY()-180,TODAY()),0,5))*1.2"),151.09199999999998)</f>
        <v>151.092</v>
      </c>
      <c r="E32" s="62">
        <f>IFERROR(__xludf.DUMMYFUNCTION("AVERAGE(QUERY(SORT(GOOGLEFINANCE(A32,""price"",TODAY()-320,TODAY()),1,0),""select Col2 limit 100""))"),162.77800000000002)</f>
        <v>162.778</v>
      </c>
      <c r="F32" s="44">
        <f>IFERROR(__xludf.DUMMYFUNCTION("GOOGLEFINANCE(A32,""high52"")"),209.7)</f>
        <v>209.7</v>
      </c>
      <c r="G32" s="45">
        <f>IFERROR(__xludf.DUMMYFUNCTION("to_date(index(sort(GOOGLEFINANCE(A32, ""high"", today()-52*7, today(), ""DAILY""),2,0),2,1))"),46156.64583333333)</f>
        <v>46156.64583</v>
      </c>
      <c r="H32" s="44">
        <f>IFERROR(__xludf.DUMMYFUNCTION("GOOGLEFINANCE(A32,""low52"")"),118.1)</f>
        <v>118.1</v>
      </c>
      <c r="I32" s="45">
        <f>IFERROR(__xludf.DUMMYFUNCTION("to_date(index(sort(GOOGLEFINANCE(A32, ""low"", today()-52*7, today(), ""DAILY""),2,1),1,1))"),45897.64583333333)</f>
        <v>45897.64583</v>
      </c>
      <c r="J32" s="46" t="str">
        <f t="shared" si="1"/>
        <v>Do Not Buy Today</v>
      </c>
    </row>
    <row r="33">
      <c r="A33" s="73" t="s">
        <v>227</v>
      </c>
      <c r="B33" s="76">
        <f>IFERROR(__xludf.DUMMYFUNCTION("GOOGLEFINANCE(A33,""price"")"),1935.7)</f>
        <v>1935.7</v>
      </c>
      <c r="C33" s="77">
        <f>IFERROR(__xludf.DUMMYFUNCTION("GOOGLEFINANCE(A33,""closeyest"")"),1930.4)</f>
        <v>1930.4</v>
      </c>
      <c r="D33" s="61">
        <f>IFERROR(__xludf.DUMMYFUNCTION("MIN(index(GOOGLEFINANCE(A33,""ALL"",TODAY()-180,TODAY()),0,5))*1.2"),1648.32)</f>
        <v>1648.32</v>
      </c>
      <c r="E33" s="62">
        <f>IFERROR(__xludf.DUMMYFUNCTION("AVERAGE(QUERY(SORT(GOOGLEFINANCE(A33,""price"",TODAY()-320,TODAY()),1,0),""select Col2 limit 100""))"),1710.7320000000002)</f>
        <v>1710.732</v>
      </c>
      <c r="F33" s="44">
        <f>IFERROR(__xludf.DUMMYFUNCTION("GOOGLEFINANCE(A33,""high52"")"),2044.0)</f>
        <v>2044</v>
      </c>
      <c r="G33" s="45">
        <f>IFERROR(__xludf.DUMMYFUNCTION("to_date(index(sort(GOOGLEFINANCE(A33, ""high"", today()-52*7, today(), ""DAILY""),2,0),2,1))"),46150.64583333333)</f>
        <v>46150.64583</v>
      </c>
      <c r="H33" s="44">
        <f>IFERROR(__xludf.DUMMYFUNCTION("GOOGLEFINANCE(A33,""low52"")"),1100.5)</f>
        <v>1100.5</v>
      </c>
      <c r="I33" s="45">
        <f>IFERROR(__xludf.DUMMYFUNCTION("to_date(index(sort(GOOGLEFINANCE(A33, ""low"", today()-52*7, today(), ""DAILY""),2,1),1,1))"),45898.64583333333)</f>
        <v>45898.64583</v>
      </c>
      <c r="J33" s="46" t="str">
        <f t="shared" si="1"/>
        <v>Do Not Buy Today</v>
      </c>
    </row>
    <row r="34">
      <c r="A34" s="73" t="s">
        <v>229</v>
      </c>
      <c r="B34" s="76">
        <f>IFERROR(__xludf.DUMMYFUNCTION("GOOGLEFINANCE(A34,""price"")"),14.23)</f>
        <v>14.23</v>
      </c>
      <c r="C34" s="77">
        <f>IFERROR(__xludf.DUMMYFUNCTION("GOOGLEFINANCE(A34,""closeyest"")"),14.14)</f>
        <v>14.14</v>
      </c>
      <c r="D34" s="61">
        <f>IFERROR(__xludf.DUMMYFUNCTION("MIN(index(GOOGLEFINANCE(A34,""ALL"",TODAY()-180,TODAY()),0,5))*1.2"),10.235999999999999)</f>
        <v>10.236</v>
      </c>
      <c r="E34" s="62">
        <f>IFERROR(__xludf.DUMMYFUNCTION("AVERAGE(QUERY(SORT(GOOGLEFINANCE(A34,""price"",TODAY()-320,TODAY()),1,0),""select Col2 limit 100""))"),10.683999999999996)</f>
        <v>10.684</v>
      </c>
      <c r="F34" s="44">
        <f>IFERROR(__xludf.DUMMYFUNCTION("GOOGLEFINANCE(A34,""high52"")"),14.29)</f>
        <v>14.29</v>
      </c>
      <c r="G34" s="45">
        <f>IFERROR(__xludf.DUMMYFUNCTION("to_date(index(sort(GOOGLEFINANCE(A34, ""high"", today()-52*7, today(), ""DAILY""),2,0),2,1))"),46168.64583333333)</f>
        <v>46168.64583</v>
      </c>
      <c r="H34" s="44">
        <f>IFERROR(__xludf.DUMMYFUNCTION("GOOGLEFINANCE(A34,""low52"")"),6.12)</f>
        <v>6.12</v>
      </c>
      <c r="I34" s="45">
        <f>IFERROR(__xludf.DUMMYFUNCTION("to_date(index(sort(GOOGLEFINANCE(A34, ""low"", today()-52*7, today(), ""DAILY""),2,1),1,1))"),45883.64583333333)</f>
        <v>45883.64583</v>
      </c>
      <c r="J34" s="46" t="str">
        <f t="shared" si="1"/>
        <v>Do Not Buy Today</v>
      </c>
    </row>
    <row r="35">
      <c r="A35" s="73" t="s">
        <v>239</v>
      </c>
      <c r="B35" s="76">
        <f>IFERROR(__xludf.DUMMYFUNCTION("GOOGLEFINANCE(A35,""price"")"),5391.0)</f>
        <v>5391</v>
      </c>
      <c r="C35" s="77">
        <f>IFERROR(__xludf.DUMMYFUNCTION("GOOGLEFINANCE(A35,""closeyest"")"),5380.0)</f>
        <v>5380</v>
      </c>
      <c r="D35" s="61">
        <f>IFERROR(__xludf.DUMMYFUNCTION("MIN(index(GOOGLEFINANCE(A35,""ALL"",TODAY()-180,TODAY()),0,5))*1.2"),6173.4)</f>
        <v>6173.4</v>
      </c>
      <c r="E35" s="62">
        <f>IFERROR(__xludf.DUMMYFUNCTION("AVERAGE(QUERY(SORT(GOOGLEFINANCE(A35,""price"",TODAY()-320,TODAY()),1,0),""select Col2 limit 100""))"),5526.995)</f>
        <v>5526.995</v>
      </c>
      <c r="F35" s="44">
        <f>IFERROR(__xludf.DUMMYFUNCTION("GOOGLEFINANCE(A35,""high52"")"),5933.5)</f>
        <v>5933.5</v>
      </c>
      <c r="G35" s="45">
        <f>IFERROR(__xludf.DUMMYFUNCTION("to_date(index(sort(GOOGLEFINANCE(A35, ""high"", today()-52*7, today(), ""DAILY""),2,0),2,1))"),46035.64583333333)</f>
        <v>46035.64583</v>
      </c>
      <c r="H35" s="44">
        <f>IFERROR(__xludf.DUMMYFUNCTION("GOOGLEFINANCE(A35,""low52"")"),4716.2)</f>
        <v>4716.2</v>
      </c>
      <c r="I35" s="45">
        <f>IFERROR(__xludf.DUMMYFUNCTION("to_date(index(sort(GOOGLEFINANCE(A35, ""low"", today()-52*7, today(), ""DAILY""),2,1),1,1))"),45848.64583333333)</f>
        <v>45848.64583</v>
      </c>
      <c r="J35" s="46" t="str">
        <f t="shared" si="1"/>
        <v>Do Not Buy Today</v>
      </c>
    </row>
    <row r="36">
      <c r="A36" s="73" t="s">
        <v>260</v>
      </c>
      <c r="B36" s="76">
        <f>IFERROR(__xludf.DUMMYFUNCTION("GOOGLEFINANCE(A36,""price"")"),1780.0)</f>
        <v>1780</v>
      </c>
      <c r="C36" s="77">
        <f>IFERROR(__xludf.DUMMYFUNCTION("GOOGLEFINANCE(A36,""closeyest"")"),1785.4)</f>
        <v>1785.4</v>
      </c>
      <c r="D36" s="61">
        <f>IFERROR(__xludf.DUMMYFUNCTION("MIN(index(GOOGLEFINANCE(A36,""ALL"",TODAY()-180,TODAY()),0,5))*1.2"),1772.88)</f>
        <v>1772.88</v>
      </c>
      <c r="E36" s="62">
        <f>IFERROR(__xludf.DUMMYFUNCTION("AVERAGE(QUERY(SORT(GOOGLEFINANCE(A36,""price"",TODAY()-320,TODAY()),1,0),""select Col2 limit 100""))"),1731.5770000000005)</f>
        <v>1731.577</v>
      </c>
      <c r="F36" s="44">
        <f>IFERROR(__xludf.DUMMYFUNCTION("GOOGLEFINANCE(A36,""high52"")"),1993.0)</f>
        <v>1993</v>
      </c>
      <c r="G36" s="45">
        <f>IFERROR(__xludf.DUMMYFUNCTION("to_date(index(sort(GOOGLEFINANCE(A36, ""high"", today()-52*7, today(), ""DAILY""),2,0),2,1))"),46034.64583333333)</f>
        <v>46034.64583</v>
      </c>
      <c r="H36" s="44">
        <f>IFERROR(__xludf.DUMMYFUNCTION("GOOGLEFINANCE(A36,""low52"")"),1402.5)</f>
        <v>1402.5</v>
      </c>
      <c r="I36" s="45">
        <f>IFERROR(__xludf.DUMMYFUNCTION("to_date(index(sort(GOOGLEFINANCE(A36, ""low"", today()-52*7, today(), ""DAILY""),2,1),1,1))"),45880.64583333333)</f>
        <v>45880.64583</v>
      </c>
      <c r="J36" s="46" t="str">
        <f t="shared" si="1"/>
        <v>Do Not Buy Today</v>
      </c>
    </row>
    <row r="37">
      <c r="A37" s="73" t="s">
        <v>261</v>
      </c>
      <c r="B37" s="76">
        <f>IFERROR(__xludf.DUMMYFUNCTION("GOOGLEFINANCE(A37,""price"")"),2091.7)</f>
        <v>2091.7</v>
      </c>
      <c r="C37" s="77">
        <f>IFERROR(__xludf.DUMMYFUNCTION("GOOGLEFINANCE(A37,""closeyest"")"),2077.1)</f>
        <v>2077.1</v>
      </c>
      <c r="D37" s="61">
        <f>IFERROR(__xludf.DUMMYFUNCTION("MIN(index(GOOGLEFINANCE(A37,""ALL"",TODAY()-180,TODAY()),0,5))*1.2"),2146.44)</f>
        <v>2146.44</v>
      </c>
      <c r="E37" s="62">
        <f>IFERROR(__xludf.DUMMYFUNCTION("AVERAGE(QUERY(SORT(GOOGLEFINANCE(A37,""price"",TODAY()-320,TODAY()),1,0),""select Col2 limit 100""))"),2088.831)</f>
        <v>2088.831</v>
      </c>
      <c r="F37" s="44">
        <f>IFERROR(__xludf.DUMMYFUNCTION("GOOGLEFINANCE(A37,""high52"")"),2519.0)</f>
        <v>2519</v>
      </c>
      <c r="G37" s="45">
        <f>IFERROR(__xludf.DUMMYFUNCTION("to_date(index(sort(GOOGLEFINANCE(A37, ""high"", today()-52*7, today(), ""DAILY""),2,0),2,1))"),45805.64583333333)</f>
        <v>45805.64583</v>
      </c>
      <c r="H37" s="44">
        <f>IFERROR(__xludf.DUMMYFUNCTION("GOOGLEFINANCE(A37,""low52"")"),1782.0)</f>
        <v>1782</v>
      </c>
      <c r="I37" s="45">
        <f>IFERROR(__xludf.DUMMYFUNCTION("to_date(index(sort(GOOGLEFINANCE(A37, ""low"", today()-52*7, today(), ""DAILY""),2,1),1,1))"),46111.64583333333)</f>
        <v>46111.64583</v>
      </c>
      <c r="J37" s="46" t="str">
        <f t="shared" si="1"/>
        <v>Do Not Buy Today</v>
      </c>
    </row>
    <row r="38">
      <c r="A38" s="73" t="s">
        <v>263</v>
      </c>
      <c r="B38" s="76">
        <f>IFERROR(__xludf.DUMMYFUNCTION("GOOGLEFINANCE(A38,""price"")"),2253.3)</f>
        <v>2253.3</v>
      </c>
      <c r="C38" s="77">
        <f>IFERROR(__xludf.DUMMYFUNCTION("GOOGLEFINANCE(A38,""closeyest"")"),2265.3)</f>
        <v>2265.3</v>
      </c>
      <c r="D38" s="61">
        <f>IFERROR(__xludf.DUMMYFUNCTION("MIN(index(GOOGLEFINANCE(A38,""ALL"",TODAY()-180,TODAY()),0,5))*1.2"),2456.88)</f>
        <v>2456.88</v>
      </c>
      <c r="E38" s="62">
        <f>IFERROR(__xludf.DUMMYFUNCTION("AVERAGE(QUERY(SORT(GOOGLEFINANCE(A38,""price"",TODAY()-320,TODAY()),1,0),""select Col2 limit 100""))"),2422.014000000001)</f>
        <v>2422.014</v>
      </c>
      <c r="F38" s="44">
        <f>IFERROR(__xludf.DUMMYFUNCTION("GOOGLEFINANCE(A38,""high52"")"),3037.2)</f>
        <v>3037.2</v>
      </c>
      <c r="G38" s="45">
        <f>IFERROR(__xludf.DUMMYFUNCTION("to_date(index(sort(GOOGLEFINANCE(A38, ""high"", today()-52*7, today(), ""DAILY""),2,0),2,1))"),45918.64583333333)</f>
        <v>45918.64583</v>
      </c>
      <c r="H38" s="44">
        <f>IFERROR(__xludf.DUMMYFUNCTION("GOOGLEFINANCE(A38,""low52"")"),2013.0)</f>
        <v>2013</v>
      </c>
      <c r="I38" s="45">
        <f>IFERROR(__xludf.DUMMYFUNCTION("to_date(index(sort(GOOGLEFINANCE(A38, ""low"", today()-52*7, today(), ""DAILY""),2,1),1,1))"),46111.64583333333)</f>
        <v>46111.64583</v>
      </c>
      <c r="J38" s="46" t="str">
        <f t="shared" si="1"/>
        <v>Do Not Buy Today</v>
      </c>
    </row>
    <row r="39">
      <c r="A39" s="73" t="s">
        <v>265</v>
      </c>
      <c r="B39" s="76">
        <f>IFERROR(__xludf.DUMMYFUNCTION("GOOGLEFINANCE(A39,""price"")"),160.76)</f>
        <v>160.76</v>
      </c>
      <c r="C39" s="77">
        <f>IFERROR(__xludf.DUMMYFUNCTION("GOOGLEFINANCE(A39,""closeyest"")"),160.54)</f>
        <v>160.54</v>
      </c>
      <c r="D39" s="61">
        <f>IFERROR(__xludf.DUMMYFUNCTION("MIN(index(GOOGLEFINANCE(A39,""ALL"",TODAY()-180,TODAY()),0,5))*1.2"),178.128)</f>
        <v>178.128</v>
      </c>
      <c r="E39" s="62">
        <f>IFERROR(__xludf.DUMMYFUNCTION("AVERAGE(QUERY(SORT(GOOGLEFINANCE(A39,""price"",TODAY()-320,TODAY()),1,0),""select Col2 limit 100""))"),180.5698)</f>
        <v>180.5698</v>
      </c>
      <c r="F39" s="44">
        <f>IFERROR(__xludf.DUMMYFUNCTION("GOOGLEFINANCE(A39,""high52"")"),215.42)</f>
        <v>215.42</v>
      </c>
      <c r="G39" s="45">
        <f>IFERROR(__xludf.DUMMYFUNCTION("to_date(index(sort(GOOGLEFINANCE(A39, ""high"", today()-52*7, today(), ""DAILY""),2,0),2,1))"),46064.64583333333)</f>
        <v>46064.64583</v>
      </c>
      <c r="H39" s="44">
        <f>IFERROR(__xludf.DUMMYFUNCTION("GOOGLEFINANCE(A39,""low52"")"),114.96)</f>
        <v>114.96</v>
      </c>
      <c r="I39" s="45">
        <f>IFERROR(__xludf.DUMMYFUNCTION("to_date(index(sort(GOOGLEFINANCE(A39, ""low"", today()-52*7, today(), ""DAILY""),2,1),1,1))"),45880.64583333333)</f>
        <v>45880.64583</v>
      </c>
      <c r="J39" s="46" t="str">
        <f t="shared" si="1"/>
        <v>Do Not Buy Today</v>
      </c>
    </row>
    <row r="40">
      <c r="A40" s="73" t="s">
        <v>266</v>
      </c>
      <c r="B40" s="76">
        <f>IFERROR(__xludf.DUMMYFUNCTION("GOOGLEFINANCE(A40,""price"")"),277.85)</f>
        <v>277.85</v>
      </c>
      <c r="C40" s="77">
        <f>IFERROR(__xludf.DUMMYFUNCTION("GOOGLEFINANCE(A40,""closeyest"")"),280.2)</f>
        <v>280.2</v>
      </c>
      <c r="D40" s="61">
        <f>IFERROR(__xludf.DUMMYFUNCTION("MIN(index(GOOGLEFINANCE(A40,""ALL"",TODAY()-180,TODAY()),0,5))*1.2"),285.66)</f>
        <v>285.66</v>
      </c>
      <c r="E40" s="62">
        <f>IFERROR(__xludf.DUMMYFUNCTION("AVERAGE(QUERY(SORT(GOOGLEFINANCE(A40,""price"",TODAY()-320,TODAY()),1,0),""select Col2 limit 100""))"),281.80740000000003)</f>
        <v>281.8074</v>
      </c>
      <c r="F40" s="44">
        <f>IFERROR(__xludf.DUMMYFUNCTION("GOOGLEFINANCE(A40,""high52"")"),326.4)</f>
        <v>326.4</v>
      </c>
      <c r="G40" s="45">
        <f>IFERROR(__xludf.DUMMYFUNCTION("to_date(index(sort(GOOGLEFINANCE(A40, ""high"", today()-52*7, today(), ""DAILY""),2,0),2,1))"),46080.64583333333)</f>
        <v>46080.64583</v>
      </c>
      <c r="H40" s="44">
        <f>IFERROR(__xludf.DUMMYFUNCTION("GOOGLEFINANCE(A40,""low52"")"),235.35)</f>
        <v>235.35</v>
      </c>
      <c r="I40" s="45">
        <f>IFERROR(__xludf.DUMMYFUNCTION("to_date(index(sort(GOOGLEFINANCE(A40, ""low"", today()-52*7, today(), ""DAILY""),2,1),1,1))"),46104.64583333333)</f>
        <v>46104.64583</v>
      </c>
      <c r="J40" s="46" t="str">
        <f t="shared" si="1"/>
        <v>Do Not Buy Today</v>
      </c>
    </row>
    <row r="41">
      <c r="A41" s="73" t="s">
        <v>268</v>
      </c>
      <c r="B41" s="76">
        <f>IFERROR(__xludf.DUMMYFUNCTION("GOOGLEFINANCE(A41,""price"")"),2745.1)</f>
        <v>2745.1</v>
      </c>
      <c r="C41" s="77">
        <f>IFERROR(__xludf.DUMMYFUNCTION("GOOGLEFINANCE(A41,""closeyest"")"),2749.7)</f>
        <v>2749.7</v>
      </c>
      <c r="D41" s="61">
        <f>IFERROR(__xludf.DUMMYFUNCTION("MIN(index(GOOGLEFINANCE(A41,""ALL"",TODAY()-180,TODAY()),0,5))*1.2"),2869.7999999999997)</f>
        <v>2869.8</v>
      </c>
      <c r="E41" s="62">
        <f>IFERROR(__xludf.DUMMYFUNCTION("AVERAGE(QUERY(SORT(GOOGLEFINANCE(A41,""price"",TODAY()-320,TODAY()),1,0),""select Col2 limit 100""))"),2697.4720000000007)</f>
        <v>2697.472</v>
      </c>
      <c r="F41" s="44">
        <f>IFERROR(__xludf.DUMMYFUNCTION("GOOGLEFINANCE(A41,""high52"")"),3325.0)</f>
        <v>3325</v>
      </c>
      <c r="G41" s="45">
        <f>IFERROR(__xludf.DUMMYFUNCTION("to_date(index(sort(GOOGLEFINANCE(A41, ""high"", today()-52*7, today(), ""DAILY""),2,0),2,1))"),45848.64583333333)</f>
        <v>45848.64583</v>
      </c>
      <c r="H41" s="44">
        <f>IFERROR(__xludf.DUMMYFUNCTION("GOOGLEFINANCE(A41,""low52"")"),2355.0)</f>
        <v>2355</v>
      </c>
      <c r="I41" s="45">
        <f>IFERROR(__xludf.DUMMYFUNCTION("to_date(index(sort(GOOGLEFINANCE(A41, ""low"", today()-52*7, today(), ""DAILY""),2,1),1,1))"),46118.64583333333)</f>
        <v>46118.64583</v>
      </c>
      <c r="J41" s="46" t="str">
        <f t="shared" si="1"/>
        <v>Do Not Buy Today</v>
      </c>
    </row>
    <row r="42">
      <c r="A42" s="73" t="s">
        <v>269</v>
      </c>
      <c r="B42" s="76">
        <f>IFERROR(__xludf.DUMMYFUNCTION("GOOGLEFINANCE(A42,""price"")"),438.25)</f>
        <v>438.25</v>
      </c>
      <c r="C42" s="77">
        <f>IFERROR(__xludf.DUMMYFUNCTION("GOOGLEFINANCE(A42,""closeyest"")"),433.25)</f>
        <v>433.25</v>
      </c>
      <c r="D42" s="61">
        <f>IFERROR(__xludf.DUMMYFUNCTION("MIN(index(GOOGLEFINANCE(A42,""ALL"",TODAY()-180,TODAY()),0,5))*1.2"),475.92)</f>
        <v>475.92</v>
      </c>
      <c r="E42" s="62">
        <f>IFERROR(__xludf.DUMMYFUNCTION("AVERAGE(QUERY(SORT(GOOGLEFINANCE(A42,""price"",TODAY()-320,TODAY()),1,0),""select Col2 limit 100""))"),432.3500000000002)</f>
        <v>432.35</v>
      </c>
      <c r="F42" s="44">
        <f>IFERROR(__xludf.DUMMYFUNCTION("GOOGLEFINANCE(A42,""high52"")"),481.5)</f>
        <v>481.5</v>
      </c>
      <c r="G42" s="45">
        <f>IFERROR(__xludf.DUMMYFUNCTION("to_date(index(sort(GOOGLEFINANCE(A42, ""high"", today()-52*7, today(), ""DAILY""),2,0),2,1))"),46072.64583333333)</f>
        <v>46072.64583</v>
      </c>
      <c r="H42" s="44">
        <f>IFERROR(__xludf.DUMMYFUNCTION("GOOGLEFINANCE(A42,""low52"")"),312.55)</f>
        <v>312.55</v>
      </c>
      <c r="I42" s="45">
        <f>IFERROR(__xludf.DUMMYFUNCTION("to_date(index(sort(GOOGLEFINANCE(A42, ""low"", today()-52*7, today(), ""DAILY""),2,1),1,1))"),45903.64583333333)</f>
        <v>45903.64583</v>
      </c>
      <c r="J42" s="46" t="str">
        <f t="shared" si="1"/>
        <v>Do Not Buy Today</v>
      </c>
    </row>
    <row r="43">
      <c r="A43" s="73" t="s">
        <v>271</v>
      </c>
      <c r="B43" s="76">
        <f>IFERROR(__xludf.DUMMYFUNCTION("GOOGLEFINANCE(A43,""price"")"),3336.0)</f>
        <v>3336</v>
      </c>
      <c r="C43" s="77">
        <f>IFERROR(__xludf.DUMMYFUNCTION("GOOGLEFINANCE(A43,""closeyest"")"),3331.5)</f>
        <v>3331.5</v>
      </c>
      <c r="D43" s="61">
        <f>IFERROR(__xludf.DUMMYFUNCTION("MIN(index(GOOGLEFINANCE(A43,""ALL"",TODAY()-180,TODAY()),0,5))*1.2"),3738.72)</f>
        <v>3738.72</v>
      </c>
      <c r="E43" s="62">
        <f>IFERROR(__xludf.DUMMYFUNCTION("AVERAGE(QUERY(SORT(GOOGLEFINANCE(A43,""price"",TODAY()-320,TODAY()),1,0),""select Col2 limit 100""))"),3550.6469999999995)</f>
        <v>3550.647</v>
      </c>
      <c r="F43" s="44">
        <f>IFERROR(__xludf.DUMMYFUNCTION("GOOGLEFINANCE(A43,""high52"")"),4149.5)</f>
        <v>4149.5</v>
      </c>
      <c r="G43" s="45">
        <f>IFERROR(__xludf.DUMMYFUNCTION("to_date(index(sort(GOOGLEFINANCE(A43, ""high"", today()-52*7, today(), ""DAILY""),2,0),2,1))"),46051.64583333333)</f>
        <v>46051.64583</v>
      </c>
      <c r="H43" s="44">
        <f>IFERROR(__xludf.DUMMYFUNCTION("GOOGLEFINANCE(A43,""low52"")"),2058.5)</f>
        <v>2058.5</v>
      </c>
      <c r="I43" s="45">
        <f>IFERROR(__xludf.DUMMYFUNCTION("to_date(index(sort(GOOGLEFINANCE(A43, ""low"", today()-52*7, today(), ""DAILY""),2,1),1,1))"),45806.64583333333)</f>
        <v>45806.64583</v>
      </c>
      <c r="J43" s="46" t="str">
        <f t="shared" si="1"/>
        <v>Do Not Buy Today</v>
      </c>
    </row>
    <row r="44">
      <c r="A44" s="73" t="s">
        <v>283</v>
      </c>
      <c r="B44" s="76">
        <f>IFERROR(__xludf.DUMMYFUNCTION("GOOGLEFINANCE(A44,""price"")"),1264.0)</f>
        <v>1264</v>
      </c>
      <c r="C44" s="77">
        <f>IFERROR(__xludf.DUMMYFUNCTION("GOOGLEFINANCE(A44,""closeyest"")"),1271.4)</f>
        <v>1271.4</v>
      </c>
      <c r="D44" s="61">
        <f>IFERROR(__xludf.DUMMYFUNCTION("MIN(index(GOOGLEFINANCE(A44,""ALL"",TODAY()-180,TODAY()),0,5))*1.2"),1464.24)</f>
        <v>1464.24</v>
      </c>
      <c r="E44" s="62">
        <f>IFERROR(__xludf.DUMMYFUNCTION("AVERAGE(QUERY(SORT(GOOGLEFINANCE(A44,""price"",TODAY()-320,TODAY()),1,0),""select Col2 limit 100""))"),1397.91)</f>
        <v>1397.91</v>
      </c>
      <c r="F44" s="44">
        <f>IFERROR(__xludf.DUMMYFUNCTION("GOOGLEFINANCE(A44,""high52"")"),1582.5)</f>
        <v>1582.5</v>
      </c>
      <c r="G44" s="45">
        <f>IFERROR(__xludf.DUMMYFUNCTION("to_date(index(sort(GOOGLEFINANCE(A44, ""high"", today()-52*7, today(), ""DAILY""),2,0),2,1))"),46080.64583333333)</f>
        <v>46080.64583</v>
      </c>
      <c r="H44" s="44">
        <f>IFERROR(__xludf.DUMMYFUNCTION("GOOGLEFINANCE(A44,""low52"")"),1186.8)</f>
        <v>1186.8</v>
      </c>
      <c r="I44" s="45">
        <f>IFERROR(__xludf.DUMMYFUNCTION("to_date(index(sort(GOOGLEFINANCE(A44, ""low"", today()-52*7, today(), ""DAILY""),2,1),1,1))"),46114.64583333333)</f>
        <v>46114.64583</v>
      </c>
      <c r="J44" s="46" t="str">
        <f t="shared" si="1"/>
        <v>Do Not Buy Today</v>
      </c>
    </row>
    <row r="45">
      <c r="A45" s="73" t="s">
        <v>287</v>
      </c>
      <c r="B45" s="76">
        <f>IFERROR(__xludf.DUMMYFUNCTION("GOOGLEFINANCE(A45,""price"")"),38060.0)</f>
        <v>38060</v>
      </c>
      <c r="C45" s="77">
        <f>IFERROR(__xludf.DUMMYFUNCTION("GOOGLEFINANCE(A45,""closeyest"")"),38305.0)</f>
        <v>38305</v>
      </c>
      <c r="D45" s="61">
        <f>IFERROR(__xludf.DUMMYFUNCTION("MIN(index(GOOGLEFINANCE(A45,""ALL"",TODAY()-180,TODAY()),0,5))*1.2"),36240.0)</f>
        <v>36240</v>
      </c>
      <c r="E45" s="62">
        <f>IFERROR(__xludf.DUMMYFUNCTION("AVERAGE(QUERY(SORT(GOOGLEFINANCE(A45,""price"",TODAY()-320,TODAY()),1,0),""select Col2 limit 100""))"),34599.45)</f>
        <v>34599.45</v>
      </c>
      <c r="F45" s="44">
        <f>IFERROR(__xludf.DUMMYFUNCTION("GOOGLEFINANCE(A45,""high52"")"),50590.0)</f>
        <v>50590</v>
      </c>
      <c r="G45" s="45">
        <f>IFERROR(__xludf.DUMMYFUNCTION("to_date(index(sort(GOOGLEFINANCE(A45, ""high"", today()-52*7, today(), ""DAILY""),2,0),2,1))"),45835.64583333333)</f>
        <v>45835.64583</v>
      </c>
      <c r="H45" s="44">
        <f>IFERROR(__xludf.DUMMYFUNCTION("GOOGLEFINANCE(A45,""low52"")"),29805.0)</f>
        <v>29805</v>
      </c>
      <c r="I45" s="45">
        <f>IFERROR(__xludf.DUMMYFUNCTION("to_date(index(sort(GOOGLEFINANCE(A45, ""low"", today()-52*7, today(), ""DAILY""),2,1),1,1))"),46097.64583333333)</f>
        <v>46097.64583</v>
      </c>
      <c r="J45" s="46" t="str">
        <f t="shared" si="1"/>
        <v>Do Not Buy Today</v>
      </c>
    </row>
    <row r="46">
      <c r="A46" s="73" t="s">
        <v>288</v>
      </c>
      <c r="B46" s="76">
        <f>IFERROR(__xludf.DUMMYFUNCTION("GOOGLEFINANCE(A46,""price"")"),11832.0)</f>
        <v>11832</v>
      </c>
      <c r="C46" s="77">
        <f>IFERROR(__xludf.DUMMYFUNCTION("GOOGLEFINANCE(A46,""closeyest"")"),11673.0)</f>
        <v>11673</v>
      </c>
      <c r="D46" s="61">
        <f>IFERROR(__xludf.DUMMYFUNCTION("MIN(index(GOOGLEFINANCE(A46,""ALL"",TODAY()-180,TODAY()),0,5))*1.2"),11607.6)</f>
        <v>11607.6</v>
      </c>
      <c r="E46" s="62">
        <f>IFERROR(__xludf.DUMMYFUNCTION("AVERAGE(QUERY(SORT(GOOGLEFINANCE(A46,""price"",TODAY()-320,TODAY()),1,0),""select Col2 limit 100""))"),10980.5)</f>
        <v>10980.5</v>
      </c>
      <c r="F46" s="44">
        <f>IFERROR(__xludf.DUMMYFUNCTION("GOOGLEFINANCE(A46,""high52"")"),18471.0)</f>
        <v>18471</v>
      </c>
      <c r="G46" s="45">
        <f>IFERROR(__xludf.DUMMYFUNCTION("to_date(index(sort(GOOGLEFINANCE(A46, ""high"", today()-52*7, today(), ""DAILY""),2,0),2,1))"),45925.64583333333)</f>
        <v>45925.64583</v>
      </c>
      <c r="H46" s="44">
        <f>IFERROR(__xludf.DUMMYFUNCTION("GOOGLEFINANCE(A46,""low52"")"),9600.0)</f>
        <v>9600</v>
      </c>
      <c r="I46" s="45">
        <f>IFERROR(__xludf.DUMMYFUNCTION("to_date(index(sort(GOOGLEFINANCE(A46, ""low"", today()-52*7, today(), ""DAILY""),2,1),1,1))"),46129.64583333333)</f>
        <v>46129.64583</v>
      </c>
      <c r="J46" s="46" t="str">
        <f t="shared" si="1"/>
        <v>Do Not Buy Today</v>
      </c>
    </row>
    <row r="47">
      <c r="A47" s="73" t="s">
        <v>289</v>
      </c>
      <c r="B47" s="76">
        <f>IFERROR(__xludf.DUMMYFUNCTION("GOOGLEFINANCE(A47,""price"")"),9603.0)</f>
        <v>9603</v>
      </c>
      <c r="C47" s="77">
        <f>IFERROR(__xludf.DUMMYFUNCTION("GOOGLEFINANCE(A47,""closeyest"")"),9613.5)</f>
        <v>9613.5</v>
      </c>
      <c r="D47" s="61">
        <f>IFERROR(__xludf.DUMMYFUNCTION("MIN(index(GOOGLEFINANCE(A47,""ALL"",TODAY()-180,TODAY()),0,5))*1.2"),8066.4)</f>
        <v>8066.4</v>
      </c>
      <c r="E47" s="62">
        <f>IFERROR(__xludf.DUMMYFUNCTION("AVERAGE(QUERY(SORT(GOOGLEFINANCE(A47,""price"",TODAY()-320,TODAY()),1,0),""select Col2 limit 100""))"),7851.46)</f>
        <v>7851.46</v>
      </c>
      <c r="F47" s="44">
        <f>IFERROR(__xludf.DUMMYFUNCTION("GOOGLEFINANCE(A47,""high52"")"),9692.0)</f>
        <v>9692</v>
      </c>
      <c r="G47" s="45">
        <f>IFERROR(__xludf.DUMMYFUNCTION("to_date(index(sort(GOOGLEFINANCE(A47, ""high"", today()-52*7, today(), ""DAILY""),2,0),2,1))"),46168.64583333333)</f>
        <v>46168.64583</v>
      </c>
      <c r="H47" s="44">
        <f>IFERROR(__xludf.DUMMYFUNCTION("GOOGLEFINANCE(A47,""low52"")"),5760.0)</f>
        <v>5760</v>
      </c>
      <c r="I47" s="45">
        <f>IFERROR(__xludf.DUMMYFUNCTION("to_date(index(sort(GOOGLEFINANCE(A47, ""low"", today()-52*7, today(), ""DAILY""),2,1),1,1))"),45821.64583333333)</f>
        <v>45821.64583</v>
      </c>
      <c r="J47" s="46" t="str">
        <f t="shared" si="1"/>
        <v>Do Not Buy Today</v>
      </c>
    </row>
    <row r="48">
      <c r="A48" s="73" t="s">
        <v>290</v>
      </c>
      <c r="B48" s="76">
        <f>IFERROR(__xludf.DUMMYFUNCTION("GOOGLEFINANCE(A48,""price"")"),5515.0)</f>
        <v>5515</v>
      </c>
      <c r="C48" s="77">
        <f>IFERROR(__xludf.DUMMYFUNCTION("GOOGLEFINANCE(A48,""closeyest"")"),5418.5)</f>
        <v>5418.5</v>
      </c>
      <c r="D48" s="61">
        <f>IFERROR(__xludf.DUMMYFUNCTION("MIN(index(GOOGLEFINANCE(A48,""ALL"",TODAY()-180,TODAY()),0,5))*1.2"),4713.96)</f>
        <v>4713.96</v>
      </c>
      <c r="E48" s="62">
        <f>IFERROR(__xludf.DUMMYFUNCTION("AVERAGE(QUERY(SORT(GOOGLEFINANCE(A48,""price"",TODAY()-320,TODAY()),1,0),""select Col2 limit 100""))"),4697.902000000001)</f>
        <v>4697.902</v>
      </c>
      <c r="F48" s="44">
        <f>IFERROR(__xludf.DUMMYFUNCTION("GOOGLEFINANCE(A48,""high52"")"),5539.0)</f>
        <v>5539</v>
      </c>
      <c r="G48" s="45">
        <f>IFERROR(__xludf.DUMMYFUNCTION("to_date(index(sort(GOOGLEFINANCE(A48, ""high"", today()-52*7, today(), ""DAILY""),2,0),2,1))"),46150.64583333333)</f>
        <v>46150.64583</v>
      </c>
      <c r="H48" s="44">
        <f>IFERROR(__xludf.DUMMYFUNCTION("GOOGLEFINANCE(A48,""low52"")"),2921.1)</f>
        <v>2921.1</v>
      </c>
      <c r="I48" s="45">
        <f>IFERROR(__xludf.DUMMYFUNCTION("to_date(index(sort(GOOGLEFINANCE(A48, ""low"", today()-52*7, today(), ""DAILY""),2,1),1,1))"),46085.64583333333)</f>
        <v>46085.64583</v>
      </c>
      <c r="J48" s="46" t="str">
        <f t="shared" si="1"/>
        <v>Do Not Buy Today</v>
      </c>
    </row>
    <row r="49">
      <c r="A49" s="73" t="s">
        <v>301</v>
      </c>
      <c r="B49" s="76">
        <f>IFERROR(__xludf.DUMMYFUNCTION("GOOGLEFINANCE(A49,""price"")"),80.57)</f>
        <v>80.57</v>
      </c>
      <c r="C49" s="77">
        <f>IFERROR(__xludf.DUMMYFUNCTION("GOOGLEFINANCE(A49,""closeyest"")"),78.44)</f>
        <v>78.44</v>
      </c>
      <c r="D49" s="61">
        <f>IFERROR(__xludf.DUMMYFUNCTION("MIN(index(GOOGLEFINANCE(A49,""ALL"",TODAY()-180,TODAY()),0,5))*1.2"),86.676)</f>
        <v>86.676</v>
      </c>
      <c r="E49" s="62">
        <f>IFERROR(__xludf.DUMMYFUNCTION("AVERAGE(QUERY(SORT(GOOGLEFINANCE(A49,""price"",TODAY()-320,TODAY()),1,0),""select Col2 limit 100""))"),78.31269999999999)</f>
        <v>78.3127</v>
      </c>
      <c r="F49" s="44">
        <f>IFERROR(__xludf.DUMMYFUNCTION("GOOGLEFINANCE(A49,""high52"")"),92.34)</f>
        <v>92.34</v>
      </c>
      <c r="G49" s="45">
        <f>IFERROR(__xludf.DUMMYFUNCTION("to_date(index(sort(GOOGLEFINANCE(A49, ""high"", today()-52*7, today(), ""DAILY""),2,0),2,1))"),45817.64583333333)</f>
        <v>45817.64583</v>
      </c>
      <c r="H49" s="44">
        <f>IFERROR(__xludf.DUMMYFUNCTION("GOOGLEFINANCE(A49,""low52"")"),71.62)</f>
        <v>71.62</v>
      </c>
      <c r="I49" s="45">
        <f>IFERROR(__xludf.DUMMYFUNCTION("to_date(index(sort(GOOGLEFINANCE(A49, ""low"", today()-52*7, today(), ""DAILY""),2,1),1,1))"),46085.64583333333)</f>
        <v>46085.64583</v>
      </c>
      <c r="J49" s="46" t="str">
        <f t="shared" si="1"/>
        <v>Do Not Buy Today</v>
      </c>
    </row>
    <row r="50">
      <c r="A50" s="73" t="s">
        <v>302</v>
      </c>
      <c r="B50" s="76">
        <f>IFERROR(__xludf.DUMMYFUNCTION("GOOGLEFINANCE(A50,""price"")"),473.65)</f>
        <v>473.65</v>
      </c>
      <c r="C50" s="77">
        <f>IFERROR(__xludf.DUMMYFUNCTION("GOOGLEFINANCE(A50,""closeyest"")"),475.9)</f>
        <v>475.9</v>
      </c>
      <c r="D50" s="61">
        <f>IFERROR(__xludf.DUMMYFUNCTION("MIN(index(GOOGLEFINANCE(A50,""ALL"",TODAY()-180,TODAY()),0,5))*1.2"),508.5)</f>
        <v>508.5</v>
      </c>
      <c r="E50" s="62">
        <f>IFERROR(__xludf.DUMMYFUNCTION("AVERAGE(QUERY(SORT(GOOGLEFINANCE(A50,""price"",TODAY()-320,TODAY()),1,0),""select Col2 limit 100""))"),496.5335)</f>
        <v>496.5335</v>
      </c>
      <c r="F50" s="44">
        <f>IFERROR(__xludf.DUMMYFUNCTION("GOOGLEFINANCE(A50,""high52"")"),652.04)</f>
        <v>652.04</v>
      </c>
      <c r="G50" s="45">
        <f>IFERROR(__xludf.DUMMYFUNCTION("to_date(index(sort(GOOGLEFINANCE(A50, ""high"", today()-52*7, today(), ""DAILY""),2,0),2,1))"),45813.64583333333)</f>
        <v>45813.64583</v>
      </c>
      <c r="H50" s="44">
        <f>IFERROR(__xludf.DUMMYFUNCTION("GOOGLEFINANCE(A50,""low52"")"),421.45)</f>
        <v>421.45</v>
      </c>
      <c r="I50" s="45">
        <f>IFERROR(__xludf.DUMMYFUNCTION("to_date(index(sort(GOOGLEFINANCE(A50, ""low"", today()-52*7, today(), ""DAILY""),2,1),1,1))"),46104.64583333333)</f>
        <v>46104.64583</v>
      </c>
      <c r="J50" s="46" t="str">
        <f t="shared" si="1"/>
        <v>Do Not Buy Today</v>
      </c>
    </row>
    <row r="51">
      <c r="A51" s="73" t="s">
        <v>303</v>
      </c>
      <c r="B51" s="76">
        <f>IFERROR(__xludf.DUMMYFUNCTION("GOOGLEFINANCE(A51,""price"")"),97.08)</f>
        <v>97.08</v>
      </c>
      <c r="C51" s="77">
        <f>IFERROR(__xludf.DUMMYFUNCTION("GOOGLEFINANCE(A51,""closeyest"")"),96.23)</f>
        <v>96.23</v>
      </c>
      <c r="D51" s="61">
        <f>IFERROR(__xludf.DUMMYFUNCTION("MIN(index(GOOGLEFINANCE(A51,""ALL"",TODAY()-180,TODAY()),0,5))*1.2"),101.7)</f>
        <v>101.7</v>
      </c>
      <c r="E51" s="62">
        <f>IFERROR(__xludf.DUMMYFUNCTION("AVERAGE(QUERY(SORT(GOOGLEFINANCE(A51,""price"",TODAY()-320,TODAY()),1,0),""select Col2 limit 100""))"),96.53330000000005)</f>
        <v>96.5333</v>
      </c>
      <c r="F51" s="44">
        <f>IFERROR(__xludf.DUMMYFUNCTION("GOOGLEFINANCE(A51,""high52"")"),110.36)</f>
        <v>110.36</v>
      </c>
      <c r="G51" s="45">
        <f>IFERROR(__xludf.DUMMYFUNCTION("to_date(index(sort(GOOGLEFINANCE(A51, ""high"", today()-52*7, today(), ""DAILY""),2,0),2,1))"),45993.64583333333)</f>
        <v>45993.64583</v>
      </c>
      <c r="H51" s="44">
        <f>IFERROR(__xludf.DUMMYFUNCTION("GOOGLEFINANCE(A51,""low52"")"),79.92)</f>
        <v>79.92</v>
      </c>
      <c r="I51" s="45">
        <f>IFERROR(__xludf.DUMMYFUNCTION("to_date(index(sort(GOOGLEFINANCE(A51, ""low"", today()-52*7, today(), ""DAILY""),2,1),1,1))"),45821.64583333333)</f>
        <v>45821.64583</v>
      </c>
      <c r="J51" s="46" t="str">
        <f t="shared" si="1"/>
        <v>Do Not Buy Today</v>
      </c>
    </row>
  </sheetData>
  <conditionalFormatting sqref="J1:J51">
    <cfRule type="cellIs" dxfId="0" priority="1" operator="equal">
      <formula>"Buy Today"</formula>
    </cfRule>
  </conditionalFormatting>
  <conditionalFormatting sqref="P1 V1 AB1">
    <cfRule type="cellIs" dxfId="1" priority="2" operator="equal">
      <formula>"Buy Today"</formula>
    </cfRule>
  </conditionalFormatting>
  <conditionalFormatting sqref="J1:J1001">
    <cfRule type="cellIs" dxfId="1" priority="3" operator="equal">
      <formula>"Buy Today"</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 max="1" width="17.63"/>
    <col customWidth="1" min="10" max="10" width="15.63"/>
  </cols>
  <sheetData>
    <row r="1">
      <c r="A1" s="71" t="s">
        <v>101</v>
      </c>
      <c r="B1" s="72" t="s">
        <v>21</v>
      </c>
      <c r="C1" s="72" t="s">
        <v>22</v>
      </c>
      <c r="D1" s="57" t="s">
        <v>23</v>
      </c>
      <c r="E1" s="72" t="s">
        <v>24</v>
      </c>
      <c r="F1" s="35" t="s">
        <v>25</v>
      </c>
      <c r="G1" s="36" t="s">
        <v>26</v>
      </c>
      <c r="H1" s="35" t="s">
        <v>27</v>
      </c>
      <c r="I1" s="35" t="s">
        <v>28</v>
      </c>
      <c r="J1" s="34" t="s">
        <v>29</v>
      </c>
    </row>
    <row r="2">
      <c r="A2" s="73" t="s">
        <v>310</v>
      </c>
      <c r="B2" s="59">
        <f>IFERROR(__xludf.DUMMYFUNCTION("GOOGLEFINANCE(A2,""price"")"),402.0)</f>
        <v>402</v>
      </c>
      <c r="C2" s="60">
        <f>IFERROR(__xludf.DUMMYFUNCTION("GOOGLEFINANCE(A2,""closeyest"")"),396.0)</f>
        <v>396</v>
      </c>
      <c r="D2" s="61">
        <f>IFERROR(__xludf.DUMMYFUNCTION("MIN(index(GOOGLEFINANCE(A2,""ALL"",TODAY()-180,TODAY()),0,5))*1.2"),307.56)</f>
        <v>307.56</v>
      </c>
      <c r="E2" s="62">
        <f>IFERROR(__xludf.DUMMYFUNCTION("AVERAGE(QUERY(SORT(GOOGLEFINANCE(A2,""price"",TODAY()-320,TODAY()),1,0),""select Col2 limit 100""))"),309.11899999999997)</f>
        <v>309.119</v>
      </c>
      <c r="F2" s="44">
        <f>IFERROR(__xludf.DUMMYFUNCTION("GOOGLEFINANCE(A2,""high52"")"),410.55)</f>
        <v>410.55</v>
      </c>
      <c r="G2" s="45">
        <f>IFERROR(__xludf.DUMMYFUNCTION("to_date(index(sort(GOOGLEFINANCE(A2, ""high"", today()-52*7, today(), ""DAILY""),2,0),2,1))"),46164.64583333333)</f>
        <v>46164.64583</v>
      </c>
      <c r="H2" s="44">
        <f>IFERROR(__xludf.DUMMYFUNCTION("GOOGLEFINANCE(A2,""low52"")"),248.4)</f>
        <v>248.4</v>
      </c>
      <c r="I2" s="45">
        <f>IFERROR(__xludf.DUMMYFUNCTION("to_date(index(sort(GOOGLEFINANCE(A2, ""low"", today()-52*7, today(), ""DAILY""),2,1),1,1))"),46002.64583333333)</f>
        <v>46002.64583</v>
      </c>
      <c r="J2" s="46" t="str">
        <f t="shared" ref="J2:J401" si="1">if(AND(B2&gt;E2,B2&gt;D2,C2&lt;E2, I2&gt;G2),"Buy Today","Do Not Buy Today")</f>
        <v>Do Not Buy Today</v>
      </c>
    </row>
    <row r="3">
      <c r="A3" s="73" t="s">
        <v>311</v>
      </c>
      <c r="B3" s="59">
        <f>IFERROR(__xludf.DUMMYFUNCTION("GOOGLEFINANCE(A3,""price"")"),27.9)</f>
        <v>27.9</v>
      </c>
      <c r="C3" s="60">
        <f>IFERROR(__xludf.DUMMYFUNCTION("GOOGLEFINANCE(A3,""closeyest"")"),26.69)</f>
        <v>26.69</v>
      </c>
      <c r="D3" s="61">
        <f>IFERROR(__xludf.DUMMYFUNCTION("MIN(index(GOOGLEFINANCE(A3,""ALL"",TODAY()-180,TODAY()),0,5))*1.2"),24.432)</f>
        <v>24.432</v>
      </c>
      <c r="E3" s="62">
        <f>IFERROR(__xludf.DUMMYFUNCTION("AVERAGE(QUERY(SORT(GOOGLEFINANCE(A3,""price"",TODAY()-320,TODAY()),1,0),""select Col2 limit 100""))"),27.525599999999994)</f>
        <v>27.5256</v>
      </c>
      <c r="F3" s="44">
        <f>IFERROR(__xludf.DUMMYFUNCTION("GOOGLEFINANCE(A3,""high52"")"),76.49)</f>
        <v>76.49</v>
      </c>
      <c r="G3" s="45">
        <f>IFERROR(__xludf.DUMMYFUNCTION("to_date(index(sort(GOOGLEFINANCE(A3, ""high"", today()-52*7, today(), ""DAILY""),2,0),2,1))"),45819.64583333333)</f>
        <v>45819.64583</v>
      </c>
      <c r="H3" s="44">
        <f>IFERROR(__xludf.DUMMYFUNCTION("GOOGLEFINANCE(A3,""low52"")"),20.17)</f>
        <v>20.17</v>
      </c>
      <c r="I3" s="45">
        <f>IFERROR(__xludf.DUMMYFUNCTION("to_date(index(sort(GOOGLEFINANCE(A3, ""low"", today()-52*7, today(), ""DAILY""),2,1),1,1))"),46111.64583333333)</f>
        <v>46111.64583</v>
      </c>
      <c r="J3" s="46" t="str">
        <f t="shared" si="1"/>
        <v>Buy Today</v>
      </c>
    </row>
    <row r="4">
      <c r="A4" s="73" t="s">
        <v>312</v>
      </c>
      <c r="B4" s="59">
        <f>IFERROR(__xludf.DUMMYFUNCTION("GOOGLEFINANCE(A4,""price"")"),66.87)</f>
        <v>66.87</v>
      </c>
      <c r="C4" s="60">
        <f>IFERROR(__xludf.DUMMYFUNCTION("GOOGLEFINANCE(A4,""closeyest"")"),64.4)</f>
        <v>64.4</v>
      </c>
      <c r="D4" s="61">
        <f>IFERROR(__xludf.DUMMYFUNCTION("MIN(index(GOOGLEFINANCE(A4,""ALL"",TODAY()-180,TODAY()),0,5))*1.2"),56.172000000000004)</f>
        <v>56.172</v>
      </c>
      <c r="E4" s="62">
        <f>IFERROR(__xludf.DUMMYFUNCTION("AVERAGE(QUERY(SORT(GOOGLEFINANCE(A4,""price"",TODAY()-320,TODAY()),1,0),""select Col2 limit 100""))"),57.6834)</f>
        <v>57.6834</v>
      </c>
      <c r="F4" s="44">
        <f>IFERROR(__xludf.DUMMYFUNCTION("GOOGLEFINANCE(A4,""high52"")"),74.5)</f>
        <v>74.5</v>
      </c>
      <c r="G4" s="45">
        <f>IFERROR(__xludf.DUMMYFUNCTION("to_date(index(sort(GOOGLEFINANCE(A4, ""high"", today()-52*7, today(), ""DAILY""),2,0),2,1))"),45806.64583333333)</f>
        <v>45806.64583</v>
      </c>
      <c r="H4" s="44">
        <f>IFERROR(__xludf.DUMMYFUNCTION("GOOGLEFINANCE(A4,""low52"")"),46.23)</f>
        <v>46.23</v>
      </c>
      <c r="I4" s="45">
        <f>IFERROR(__xludf.DUMMYFUNCTION("to_date(index(sort(GOOGLEFINANCE(A4, ""low"", today()-52*7, today(), ""DAILY""),2,1),1,1))"),46009.64583333333)</f>
        <v>46009.64583</v>
      </c>
      <c r="J4" s="46" t="str">
        <f t="shared" si="1"/>
        <v>Do Not Buy Today</v>
      </c>
    </row>
    <row r="5">
      <c r="A5" s="73" t="s">
        <v>313</v>
      </c>
      <c r="B5" s="59">
        <f>IFERROR(__xludf.DUMMYFUNCTION("GOOGLEFINANCE(A5,""price"")"),1684.1)</f>
        <v>1684.1</v>
      </c>
      <c r="C5" s="60">
        <f>IFERROR(__xludf.DUMMYFUNCTION("GOOGLEFINANCE(A5,""closeyest"")"),1698.5)</f>
        <v>1698.5</v>
      </c>
      <c r="D5" s="61">
        <f>IFERROR(__xludf.DUMMYFUNCTION("MIN(index(GOOGLEFINANCE(A5,""ALL"",TODAY()-180,TODAY()),0,5))*1.2"),1637.3999999999999)</f>
        <v>1637.4</v>
      </c>
      <c r="E5" s="62">
        <f>IFERROR(__xludf.DUMMYFUNCTION("AVERAGE(QUERY(SORT(GOOGLEFINANCE(A5,""price"",TODAY()-320,TODAY()),1,0),""select Col2 limit 100""))"),1550.7190000000003)</f>
        <v>1550.719</v>
      </c>
      <c r="F5" s="44">
        <f>IFERROR(__xludf.DUMMYFUNCTION("GOOGLEFINANCE(A5,""high52"")"),1830.0)</f>
        <v>1830</v>
      </c>
      <c r="G5" s="45">
        <f>IFERROR(__xludf.DUMMYFUNCTION("to_date(index(sort(GOOGLEFINANCE(A5, ""high"", today()-52*7, today(), ""DAILY""),2,0),2,1))"),46147.64583333333)</f>
        <v>46147.64583</v>
      </c>
      <c r="H5" s="44">
        <f>IFERROR(__xludf.DUMMYFUNCTION("GOOGLEFINANCE(A5,""low52"")"),1228.9)</f>
        <v>1228.9</v>
      </c>
      <c r="I5" s="45">
        <f>IFERROR(__xludf.DUMMYFUNCTION("to_date(index(sort(GOOGLEFINANCE(A5, ""low"", today()-52*7, today(), ""DAILY""),2,1),1,1))"),45845.64583333333)</f>
        <v>45845.64583</v>
      </c>
      <c r="J5" s="46" t="str">
        <f t="shared" si="1"/>
        <v>Do Not Buy Today</v>
      </c>
    </row>
    <row r="6">
      <c r="A6" s="73" t="s">
        <v>314</v>
      </c>
      <c r="B6" s="59">
        <f>IFERROR(__xludf.DUMMYFUNCTION("GOOGLEFINANCE(A6,""price"")"),1225.0)</f>
        <v>1225</v>
      </c>
      <c r="C6" s="60">
        <f>IFERROR(__xludf.DUMMYFUNCTION("GOOGLEFINANCE(A6,""closeyest"")"),1215.0)</f>
        <v>1215</v>
      </c>
      <c r="D6" s="61">
        <f>IFERROR(__xludf.DUMMYFUNCTION("MIN(index(GOOGLEFINANCE(A6,""ALL"",TODAY()-180,TODAY()),0,5))*1.2"),1221.6)</f>
        <v>1221.6</v>
      </c>
      <c r="E6" s="62">
        <f>IFERROR(__xludf.DUMMYFUNCTION("AVERAGE(QUERY(SORT(GOOGLEFINANCE(A6,""price"",TODAY()-320,TODAY()),1,0),""select Col2 limit 100""))"),1316.6159999999998)</f>
        <v>1316.616</v>
      </c>
      <c r="F6" s="44">
        <f>IFERROR(__xludf.DUMMYFUNCTION("GOOGLEFINANCE(A6,""high52"")"),1764.8)</f>
        <v>1764.8</v>
      </c>
      <c r="G6" s="45">
        <f>IFERROR(__xludf.DUMMYFUNCTION("to_date(index(sort(GOOGLEFINANCE(A6, ""high"", today()-52*7, today(), ""DAILY""),2,0),2,1))"),45982.64583333333)</f>
        <v>45982.64583</v>
      </c>
      <c r="H6" s="44">
        <f>IFERROR(__xludf.DUMMYFUNCTION("GOOGLEFINANCE(A6,""low52"")"),1004.2)</f>
        <v>1004.2</v>
      </c>
      <c r="I6" s="45">
        <f>IFERROR(__xludf.DUMMYFUNCTION("to_date(index(sort(GOOGLEFINANCE(A6, ""low"", today()-52*7, today(), ""DAILY""),2,1),1,1))"),46104.64583333333)</f>
        <v>46104.64583</v>
      </c>
      <c r="J6" s="46" t="str">
        <f t="shared" si="1"/>
        <v>Do Not Buy Today</v>
      </c>
    </row>
    <row r="7">
      <c r="A7" s="73" t="s">
        <v>315</v>
      </c>
      <c r="B7" s="59">
        <f>IFERROR(__xludf.DUMMYFUNCTION("GOOGLEFINANCE(A7,""price"")"),755.9)</f>
        <v>755.9</v>
      </c>
      <c r="C7" s="60">
        <f>IFERROR(__xludf.DUMMYFUNCTION("GOOGLEFINANCE(A7,""closeyest"")"),747.3)</f>
        <v>747.3</v>
      </c>
      <c r="D7" s="61">
        <f>IFERROR(__xludf.DUMMYFUNCTION("MIN(index(GOOGLEFINANCE(A7,""ALL"",TODAY()-180,TODAY()),0,5))*1.2"),787.68)</f>
        <v>787.68</v>
      </c>
      <c r="E7" s="62">
        <f>IFERROR(__xludf.DUMMYFUNCTION("AVERAGE(QUERY(SORT(GOOGLEFINANCE(A7,""price"",TODAY()-320,TODAY()),1,0),""select Col2 limit 100""))"),782.6665)</f>
        <v>782.6665</v>
      </c>
      <c r="F7" s="44">
        <f>IFERROR(__xludf.DUMMYFUNCTION("GOOGLEFINANCE(A7,""high52"")"),1600.0)</f>
        <v>1600</v>
      </c>
      <c r="G7" s="45">
        <f>IFERROR(__xludf.DUMMYFUNCTION("to_date(index(sort(GOOGLEFINANCE(A7, ""high"", today()-52*7, today(), ""DAILY""),2,0),2,1))"),45807.64583333333)</f>
        <v>45807.64583</v>
      </c>
      <c r="H7" s="44">
        <f>IFERROR(__xludf.DUMMYFUNCTION("GOOGLEFINANCE(A7,""low52"")"),652.0)</f>
        <v>652</v>
      </c>
      <c r="I7" s="45">
        <f>IFERROR(__xludf.DUMMYFUNCTION("to_date(index(sort(GOOGLEFINANCE(A7, ""low"", today()-52*7, today(), ""DAILY""),2,1),1,1))"),46111.64583333333)</f>
        <v>46111.64583</v>
      </c>
      <c r="J7" s="46" t="str">
        <f t="shared" si="1"/>
        <v>Do Not Buy Today</v>
      </c>
    </row>
    <row r="8">
      <c r="A8" s="73" t="s">
        <v>316</v>
      </c>
      <c r="B8" s="59">
        <f>IFERROR(__xludf.DUMMYFUNCTION("GOOGLEFINANCE(A8,""price"")"),192.32)</f>
        <v>192.32</v>
      </c>
      <c r="C8" s="60">
        <f>IFERROR(__xludf.DUMMYFUNCTION("GOOGLEFINANCE(A8,""closeyest"")"),178.14)</f>
        <v>178.14</v>
      </c>
      <c r="D8" s="61">
        <f>IFERROR(__xludf.DUMMYFUNCTION("MIN(index(GOOGLEFINANCE(A8,""ALL"",TODAY()-180,TODAY()),0,5))*1.2"),179.93999999999997)</f>
        <v>179.94</v>
      </c>
      <c r="E8" s="62">
        <f>IFERROR(__xludf.DUMMYFUNCTION("AVERAGE(QUERY(SORT(GOOGLEFINANCE(A8,""price"",TODAY()-320,TODAY()),1,0),""select Col2 limit 100""))"),175.0007)</f>
        <v>175.0007</v>
      </c>
      <c r="F8" s="44">
        <f>IFERROR(__xludf.DUMMYFUNCTION("GOOGLEFINANCE(A8,""high52"")"),238.0)</f>
        <v>238</v>
      </c>
      <c r="G8" s="45">
        <f>IFERROR(__xludf.DUMMYFUNCTION("to_date(index(sort(GOOGLEFINANCE(A8, ""high"", today()-52*7, today(), ""DAILY""),2,0),2,1))"),45826.64583333333)</f>
        <v>45826.64583</v>
      </c>
      <c r="H8" s="44">
        <f>IFERROR(__xludf.DUMMYFUNCTION("GOOGLEFINANCE(A8,""low52"")"),147.54)</f>
        <v>147.54</v>
      </c>
      <c r="I8" s="45">
        <f>IFERROR(__xludf.DUMMYFUNCTION("to_date(index(sort(GOOGLEFINANCE(A8, ""low"", today()-52*7, today(), ""DAILY""),2,1),1,1))"),46111.64583333333)</f>
        <v>46111.64583</v>
      </c>
      <c r="J8" s="46" t="str">
        <f t="shared" si="1"/>
        <v>Do Not Buy Today</v>
      </c>
    </row>
    <row r="9">
      <c r="A9" s="73" t="s">
        <v>317</v>
      </c>
      <c r="B9" s="59">
        <f>IFERROR(__xludf.DUMMYFUNCTION("GOOGLEFINANCE(A9,""price"")"),346.3)</f>
        <v>346.3</v>
      </c>
      <c r="C9" s="60">
        <f>IFERROR(__xludf.DUMMYFUNCTION("GOOGLEFINANCE(A9,""closeyest"")"),344.45)</f>
        <v>344.45</v>
      </c>
      <c r="D9" s="61">
        <f>IFERROR(__xludf.DUMMYFUNCTION("MIN(index(GOOGLEFINANCE(A9,""ALL"",TODAY()-180,TODAY()),0,5))*1.2"),255.68399999999997)</f>
        <v>255.684</v>
      </c>
      <c r="E9" s="62">
        <f>IFERROR(__xludf.DUMMYFUNCTION("AVERAGE(QUERY(SORT(GOOGLEFINANCE(A9,""price"",TODAY()-320,TODAY()),1,0),""select Col2 limit 100""))"),267.1415)</f>
        <v>267.1415</v>
      </c>
      <c r="F9" s="44">
        <f>IFERROR(__xludf.DUMMYFUNCTION("GOOGLEFINANCE(A9,""high52"")"),348.7)</f>
        <v>348.7</v>
      </c>
      <c r="G9" s="45">
        <f>IFERROR(__xludf.DUMMYFUNCTION("to_date(index(sort(GOOGLEFINANCE(A9, ""high"", today()-52*7, today(), ""DAILY""),2,0),2,1))"),46168.64583333333)</f>
        <v>46168.64583</v>
      </c>
      <c r="H9" s="44">
        <f>IFERROR(__xludf.DUMMYFUNCTION("GOOGLEFINANCE(A9,""low52"")"),208.63)</f>
        <v>208.63</v>
      </c>
      <c r="I9" s="45">
        <f>IFERROR(__xludf.DUMMYFUNCTION("to_date(index(sort(GOOGLEFINANCE(A9, ""low"", today()-52*7, today(), ""DAILY""),2,1),1,1))"),46094.64583333333)</f>
        <v>46094.64583</v>
      </c>
      <c r="J9" s="46" t="str">
        <f t="shared" si="1"/>
        <v>Do Not Buy Today</v>
      </c>
    </row>
    <row r="10">
      <c r="A10" s="73" t="s">
        <v>102</v>
      </c>
      <c r="B10" s="59">
        <f>IFERROR(__xludf.DUMMYFUNCTION("GOOGLEFINANCE(A10,""price"")"),4367.4)</f>
        <v>4367.4</v>
      </c>
      <c r="C10" s="60">
        <f>IFERROR(__xludf.DUMMYFUNCTION("GOOGLEFINANCE(A10,""closeyest"")"),4403.3)</f>
        <v>4403.3</v>
      </c>
      <c r="D10" s="61">
        <f>IFERROR(__xludf.DUMMYFUNCTION("MIN(index(GOOGLEFINANCE(A10,""ALL"",TODAY()-180,TODAY()),0,5))*1.2"),3097.2)</f>
        <v>3097.2</v>
      </c>
      <c r="E10" s="62">
        <f>IFERROR(__xludf.DUMMYFUNCTION("AVERAGE(QUERY(SORT(GOOGLEFINANCE(A10,""price"",TODAY()-320,TODAY()),1,0),""select Col2 limit 100""))"),3111.713000000001)</f>
        <v>3111.713</v>
      </c>
      <c r="F10" s="44">
        <f>IFERROR(__xludf.DUMMYFUNCTION("GOOGLEFINANCE(A10,""high52"")"),4446.8)</f>
        <v>4446.8</v>
      </c>
      <c r="G10" s="45">
        <f>IFERROR(__xludf.DUMMYFUNCTION("to_date(index(sort(GOOGLEFINANCE(A10, ""high"", today()-52*7, today(), ""DAILY""),2,0),2,1))"),46168.64583333333)</f>
        <v>46168.64583</v>
      </c>
      <c r="H10" s="44">
        <f>IFERROR(__xludf.DUMMYFUNCTION("GOOGLEFINANCE(A10,""low52"")"),2021.5)</f>
        <v>2021.5</v>
      </c>
      <c r="I10" s="45">
        <f>IFERROR(__xludf.DUMMYFUNCTION("to_date(index(sort(GOOGLEFINANCE(A10, ""low"", today()-52*7, today(), ""DAILY""),2,1),1,1))"),45926.64583333333)</f>
        <v>45926.64583</v>
      </c>
      <c r="J10" s="46" t="str">
        <f t="shared" si="1"/>
        <v>Do Not Buy Today</v>
      </c>
    </row>
    <row r="11">
      <c r="A11" s="73" t="s">
        <v>318</v>
      </c>
      <c r="B11" s="59">
        <f>IFERROR(__xludf.DUMMYFUNCTION("GOOGLEFINANCE(A11,""price"")"),556.4)</f>
        <v>556.4</v>
      </c>
      <c r="C11" s="60">
        <f>IFERROR(__xludf.DUMMYFUNCTION("GOOGLEFINANCE(A11,""closeyest"")"),556.0)</f>
        <v>556</v>
      </c>
      <c r="D11" s="61">
        <f>IFERROR(__xludf.DUMMYFUNCTION("MIN(index(GOOGLEFINANCE(A11,""ALL"",TODAY()-180,TODAY()),0,5))*1.2"),392.4)</f>
        <v>392.4</v>
      </c>
      <c r="E11" s="62">
        <f>IFERROR(__xludf.DUMMYFUNCTION("AVERAGE(QUERY(SORT(GOOGLEFINANCE(A11,""price"",TODAY()-320,TODAY()),1,0),""select Col2 limit 100""))"),550.6070000000003)</f>
        <v>550.607</v>
      </c>
      <c r="F11" s="44">
        <f>IFERROR(__xludf.DUMMYFUNCTION("GOOGLEFINANCE(A11,""high52"")"),760.05)</f>
        <v>760.05</v>
      </c>
      <c r="G11" s="45">
        <f>IFERROR(__xludf.DUMMYFUNCTION("to_date(index(sort(GOOGLEFINANCE(A11, ""high"", today()-52*7, today(), ""DAILY""),2,0),2,1))"),46051.64583333333)</f>
        <v>46051.64583</v>
      </c>
      <c r="H11" s="44">
        <f>IFERROR(__xludf.DUMMYFUNCTION("GOOGLEFINANCE(A11,""low52"")"),226.7)</f>
        <v>226.7</v>
      </c>
      <c r="I11" s="45">
        <f>IFERROR(__xludf.DUMMYFUNCTION("to_date(index(sort(GOOGLEFINANCE(A11, ""low"", today()-52*7, today(), ""DAILY""),2,1),1,1))"),45897.64583333333)</f>
        <v>45897.64583</v>
      </c>
      <c r="J11" s="46" t="str">
        <f t="shared" si="1"/>
        <v>Do Not Buy Today</v>
      </c>
    </row>
    <row r="12">
      <c r="A12" s="73" t="s">
        <v>319</v>
      </c>
      <c r="B12" s="59">
        <f>IFERROR(__xludf.DUMMYFUNCTION("GOOGLEFINANCE(A12,""price"")"),224.75)</f>
        <v>224.75</v>
      </c>
      <c r="C12" s="60">
        <f>IFERROR(__xludf.DUMMYFUNCTION("GOOGLEFINANCE(A12,""closeyest"")"),237.11)</f>
        <v>237.11</v>
      </c>
      <c r="D12" s="61">
        <f>IFERROR(__xludf.DUMMYFUNCTION("MIN(index(GOOGLEFINANCE(A12,""ALL"",TODAY()-180,TODAY()),0,5))*1.2"),250.00799999999998)</f>
        <v>250.008</v>
      </c>
      <c r="E12" s="62">
        <f>IFERROR(__xludf.DUMMYFUNCTION("AVERAGE(QUERY(SORT(GOOGLEFINANCE(A12,""price"",TODAY()-320,TODAY()),1,0),""select Col2 limit 100""))"),245.79009999999994)</f>
        <v>245.7901</v>
      </c>
      <c r="F12" s="44">
        <f>IFERROR(__xludf.DUMMYFUNCTION("GOOGLEFINANCE(A12,""high52"")"),438.7)</f>
        <v>438.7</v>
      </c>
      <c r="G12" s="45">
        <f>IFERROR(__xludf.DUMMYFUNCTION("to_date(index(sort(GOOGLEFINANCE(A12, ""high"", today()-52*7, today(), ""DAILY""),2,0),2,1))"),45908.64583333333)</f>
        <v>45908.64583</v>
      </c>
      <c r="H12" s="44">
        <f>IFERROR(__xludf.DUMMYFUNCTION("GOOGLEFINANCE(A12,""low52"")"),207.05)</f>
        <v>207.05</v>
      </c>
      <c r="I12" s="45">
        <f>IFERROR(__xludf.DUMMYFUNCTION("to_date(index(sort(GOOGLEFINANCE(A12, ""low"", today()-52*7, today(), ""DAILY""),2,1),1,1))"),46072.64583333333)</f>
        <v>46072.64583</v>
      </c>
      <c r="J12" s="46" t="str">
        <f t="shared" si="1"/>
        <v>Do Not Buy Today</v>
      </c>
    </row>
    <row r="13">
      <c r="A13" s="73" t="s">
        <v>105</v>
      </c>
      <c r="B13" s="59">
        <f>IFERROR(__xludf.DUMMYFUNCTION("GOOGLEFINANCE(A13,""price"")"),1693.1)</f>
        <v>1693.1</v>
      </c>
      <c r="C13" s="60">
        <f>IFERROR(__xludf.DUMMYFUNCTION("GOOGLEFINANCE(A13,""closeyest"")"),1725.6)</f>
        <v>1725.6</v>
      </c>
      <c r="D13" s="61">
        <f>IFERROR(__xludf.DUMMYFUNCTION("MIN(index(GOOGLEFINANCE(A13,""ALL"",TODAY()-180,TODAY()),0,5))*1.2"),1757.04)</f>
        <v>1757.04</v>
      </c>
      <c r="E13" s="62">
        <f>IFERROR(__xludf.DUMMYFUNCTION("AVERAGE(QUERY(SORT(GOOGLEFINANCE(A13,""price"",TODAY()-320,TODAY()),1,0),""select Col2 limit 100""))"),1670.1550000000007)</f>
        <v>1670.155</v>
      </c>
      <c r="F13" s="44">
        <f>IFERROR(__xludf.DUMMYFUNCTION("GOOGLEFINANCE(A13,""high52"")"),1892.5)</f>
        <v>1892.5</v>
      </c>
      <c r="G13" s="45">
        <f>IFERROR(__xludf.DUMMYFUNCTION("to_date(index(sort(GOOGLEFINANCE(A13, ""high"", today()-52*7, today(), ""DAILY""),2,0),2,1))"),46076.64583333333)</f>
        <v>46076.64583</v>
      </c>
      <c r="H13" s="44">
        <f>IFERROR(__xludf.DUMMYFUNCTION("GOOGLEFINANCE(A13,""low52"")"),1433.6)</f>
        <v>1433.6</v>
      </c>
      <c r="I13" s="45">
        <f>IFERROR(__xludf.DUMMYFUNCTION("to_date(index(sort(GOOGLEFINANCE(A13, ""low"", today()-52*7, today(), ""DAILY""),2,1),1,1))"),46114.64583333333)</f>
        <v>46114.64583</v>
      </c>
      <c r="J13" s="46" t="str">
        <f t="shared" si="1"/>
        <v>Do Not Buy Today</v>
      </c>
    </row>
    <row r="14">
      <c r="A14" s="73" t="s">
        <v>320</v>
      </c>
      <c r="B14" s="59">
        <f>IFERROR(__xludf.DUMMYFUNCTION("GOOGLEFINANCE(A14,""price"")"),65.85)</f>
        <v>65.85</v>
      </c>
      <c r="C14" s="60">
        <f>IFERROR(__xludf.DUMMYFUNCTION("GOOGLEFINANCE(A14,""closeyest"")"),65.04)</f>
        <v>65.04</v>
      </c>
      <c r="D14" s="61">
        <f>IFERROR(__xludf.DUMMYFUNCTION("MIN(index(GOOGLEFINANCE(A14,""ALL"",TODAY()-180,TODAY()),0,5))*1.2"),62.519999999999996)</f>
        <v>62.52</v>
      </c>
      <c r="E14" s="62">
        <f>IFERROR(__xludf.DUMMYFUNCTION("AVERAGE(QUERY(SORT(GOOGLEFINANCE(A14,""price"",TODAY()-320,TODAY()),1,0),""select Col2 limit 100""))"),62.8408)</f>
        <v>62.8408</v>
      </c>
      <c r="F14" s="44">
        <f>IFERROR(__xludf.DUMMYFUNCTION("GOOGLEFINANCE(A14,""high52"")"),88.19)</f>
        <v>88.19</v>
      </c>
      <c r="G14" s="45">
        <f>IFERROR(__xludf.DUMMYFUNCTION("to_date(index(sort(GOOGLEFINANCE(A14, ""high"", today()-52*7, today(), ""DAILY""),2,0),2,1))"),45807.64583333333)</f>
        <v>45807.64583</v>
      </c>
      <c r="H14" s="44">
        <f>IFERROR(__xludf.DUMMYFUNCTION("GOOGLEFINANCE(A14,""low52"")"),50.1)</f>
        <v>50.1</v>
      </c>
      <c r="I14" s="45">
        <f>IFERROR(__xludf.DUMMYFUNCTION("to_date(index(sort(GOOGLEFINANCE(A14, ""low"", today()-52*7, today(), ""DAILY""),2,1),1,1))"),46111.64583333333)</f>
        <v>46111.64583</v>
      </c>
      <c r="J14" s="46" t="str">
        <f t="shared" si="1"/>
        <v>Do Not Buy Today</v>
      </c>
    </row>
    <row r="15">
      <c r="A15" s="73" t="s">
        <v>321</v>
      </c>
      <c r="B15" s="59">
        <f>IFERROR(__xludf.DUMMYFUNCTION("GOOGLEFINANCE(A15,""price"")"),1269.7)</f>
        <v>1269.7</v>
      </c>
      <c r="C15" s="60">
        <f>IFERROR(__xludf.DUMMYFUNCTION("GOOGLEFINANCE(A15,""closeyest"")"),1268.7)</f>
        <v>1268.7</v>
      </c>
      <c r="D15" s="61">
        <f>IFERROR(__xludf.DUMMYFUNCTION("MIN(index(GOOGLEFINANCE(A15,""ALL"",TODAY()-180,TODAY()),0,5))*1.2"),1313.88)</f>
        <v>1313.88</v>
      </c>
      <c r="E15" s="62">
        <f>IFERROR(__xludf.DUMMYFUNCTION("AVERAGE(QUERY(SORT(GOOGLEFINANCE(A15,""price"",TODAY()-320,TODAY()),1,0),""select Col2 limit 100""))"),1356.995)</f>
        <v>1356.995</v>
      </c>
      <c r="F15" s="44">
        <f>IFERROR(__xludf.DUMMYFUNCTION("GOOGLEFINANCE(A15,""high52"")"),2537.9)</f>
        <v>2537.9</v>
      </c>
      <c r="G15" s="45">
        <f>IFERROR(__xludf.DUMMYFUNCTION("to_date(index(sort(GOOGLEFINANCE(A15, ""high"", today()-52*7, today(), ""DAILY""),2,0),2,1))"),45825.64583333333)</f>
        <v>45825.64583</v>
      </c>
      <c r="H15" s="44">
        <f>IFERROR(__xludf.DUMMYFUNCTION("GOOGLEFINANCE(A15,""low52"")"),1080.1)</f>
        <v>1080.1</v>
      </c>
      <c r="I15" s="45">
        <f>IFERROR(__xludf.DUMMYFUNCTION("to_date(index(sort(GOOGLEFINANCE(A15, ""low"", today()-52*7, today(), ""DAILY""),2,1),1,1))"),46097.64583333333)</f>
        <v>46097.64583</v>
      </c>
      <c r="J15" s="46" t="str">
        <f t="shared" si="1"/>
        <v>Do Not Buy Today</v>
      </c>
    </row>
    <row r="16">
      <c r="A16" s="73" t="s">
        <v>322</v>
      </c>
      <c r="B16" s="59">
        <f>IFERROR(__xludf.DUMMYFUNCTION("GOOGLEFINANCE(A16,""price"")"),1721.0)</f>
        <v>1721</v>
      </c>
      <c r="C16" s="60">
        <f>IFERROR(__xludf.DUMMYFUNCTION("GOOGLEFINANCE(A16,""closeyest"")"),1730.5)</f>
        <v>1730.5</v>
      </c>
      <c r="D16" s="61">
        <f>IFERROR(__xludf.DUMMYFUNCTION("MIN(index(GOOGLEFINANCE(A16,""ALL"",TODAY()-180,TODAY()),0,5))*1.2"),1477.9199999999998)</f>
        <v>1477.92</v>
      </c>
      <c r="E16" s="62">
        <f>IFERROR(__xludf.DUMMYFUNCTION("AVERAGE(QUERY(SORT(GOOGLEFINANCE(A16,""price"",TODAY()-320,TODAY()),1,0),""select Col2 limit 100""))"),1512.9979999999996)</f>
        <v>1512.998</v>
      </c>
      <c r="F16" s="44">
        <f>IFERROR(__xludf.DUMMYFUNCTION("GOOGLEFINANCE(A16,""high52"")"),2438.8)</f>
        <v>2438.8</v>
      </c>
      <c r="G16" s="45">
        <f>IFERROR(__xludf.DUMMYFUNCTION("to_date(index(sort(GOOGLEFINANCE(A16, ""high"", today()-52*7, today(), ""DAILY""),2,0),2,1))"),45845.64583333333)</f>
        <v>45845.64583</v>
      </c>
      <c r="H16" s="44">
        <f>IFERROR(__xludf.DUMMYFUNCTION("GOOGLEFINANCE(A16,""low52"")"),1212.0)</f>
        <v>1212</v>
      </c>
      <c r="I16" s="45">
        <f>IFERROR(__xludf.DUMMYFUNCTION("to_date(index(sort(GOOGLEFINANCE(A16, ""low"", today()-52*7, today(), ""DAILY""),2,1),1,1))"),46098.64583333333)</f>
        <v>46098.64583</v>
      </c>
      <c r="J16" s="46" t="str">
        <f t="shared" si="1"/>
        <v>Do Not Buy Today</v>
      </c>
    </row>
    <row r="17">
      <c r="A17" s="73" t="s">
        <v>323</v>
      </c>
      <c r="B17" s="59">
        <f>IFERROR(__xludf.DUMMYFUNCTION("GOOGLEFINANCE(A17,""price"")"),531.8)</f>
        <v>531.8</v>
      </c>
      <c r="C17" s="60">
        <f>IFERROR(__xludf.DUMMYFUNCTION("GOOGLEFINANCE(A17,""closeyest"")"),524.05)</f>
        <v>524.05</v>
      </c>
      <c r="D17" s="61">
        <f>IFERROR(__xludf.DUMMYFUNCTION("MIN(index(GOOGLEFINANCE(A17,""ALL"",TODAY()-180,TODAY()),0,5))*1.2"),510.17999999999995)</f>
        <v>510.18</v>
      </c>
      <c r="E17" s="62">
        <f>IFERROR(__xludf.DUMMYFUNCTION("AVERAGE(QUERY(SORT(GOOGLEFINANCE(A17,""price"",TODAY()-320,TODAY()),1,0),""select Col2 limit 100""))"),473.6449999999999)</f>
        <v>473.645</v>
      </c>
      <c r="F17" s="44">
        <f>IFERROR(__xludf.DUMMYFUNCTION("GOOGLEFINANCE(A17,""high52"")"),586.25)</f>
        <v>586.25</v>
      </c>
      <c r="G17" s="45">
        <f>IFERROR(__xludf.DUMMYFUNCTION("to_date(index(sort(GOOGLEFINANCE(A17, ""high"", today()-52*7, today(), ""DAILY""),2,0),2,1))"),46141.64583333333)</f>
        <v>46141.64583</v>
      </c>
      <c r="H17" s="44">
        <f>IFERROR(__xludf.DUMMYFUNCTION("GOOGLEFINANCE(A17,""low52"")"),412.6)</f>
        <v>412.6</v>
      </c>
      <c r="I17" s="45">
        <f>IFERROR(__xludf.DUMMYFUNCTION("to_date(index(sort(GOOGLEFINANCE(A17, ""low"", today()-52*7, today(), ""DAILY""),2,1),1,1))"),45839.64583333333)</f>
        <v>45839.64583</v>
      </c>
      <c r="J17" s="46" t="str">
        <f t="shared" si="1"/>
        <v>Do Not Buy Today</v>
      </c>
    </row>
    <row r="18">
      <c r="A18" s="73" t="s">
        <v>324</v>
      </c>
      <c r="B18" s="59">
        <f>IFERROR(__xludf.DUMMYFUNCTION("GOOGLEFINANCE(A18,""price"")"),161.46)</f>
        <v>161.46</v>
      </c>
      <c r="C18" s="60">
        <f>IFERROR(__xludf.DUMMYFUNCTION("GOOGLEFINANCE(A18,""closeyest"")"),162.76)</f>
        <v>162.76</v>
      </c>
      <c r="D18" s="61">
        <f>IFERROR(__xludf.DUMMYFUNCTION("MIN(index(GOOGLEFINANCE(A18,""ALL"",TODAY()-180,TODAY()),0,5))*1.2"),141.384)</f>
        <v>141.384</v>
      </c>
      <c r="E18" s="62">
        <f>IFERROR(__xludf.DUMMYFUNCTION("AVERAGE(QUERY(SORT(GOOGLEFINANCE(A18,""price"",TODAY()-320,TODAY()),1,0),""select Col2 limit 100""))"),149.8876)</f>
        <v>149.8876</v>
      </c>
      <c r="F18" s="44">
        <f>IFERROR(__xludf.DUMMYFUNCTION("GOOGLEFINANCE(A18,""high52"")"),214.74)</f>
        <v>214.74</v>
      </c>
      <c r="G18" s="45">
        <f>IFERROR(__xludf.DUMMYFUNCTION("to_date(index(sort(GOOGLEFINANCE(A18, ""high"", today()-52*7, today(), ""DAILY""),2,0),2,1))"),45869.64583333333)</f>
        <v>45869.64583</v>
      </c>
      <c r="H18" s="44">
        <f>IFERROR(__xludf.DUMMYFUNCTION("GOOGLEFINANCE(A18,""low52"")"),116.97)</f>
        <v>116.97</v>
      </c>
      <c r="I18" s="45">
        <f>IFERROR(__xludf.DUMMYFUNCTION("to_date(index(sort(GOOGLEFINANCE(A18, ""low"", today()-52*7, today(), ""DAILY""),2,1),1,1))"),46111.64583333333)</f>
        <v>46111.64583</v>
      </c>
      <c r="J18" s="46" t="str">
        <f t="shared" si="1"/>
        <v>Do Not Buy Today</v>
      </c>
    </row>
    <row r="19">
      <c r="A19" s="73" t="s">
        <v>325</v>
      </c>
      <c r="B19" s="59">
        <f>IFERROR(__xludf.DUMMYFUNCTION("GOOGLEFINANCE(A19,""price"")"),22.49)</f>
        <v>22.49</v>
      </c>
      <c r="C19" s="60">
        <f>IFERROR(__xludf.DUMMYFUNCTION("GOOGLEFINANCE(A19,""closeyest"")"),19.13)</f>
        <v>19.13</v>
      </c>
      <c r="D19" s="61">
        <f>IFERROR(__xludf.DUMMYFUNCTION("MIN(index(GOOGLEFINANCE(A19,""ALL"",TODAY()-180,TODAY()),0,5))*1.2"),16.043999999999997)</f>
        <v>16.044</v>
      </c>
      <c r="E19" s="62">
        <f>IFERROR(__xludf.DUMMYFUNCTION("AVERAGE(QUERY(SORT(GOOGLEFINANCE(A19,""price"",TODAY()-320,TODAY()),1,0),""select Col2 limit 100""))"),16.471700000000002)</f>
        <v>16.4717</v>
      </c>
      <c r="F19" s="44">
        <f>IFERROR(__xludf.DUMMYFUNCTION("GOOGLEFINANCE(A19,""high52"")"),27.7)</f>
        <v>27.7</v>
      </c>
      <c r="G19" s="45">
        <f>IFERROR(__xludf.DUMMYFUNCTION("to_date(index(sort(GOOGLEFINANCE(A19, ""high"", today()-52*7, today(), ""DAILY""),2,0),2,1))"),45852.64583333333)</f>
        <v>45852.64583</v>
      </c>
      <c r="H19" s="44">
        <f>IFERROR(__xludf.DUMMYFUNCTION("GOOGLEFINANCE(A19,""low52"")"),13.15)</f>
        <v>13.15</v>
      </c>
      <c r="I19" s="45">
        <f>IFERROR(__xludf.DUMMYFUNCTION("to_date(index(sort(GOOGLEFINANCE(A19, ""low"", today()-52*7, today(), ""DAILY""),2,1),1,1))"),46090.64583333333)</f>
        <v>46090.64583</v>
      </c>
      <c r="J19" s="46" t="str">
        <f t="shared" si="1"/>
        <v>Do Not Buy Today</v>
      </c>
    </row>
    <row r="20">
      <c r="A20" s="73" t="s">
        <v>326</v>
      </c>
      <c r="B20" s="59">
        <f>IFERROR(__xludf.DUMMYFUNCTION("GOOGLEFINANCE(A20,""price"")"),4323.0)</f>
        <v>4323</v>
      </c>
      <c r="C20" s="60">
        <f>IFERROR(__xludf.DUMMYFUNCTION("GOOGLEFINANCE(A20,""closeyest"")"),4312.8)</f>
        <v>4312.8</v>
      </c>
      <c r="D20" s="61">
        <f>IFERROR(__xludf.DUMMYFUNCTION("MIN(index(GOOGLEFINANCE(A20,""ALL"",TODAY()-180,TODAY()),0,5))*1.2"),5175.36)</f>
        <v>5175.36</v>
      </c>
      <c r="E20" s="62">
        <f>IFERROR(__xludf.DUMMYFUNCTION("AVERAGE(QUERY(SORT(GOOGLEFINANCE(A20,""price"",TODAY()-320,TODAY()),1,0),""select Col2 limit 100""))"),5013.51)</f>
        <v>5013.51</v>
      </c>
      <c r="F20" s="44">
        <f>IFERROR(__xludf.DUMMYFUNCTION("GOOGLEFINANCE(A20,""high52"")"),5642.0)</f>
        <v>5642</v>
      </c>
      <c r="G20" s="45">
        <f>IFERROR(__xludf.DUMMYFUNCTION("to_date(index(sort(GOOGLEFINANCE(A20, ""high"", today()-52*7, today(), ""DAILY""),2,0),2,1))"),46085.64583333333)</f>
        <v>46085.64583</v>
      </c>
      <c r="H20" s="44">
        <f>IFERROR(__xludf.DUMMYFUNCTION("GOOGLEFINANCE(A20,""low52"")"),4200.0)</f>
        <v>4200</v>
      </c>
      <c r="I20" s="45">
        <f>IFERROR(__xludf.DUMMYFUNCTION("to_date(index(sort(GOOGLEFINANCE(A20, ""low"", today()-52*7, today(), ""DAILY""),2,1),1,1))"),45930.64583333333)</f>
        <v>45930.64583</v>
      </c>
      <c r="J20" s="46" t="str">
        <f t="shared" si="1"/>
        <v>Do Not Buy Today</v>
      </c>
    </row>
    <row r="21">
      <c r="A21" s="73" t="s">
        <v>327</v>
      </c>
      <c r="B21" s="59">
        <f>IFERROR(__xludf.DUMMYFUNCTION("GOOGLEFINANCE(A21,""price"")"),641.75)</f>
        <v>641.75</v>
      </c>
      <c r="C21" s="60">
        <f>IFERROR(__xludf.DUMMYFUNCTION("GOOGLEFINANCE(A21,""closeyest"")"),639.35)</f>
        <v>639.35</v>
      </c>
      <c r="D21" s="61">
        <f>IFERROR(__xludf.DUMMYFUNCTION("MIN(index(GOOGLEFINANCE(A21,""ALL"",TODAY()-180,TODAY()),0,5))*1.2"),583.4399999999999)</f>
        <v>583.44</v>
      </c>
      <c r="E21" s="62">
        <f>IFERROR(__xludf.DUMMYFUNCTION("AVERAGE(QUERY(SORT(GOOGLEFINANCE(A21,""price"",TODAY()-320,TODAY()),1,0),""select Col2 limit 100""))"),590.79)</f>
        <v>590.79</v>
      </c>
      <c r="F21" s="44">
        <f>IFERROR(__xludf.DUMMYFUNCTION("GOOGLEFINANCE(A21,""high52"")"),790.0)</f>
        <v>790</v>
      </c>
      <c r="G21" s="45">
        <f>IFERROR(__xludf.DUMMYFUNCTION("to_date(index(sort(GOOGLEFINANCE(A21, ""high"", today()-52*7, today(), ""DAILY""),2,0),2,1))"),45923.64583333333)</f>
        <v>45923.64583</v>
      </c>
      <c r="H21" s="44">
        <f>IFERROR(__xludf.DUMMYFUNCTION("GOOGLEFINANCE(A21,""low52"")"),477.0)</f>
        <v>477</v>
      </c>
      <c r="I21" s="45">
        <f>IFERROR(__xludf.DUMMYFUNCTION("to_date(index(sort(GOOGLEFINANCE(A21, ""low"", today()-52*7, today(), ""DAILY""),2,1),1,1))"),46097.64583333333)</f>
        <v>46097.64583</v>
      </c>
      <c r="J21" s="46" t="str">
        <f t="shared" si="1"/>
        <v>Do Not Buy Today</v>
      </c>
    </row>
    <row r="22">
      <c r="A22" s="73" t="s">
        <v>328</v>
      </c>
      <c r="B22" s="59">
        <f>IFERROR(__xludf.DUMMYFUNCTION("GOOGLEFINANCE(A22,""price"")"),268.43)</f>
        <v>268.43</v>
      </c>
      <c r="C22" s="60">
        <f>IFERROR(__xludf.DUMMYFUNCTION("GOOGLEFINANCE(A22,""closeyest"")"),277.72)</f>
        <v>277.72</v>
      </c>
      <c r="D22" s="61">
        <f>IFERROR(__xludf.DUMMYFUNCTION("MIN(index(GOOGLEFINANCE(A22,""ALL"",TODAY()-180,TODAY()),0,5))*1.2"),245.26799999999997)</f>
        <v>245.268</v>
      </c>
      <c r="E22" s="62">
        <f>IFERROR(__xludf.DUMMYFUNCTION("AVERAGE(QUERY(SORT(GOOGLEFINANCE(A22,""price"",TODAY()-320,TODAY()),1,0),""select Col2 limit 100""))"),258.81129999999996)</f>
        <v>258.8113</v>
      </c>
      <c r="F22" s="44">
        <f>IFERROR(__xludf.DUMMYFUNCTION("GOOGLEFINANCE(A22,""high52"")"),403.8)</f>
        <v>403.8</v>
      </c>
      <c r="G22" s="45">
        <f>IFERROR(__xludf.DUMMYFUNCTION("to_date(index(sort(GOOGLEFINANCE(A22, ""high"", today()-52*7, today(), ""DAILY""),2,0),2,1))"),45833.64583333333)</f>
        <v>45833.64583</v>
      </c>
      <c r="H22" s="44">
        <f>IFERROR(__xludf.DUMMYFUNCTION("GOOGLEFINANCE(A22,""low52"")"),202.0)</f>
        <v>202</v>
      </c>
      <c r="I22" s="45">
        <f>IFERROR(__xludf.DUMMYFUNCTION("to_date(index(sort(GOOGLEFINANCE(A22, ""low"", today()-52*7, today(), ""DAILY""),2,1),1,1))"),46083.64583333333)</f>
        <v>46083.64583</v>
      </c>
      <c r="J22" s="46" t="str">
        <f t="shared" si="1"/>
        <v>Do Not Buy Today</v>
      </c>
    </row>
    <row r="23">
      <c r="A23" s="73" t="s">
        <v>112</v>
      </c>
      <c r="B23" s="59">
        <f>IFERROR(__xludf.DUMMYFUNCTION("GOOGLEFINANCE(A23,""price"")"),419.0)</f>
        <v>419</v>
      </c>
      <c r="C23" s="60">
        <f>IFERROR(__xludf.DUMMYFUNCTION("GOOGLEFINANCE(A23,""closeyest"")"),417.75)</f>
        <v>417.75</v>
      </c>
      <c r="D23" s="61">
        <f>IFERROR(__xludf.DUMMYFUNCTION("MIN(index(GOOGLEFINANCE(A23,""ALL"",TODAY()-180,TODAY()),0,5))*1.2"),291.0)</f>
        <v>291</v>
      </c>
      <c r="E23" s="62">
        <f>IFERROR(__xludf.DUMMYFUNCTION("AVERAGE(QUERY(SORT(GOOGLEFINANCE(A23,""price"",TODAY()-320,TODAY()),1,0),""select Col2 limit 100""))"),295.9180000000001)</f>
        <v>295.918</v>
      </c>
      <c r="F23" s="44">
        <f>IFERROR(__xludf.DUMMYFUNCTION("GOOGLEFINANCE(A23,""high52"")"),423.2)</f>
        <v>423.2</v>
      </c>
      <c r="G23" s="45">
        <f>IFERROR(__xludf.DUMMYFUNCTION("to_date(index(sort(GOOGLEFINANCE(A23, ""high"", today()-52*7, today(), ""DAILY""),2,0),2,1))"),46167.64583333333)</f>
        <v>46167.64583</v>
      </c>
      <c r="H23" s="44">
        <f>IFERROR(__xludf.DUMMYFUNCTION("GOOGLEFINANCE(A23,""low52"")"),205.12)</f>
        <v>205.12</v>
      </c>
      <c r="I23" s="45">
        <f>IFERROR(__xludf.DUMMYFUNCTION("to_date(index(sort(GOOGLEFINANCE(A23, ""low"", today()-52*7, today(), ""DAILY""),2,1),1,1))"),45898.64583333333)</f>
        <v>45898.64583</v>
      </c>
      <c r="J23" s="46" t="str">
        <f t="shared" si="1"/>
        <v>Do Not Buy Today</v>
      </c>
    </row>
    <row r="24">
      <c r="A24" s="73" t="s">
        <v>329</v>
      </c>
      <c r="B24" s="59">
        <f>IFERROR(__xludf.DUMMYFUNCTION("GOOGLEFINANCE(A24,""price"")"),169.35)</f>
        <v>169.35</v>
      </c>
      <c r="C24" s="60">
        <f>IFERROR(__xludf.DUMMYFUNCTION("GOOGLEFINANCE(A24,""closeyest"")"),161.8)</f>
        <v>161.8</v>
      </c>
      <c r="D24" s="61">
        <f>IFERROR(__xludf.DUMMYFUNCTION("MIN(index(GOOGLEFINANCE(A24,""ALL"",TODAY()-180,TODAY()),0,5))*1.2"),73.14)</f>
        <v>73.14</v>
      </c>
      <c r="E24" s="62">
        <f>IFERROR(__xludf.DUMMYFUNCTION("AVERAGE(QUERY(SORT(GOOGLEFINANCE(A24,""price"",TODAY()-320,TODAY()),1,0),""select Col2 limit 100""))"),85.82220000000001)</f>
        <v>85.8222</v>
      </c>
      <c r="F24" s="44">
        <f>IFERROR(__xludf.DUMMYFUNCTION("GOOGLEFINANCE(A24,""high52"")"),172.0)</f>
        <v>172</v>
      </c>
      <c r="G24" s="45">
        <f>IFERROR(__xludf.DUMMYFUNCTION("to_date(index(sort(GOOGLEFINANCE(A24, ""high"", today()-52*7, today(), ""DAILY""),2,0),2,1))"),46168.64583333333)</f>
        <v>46168.64583</v>
      </c>
      <c r="H24" s="44">
        <f>IFERROR(__xludf.DUMMYFUNCTION("GOOGLEFINANCE(A24,""low52"")"),59.82)</f>
        <v>59.82</v>
      </c>
      <c r="I24" s="45">
        <f>IFERROR(__xludf.DUMMYFUNCTION("to_date(index(sort(GOOGLEFINANCE(A24, ""low"", today()-52*7, today(), ""DAILY""),2,1),1,1))"),46129.64583333333)</f>
        <v>46129.64583</v>
      </c>
      <c r="J24" s="46" t="str">
        <f t="shared" si="1"/>
        <v>Do Not Buy Today</v>
      </c>
    </row>
    <row r="25">
      <c r="A25" s="73" t="s">
        <v>330</v>
      </c>
      <c r="B25" s="59">
        <f>IFERROR(__xludf.DUMMYFUNCTION("GOOGLEFINANCE(A25,""price"")"),1231.0)</f>
        <v>1231</v>
      </c>
      <c r="C25" s="60">
        <f>IFERROR(__xludf.DUMMYFUNCTION("GOOGLEFINANCE(A25,""closeyest"")"),1229.9)</f>
        <v>1229.9</v>
      </c>
      <c r="D25" s="61">
        <f>IFERROR(__xludf.DUMMYFUNCTION("MIN(index(GOOGLEFINANCE(A25,""ALL"",TODAY()-180,TODAY()),0,5))*1.2"),1056.54)</f>
        <v>1056.54</v>
      </c>
      <c r="E25" s="62">
        <f>IFERROR(__xludf.DUMMYFUNCTION("AVERAGE(QUERY(SORT(GOOGLEFINANCE(A25,""price"",TODAY()-320,TODAY()),1,0),""select Col2 limit 100""))"),1109.1760000000002)</f>
        <v>1109.176</v>
      </c>
      <c r="F25" s="44">
        <f>IFERROR(__xludf.DUMMYFUNCTION("GOOGLEFINANCE(A25,""high52"")"),1714.2)</f>
        <v>1714.2</v>
      </c>
      <c r="G25" s="45">
        <f>IFERROR(__xludf.DUMMYFUNCTION("to_date(index(sort(GOOGLEFINANCE(A25, ""high"", today()-52*7, today(), ""DAILY""),2,0),2,1))"),45923.64583333333)</f>
        <v>45923.64583</v>
      </c>
      <c r="H25" s="44">
        <f>IFERROR(__xludf.DUMMYFUNCTION("GOOGLEFINANCE(A25,""low52"")"),866.6)</f>
        <v>866.6</v>
      </c>
      <c r="I25" s="45">
        <f>IFERROR(__xludf.DUMMYFUNCTION("to_date(index(sort(GOOGLEFINANCE(A25, ""low"", today()-52*7, today(), ""DAILY""),2,1),1,1))"),46097.64583333333)</f>
        <v>46097.64583</v>
      </c>
      <c r="J25" s="46" t="str">
        <f t="shared" si="1"/>
        <v>Do Not Buy Today</v>
      </c>
    </row>
    <row r="26">
      <c r="A26" s="73" t="s">
        <v>331</v>
      </c>
      <c r="B26" s="59">
        <f>IFERROR(__xludf.DUMMYFUNCTION("GOOGLEFINANCE(A26,""price"")"),232.82)</f>
        <v>232.82</v>
      </c>
      <c r="C26" s="60">
        <f>IFERROR(__xludf.DUMMYFUNCTION("GOOGLEFINANCE(A26,""closeyest"")"),228.87)</f>
        <v>228.87</v>
      </c>
      <c r="D26" s="61">
        <f>IFERROR(__xludf.DUMMYFUNCTION("MIN(index(GOOGLEFINANCE(A26,""ALL"",TODAY()-180,TODAY()),0,5))*1.2"),185.56799999999998)</f>
        <v>185.568</v>
      </c>
      <c r="E26" s="62">
        <f>IFERROR(__xludf.DUMMYFUNCTION("AVERAGE(QUERY(SORT(GOOGLEFINANCE(A26,""price"",TODAY()-320,TODAY()),1,0),""select Col2 limit 100""))"),196.5471)</f>
        <v>196.5471</v>
      </c>
      <c r="F26" s="44">
        <f>IFERROR(__xludf.DUMMYFUNCTION("GOOGLEFINANCE(A26,""high52"")"),260.4)</f>
        <v>260.4</v>
      </c>
      <c r="G26" s="45">
        <f>IFERROR(__xludf.DUMMYFUNCTION("to_date(index(sort(GOOGLEFINANCE(A26, ""high"", today()-52*7, today(), ""DAILY""),2,0),2,1))"),45820.64583333333)</f>
        <v>45820.64583</v>
      </c>
      <c r="H26" s="44">
        <f>IFERROR(__xludf.DUMMYFUNCTION("GOOGLEFINANCE(A26,""low52"")"),153.0)</f>
        <v>153</v>
      </c>
      <c r="I26" s="45">
        <f>IFERROR(__xludf.DUMMYFUNCTION("to_date(index(sort(GOOGLEFINANCE(A26, ""low"", today()-52*7, today(), ""DAILY""),2,1),1,1))"),46000.64583333333)</f>
        <v>46000.64583</v>
      </c>
      <c r="J26" s="46" t="str">
        <f t="shared" si="1"/>
        <v>Do Not Buy Today</v>
      </c>
    </row>
    <row r="27">
      <c r="A27" s="73" t="s">
        <v>332</v>
      </c>
      <c r="B27" s="59">
        <f>IFERROR(__xludf.DUMMYFUNCTION("GOOGLEFINANCE(A27,""price"")"),286.4)</f>
        <v>286.4</v>
      </c>
      <c r="C27" s="60">
        <f>IFERROR(__xludf.DUMMYFUNCTION("GOOGLEFINANCE(A27,""closeyest"")"),285.4)</f>
        <v>285.4</v>
      </c>
      <c r="D27" s="61">
        <f>IFERROR(__xludf.DUMMYFUNCTION("MIN(index(GOOGLEFINANCE(A27,""ALL"",TODAY()-180,TODAY()),0,5))*1.2"),272.484)</f>
        <v>272.484</v>
      </c>
      <c r="E27" s="62">
        <f>IFERROR(__xludf.DUMMYFUNCTION("AVERAGE(QUERY(SORT(GOOGLEFINANCE(A27,""price"",TODAY()-320,TODAY()),1,0),""select Col2 limit 100""))"),271.49649999999997)</f>
        <v>271.4965</v>
      </c>
      <c r="F27" s="44">
        <f>IFERROR(__xludf.DUMMYFUNCTION("GOOGLEFINANCE(A27,""high52"")"),320.0)</f>
        <v>320</v>
      </c>
      <c r="G27" s="45">
        <f>IFERROR(__xludf.DUMMYFUNCTION("to_date(index(sort(GOOGLEFINANCE(A27, ""high"", today()-52*7, today(), ""DAILY""),2,0),2,1))"),46162.64583333333)</f>
        <v>46162.64583</v>
      </c>
      <c r="H27" s="44">
        <f>IFERROR(__xludf.DUMMYFUNCTION("GOOGLEFINANCE(A27,""low52"")"),175.37)</f>
        <v>175.37</v>
      </c>
      <c r="I27" s="45">
        <f>IFERROR(__xludf.DUMMYFUNCTION("to_date(index(sort(GOOGLEFINANCE(A27, ""low"", today()-52*7, today(), ""DAILY""),2,1),1,1))"),45831.64583333333)</f>
        <v>45831.64583</v>
      </c>
      <c r="J27" s="46" t="str">
        <f t="shared" si="1"/>
        <v>Do Not Buy Today</v>
      </c>
    </row>
    <row r="28">
      <c r="A28" s="73" t="s">
        <v>333</v>
      </c>
      <c r="B28" s="59">
        <f>IFERROR(__xludf.DUMMYFUNCTION("GOOGLEFINANCE(A28,""price"")"),306.7)</f>
        <v>306.7</v>
      </c>
      <c r="C28" s="60">
        <f>IFERROR(__xludf.DUMMYFUNCTION("GOOGLEFINANCE(A28,""closeyest"")"),308.05)</f>
        <v>308.05</v>
      </c>
      <c r="D28" s="61">
        <f>IFERROR(__xludf.DUMMYFUNCTION("MIN(index(GOOGLEFINANCE(A28,""ALL"",TODAY()-180,TODAY()),0,5))*1.2"),242.088)</f>
        <v>242.088</v>
      </c>
      <c r="E28" s="62">
        <f>IFERROR(__xludf.DUMMYFUNCTION("AVERAGE(QUERY(SORT(GOOGLEFINANCE(A28,""price"",TODAY()-320,TODAY()),1,0),""select Col2 limit 100""))"),258.02230000000003)</f>
        <v>258.0223</v>
      </c>
      <c r="F28" s="44">
        <f>IFERROR(__xludf.DUMMYFUNCTION("GOOGLEFINANCE(A28,""high52"")"),368.75)</f>
        <v>368.75</v>
      </c>
      <c r="G28" s="45">
        <f>IFERROR(__xludf.DUMMYFUNCTION("to_date(index(sort(GOOGLEFINANCE(A28, ""high"", today()-52*7, today(), ""DAILY""),2,0),2,1))"),46153.64583333333)</f>
        <v>46153.64583</v>
      </c>
      <c r="H28" s="44">
        <f>IFERROR(__xludf.DUMMYFUNCTION("GOOGLEFINANCE(A28,""low52"")"),195.55)</f>
        <v>195.55</v>
      </c>
      <c r="I28" s="45">
        <f>IFERROR(__xludf.DUMMYFUNCTION("to_date(index(sort(GOOGLEFINANCE(A28, ""low"", today()-52*7, today(), ""DAILY""),2,1),1,1))"),46049.64583333333)</f>
        <v>46049.64583</v>
      </c>
      <c r="J28" s="46" t="str">
        <f t="shared" si="1"/>
        <v>Do Not Buy Today</v>
      </c>
    </row>
    <row r="29">
      <c r="A29" s="73" t="s">
        <v>334</v>
      </c>
      <c r="B29" s="59">
        <f>IFERROR(__xludf.DUMMYFUNCTION("GOOGLEFINANCE(A29,""price"")"),150.88)</f>
        <v>150.88</v>
      </c>
      <c r="C29" s="60">
        <f>IFERROR(__xludf.DUMMYFUNCTION("GOOGLEFINANCE(A29,""closeyest"")"),151.2)</f>
        <v>151.2</v>
      </c>
      <c r="D29" s="61">
        <f>IFERROR(__xludf.DUMMYFUNCTION("MIN(index(GOOGLEFINANCE(A29,""ALL"",TODAY()-180,TODAY()),0,5))*1.2"),167.04)</f>
        <v>167.04</v>
      </c>
      <c r="E29" s="62">
        <f>IFERROR(__xludf.DUMMYFUNCTION("AVERAGE(QUERY(SORT(GOOGLEFINANCE(A29,""price"",TODAY()-320,TODAY()),1,0),""select Col2 limit 100""))"),172.1721)</f>
        <v>172.1721</v>
      </c>
      <c r="F29" s="44">
        <f>IFERROR(__xludf.DUMMYFUNCTION("GOOGLEFINANCE(A29,""high52"")"),212.31)</f>
        <v>212.31</v>
      </c>
      <c r="G29" s="45">
        <f>IFERROR(__xludf.DUMMYFUNCTION("to_date(index(sort(GOOGLEFINANCE(A29, ""high"", today()-52*7, today(), ""DAILY""),2,0),2,1))"),46087.64583333333)</f>
        <v>46087.64583</v>
      </c>
      <c r="H29" s="44">
        <f>IFERROR(__xludf.DUMMYFUNCTION("GOOGLEFINANCE(A29,""low52"")"),120.4)</f>
        <v>120.4</v>
      </c>
      <c r="I29" s="45">
        <f>IFERROR(__xludf.DUMMYFUNCTION("to_date(index(sort(GOOGLEFINANCE(A29, ""low"", today()-52*7, today(), ""DAILY""),2,1),1,1))"),45876.64583333333)</f>
        <v>45876.64583</v>
      </c>
      <c r="J29" s="46" t="str">
        <f t="shared" si="1"/>
        <v>Do Not Buy Today</v>
      </c>
    </row>
    <row r="30">
      <c r="A30" s="73" t="s">
        <v>335</v>
      </c>
      <c r="B30" s="59">
        <f>IFERROR(__xludf.DUMMYFUNCTION("GOOGLEFINANCE(A30,""price"")"),2747.2)</f>
        <v>2747.2</v>
      </c>
      <c r="C30" s="60">
        <f>IFERROR(__xludf.DUMMYFUNCTION("GOOGLEFINANCE(A30,""closeyest"")"),2732.9)</f>
        <v>2732.9</v>
      </c>
      <c r="D30" s="61">
        <f>IFERROR(__xludf.DUMMYFUNCTION("MIN(index(GOOGLEFINANCE(A30,""ALL"",TODAY()-180,TODAY()),0,5))*1.2"),2641.4399999999996)</f>
        <v>2641.44</v>
      </c>
      <c r="E30" s="62">
        <f>IFERROR(__xludf.DUMMYFUNCTION("AVERAGE(QUERY(SORT(GOOGLEFINANCE(A30,""price"",TODAY()-320,TODAY()),1,0),""select Col2 limit 100""))"),2468.395)</f>
        <v>2468.395</v>
      </c>
      <c r="F30" s="44">
        <f>IFERROR(__xludf.DUMMYFUNCTION("GOOGLEFINANCE(A30,""high52"")"),3079.9)</f>
        <v>3079.9</v>
      </c>
      <c r="G30" s="45">
        <f>IFERROR(__xludf.DUMMYFUNCTION("to_date(index(sort(GOOGLEFINANCE(A30, ""high"", today()-52*7, today(), ""DAILY""),2,0),2,1))"),45909.64583333333)</f>
        <v>45909.64583</v>
      </c>
      <c r="H30" s="44">
        <f>IFERROR(__xludf.DUMMYFUNCTION("GOOGLEFINANCE(A30,""low52"")"),2142.8)</f>
        <v>2142.8</v>
      </c>
      <c r="I30" s="45">
        <f>IFERROR(__xludf.DUMMYFUNCTION("to_date(index(sort(GOOGLEFINANCE(A30, ""low"", today()-52*7, today(), ""DAILY""),2,1),1,1))"),46114.64583333333)</f>
        <v>46114.64583</v>
      </c>
      <c r="J30" s="46" t="str">
        <f t="shared" si="1"/>
        <v>Do Not Buy Today</v>
      </c>
    </row>
    <row r="31">
      <c r="A31" s="73" t="s">
        <v>336</v>
      </c>
      <c r="B31" s="59">
        <f>IFERROR(__xludf.DUMMYFUNCTION("GOOGLEFINANCE(A31,""price"")"),1218.4)</f>
        <v>1218.4</v>
      </c>
      <c r="C31" s="60">
        <f>IFERROR(__xludf.DUMMYFUNCTION("GOOGLEFINANCE(A31,""closeyest"")"),1228.8)</f>
        <v>1228.8</v>
      </c>
      <c r="D31" s="61">
        <f>IFERROR(__xludf.DUMMYFUNCTION("MIN(index(GOOGLEFINANCE(A31,""ALL"",TODAY()-180,TODAY()),0,5))*1.2"),1153.32)</f>
        <v>1153.32</v>
      </c>
      <c r="E31" s="62">
        <f>IFERROR(__xludf.DUMMYFUNCTION("AVERAGE(QUERY(SORT(GOOGLEFINANCE(A31,""price"",TODAY()-320,TODAY()),1,0),""select Col2 limit 100""))"),1124.9449999999997)</f>
        <v>1124.945</v>
      </c>
      <c r="F31" s="44">
        <f>IFERROR(__xludf.DUMMYFUNCTION("GOOGLEFINANCE(A31,""high52"")"),1456.5)</f>
        <v>1456.5</v>
      </c>
      <c r="G31" s="45">
        <f>IFERROR(__xludf.DUMMYFUNCTION("to_date(index(sort(GOOGLEFINANCE(A31, ""high"", today()-52*7, today(), ""DAILY""),2,0),2,1))"),45877.64583333333)</f>
        <v>45877.64583</v>
      </c>
      <c r="H31" s="44">
        <f>IFERROR(__xludf.DUMMYFUNCTION("GOOGLEFINANCE(A31,""low52"")"),956.0)</f>
        <v>956</v>
      </c>
      <c r="I31" s="45">
        <f>IFERROR(__xludf.DUMMYFUNCTION("to_date(index(sort(GOOGLEFINANCE(A31, ""low"", today()-52*7, today(), ""DAILY""),2,1),1,1))"),46111.64583333333)</f>
        <v>46111.64583</v>
      </c>
      <c r="J31" s="46" t="str">
        <f t="shared" si="1"/>
        <v>Do Not Buy Today</v>
      </c>
    </row>
    <row r="32">
      <c r="A32" s="73" t="s">
        <v>337</v>
      </c>
      <c r="B32" s="59">
        <f>IFERROR(__xludf.DUMMYFUNCTION("GOOGLEFINANCE(A32,""price"")"),586.75)</f>
        <v>586.75</v>
      </c>
      <c r="C32" s="60">
        <f>IFERROR(__xludf.DUMMYFUNCTION("GOOGLEFINANCE(A32,""closeyest"")"),587.2)</f>
        <v>587.2</v>
      </c>
      <c r="D32" s="61">
        <f>IFERROR(__xludf.DUMMYFUNCTION("MIN(index(GOOGLEFINANCE(A32,""ALL"",TODAY()-180,TODAY()),0,5))*1.2"),572.6999999999999)</f>
        <v>572.7</v>
      </c>
      <c r="E32" s="62">
        <f>IFERROR(__xludf.DUMMYFUNCTION("AVERAGE(QUERY(SORT(GOOGLEFINANCE(A32,""price"",TODAY()-320,TODAY()),1,0),""select Col2 limit 100""))"),569.6864999999999)</f>
        <v>569.6865</v>
      </c>
      <c r="F32" s="44">
        <f>IFERROR(__xludf.DUMMYFUNCTION("GOOGLEFINANCE(A32,""high52"")"),690.0)</f>
        <v>690</v>
      </c>
      <c r="G32" s="45">
        <f>IFERROR(__xludf.DUMMYFUNCTION("to_date(index(sort(GOOGLEFINANCE(A32, ""high"", today()-52*7, today(), ""DAILY""),2,0),2,1))"),46141.64583333333)</f>
        <v>46141.64583</v>
      </c>
      <c r="H32" s="44">
        <f>IFERROR(__xludf.DUMMYFUNCTION("GOOGLEFINANCE(A32,""low52"")"),459.8)</f>
        <v>459.8</v>
      </c>
      <c r="I32" s="45">
        <f>IFERROR(__xludf.DUMMYFUNCTION("to_date(index(sort(GOOGLEFINANCE(A32, ""low"", today()-52*7, today(), ""DAILY""),2,1),1,1))"),45898.64583333333)</f>
        <v>45898.64583</v>
      </c>
      <c r="J32" s="46" t="str">
        <f t="shared" si="1"/>
        <v>Do Not Buy Today</v>
      </c>
    </row>
    <row r="33">
      <c r="A33" s="73" t="s">
        <v>113</v>
      </c>
      <c r="B33" s="59">
        <f>IFERROR(__xludf.DUMMYFUNCTION("GOOGLEFINANCE(A33,""price"")"),983.9)</f>
        <v>983.9</v>
      </c>
      <c r="C33" s="60">
        <f>IFERROR(__xludf.DUMMYFUNCTION("GOOGLEFINANCE(A33,""closeyest"")"),993.95)</f>
        <v>993.95</v>
      </c>
      <c r="D33" s="61">
        <f>IFERROR(__xludf.DUMMYFUNCTION("MIN(index(GOOGLEFINANCE(A33,""ALL"",TODAY()-180,TODAY()),0,5))*1.2"),1117.92)</f>
        <v>1117.92</v>
      </c>
      <c r="E33" s="62">
        <f>IFERROR(__xludf.DUMMYFUNCTION("AVERAGE(QUERY(SORT(GOOGLEFINANCE(A33,""price"",TODAY()-320,TODAY()),1,0),""select Col2 limit 100""))"),1018.4300000000003)</f>
        <v>1018.43</v>
      </c>
      <c r="F33" s="44">
        <f>IFERROR(__xludf.DUMMYFUNCTION("GOOGLEFINANCE(A33,""high52"")"),1314.3)</f>
        <v>1314.3</v>
      </c>
      <c r="G33" s="45">
        <f>IFERROR(__xludf.DUMMYFUNCTION("to_date(index(sort(GOOGLEFINANCE(A33, ""high"", today()-52*7, today(), ""DAILY""),2,0),2,1))"),45842.64583333333)</f>
        <v>45842.64583</v>
      </c>
      <c r="H33" s="44">
        <f>IFERROR(__xludf.DUMMYFUNCTION("GOOGLEFINANCE(A33,""low52"")"),903.0)</f>
        <v>903</v>
      </c>
      <c r="I33" s="45">
        <f>IFERROR(__xludf.DUMMYFUNCTION("to_date(index(sort(GOOGLEFINANCE(A33, ""low"", today()-52*7, today(), ""DAILY""),2,1),1,1))"),46119.64583333333)</f>
        <v>46119.64583</v>
      </c>
      <c r="J33" s="46" t="str">
        <f t="shared" si="1"/>
        <v>Do Not Buy Today</v>
      </c>
    </row>
    <row r="34">
      <c r="A34" s="73" t="s">
        <v>338</v>
      </c>
      <c r="B34" s="59">
        <f>IFERROR(__xludf.DUMMYFUNCTION("GOOGLEFINANCE(A34,""price"")"),919.95)</f>
        <v>919.95</v>
      </c>
      <c r="C34" s="60">
        <f>IFERROR(__xludf.DUMMYFUNCTION("GOOGLEFINANCE(A34,""closeyest"")"),925.55)</f>
        <v>925.55</v>
      </c>
      <c r="D34" s="61">
        <f>IFERROR(__xludf.DUMMYFUNCTION("MIN(index(GOOGLEFINANCE(A34,""ALL"",TODAY()-180,TODAY()),0,5))*1.2"),903.42)</f>
        <v>903.42</v>
      </c>
      <c r="E34" s="62">
        <f>IFERROR(__xludf.DUMMYFUNCTION("AVERAGE(QUERY(SORT(GOOGLEFINANCE(A34,""price"",TODAY()-320,TODAY()),1,0),""select Col2 limit 100""))"),971.1360000000001)</f>
        <v>971.136</v>
      </c>
      <c r="F34" s="44">
        <f>IFERROR(__xludf.DUMMYFUNCTION("GOOGLEFINANCE(A34,""high52"")"),1372.4)</f>
        <v>1372.4</v>
      </c>
      <c r="G34" s="45">
        <f>IFERROR(__xludf.DUMMYFUNCTION("to_date(index(sort(GOOGLEFINANCE(A34, ""high"", today()-52*7, today(), ""DAILY""),2,0),2,1))"),45806.64583333333)</f>
        <v>45806.64583</v>
      </c>
      <c r="H34" s="44">
        <f>IFERROR(__xludf.DUMMYFUNCTION("GOOGLEFINANCE(A34,""low52"")"),750.3)</f>
        <v>750.3</v>
      </c>
      <c r="I34" s="45">
        <f>IFERROR(__xludf.DUMMYFUNCTION("to_date(index(sort(GOOGLEFINANCE(A34, ""low"", today()-52*7, today(), ""DAILY""),2,1),1,1))"),46111.64583333333)</f>
        <v>46111.64583</v>
      </c>
      <c r="J34" s="46" t="str">
        <f t="shared" si="1"/>
        <v>Do Not Buy Today</v>
      </c>
    </row>
    <row r="35">
      <c r="A35" s="73" t="s">
        <v>339</v>
      </c>
      <c r="B35" s="59">
        <f>IFERROR(__xludf.DUMMYFUNCTION("GOOGLEFINANCE(A35,""price"")"),474.85)</f>
        <v>474.85</v>
      </c>
      <c r="C35" s="60">
        <f>IFERROR(__xludf.DUMMYFUNCTION("GOOGLEFINANCE(A35,""closeyest"")"),466.95)</f>
        <v>466.95</v>
      </c>
      <c r="D35" s="61">
        <f>IFERROR(__xludf.DUMMYFUNCTION("MIN(index(GOOGLEFINANCE(A35,""ALL"",TODAY()-180,TODAY()),0,5))*1.2"),528.78)</f>
        <v>528.78</v>
      </c>
      <c r="E35" s="62">
        <f>IFERROR(__xludf.DUMMYFUNCTION("AVERAGE(QUERY(SORT(GOOGLEFINANCE(A35,""price"",TODAY()-320,TODAY()),1,0),""select Col2 limit 100""))"),548.5485000000002)</f>
        <v>548.5485</v>
      </c>
      <c r="F35" s="44">
        <f>IFERROR(__xludf.DUMMYFUNCTION("GOOGLEFINANCE(A35,""high52"")"),836.45)</f>
        <v>836.45</v>
      </c>
      <c r="G35" s="45">
        <f>IFERROR(__xludf.DUMMYFUNCTION("to_date(index(sort(GOOGLEFINANCE(A35, ""high"", today()-52*7, today(), ""DAILY""),2,0),2,1))"),45855.64583333333)</f>
        <v>45855.64583</v>
      </c>
      <c r="H35" s="44">
        <f>IFERROR(__xludf.DUMMYFUNCTION("GOOGLEFINANCE(A35,""low52"")"),436.55)</f>
        <v>436.55</v>
      </c>
      <c r="I35" s="45">
        <f>IFERROR(__xludf.DUMMYFUNCTION("to_date(index(sort(GOOGLEFINANCE(A35, ""low"", today()-52*7, today(), ""DAILY""),2,1),1,1))"),46118.64583333333)</f>
        <v>46118.64583</v>
      </c>
      <c r="J35" s="46" t="str">
        <f t="shared" si="1"/>
        <v>Do Not Buy Today</v>
      </c>
    </row>
    <row r="36">
      <c r="A36" s="73" t="s">
        <v>340</v>
      </c>
      <c r="B36" s="59">
        <f>IFERROR(__xludf.DUMMYFUNCTION("GOOGLEFINANCE(A36,""price"")"),3603.7)</f>
        <v>3603.7</v>
      </c>
      <c r="C36" s="60">
        <f>IFERROR(__xludf.DUMMYFUNCTION("GOOGLEFINANCE(A36,""closeyest"")"),3587.2)</f>
        <v>3587.2</v>
      </c>
      <c r="D36" s="61">
        <f>IFERROR(__xludf.DUMMYFUNCTION("MIN(index(GOOGLEFINANCE(A36,""ALL"",TODAY()-180,TODAY()),0,5))*1.2"),3407.4)</f>
        <v>3407.4</v>
      </c>
      <c r="E36" s="62">
        <f>IFERROR(__xludf.DUMMYFUNCTION("AVERAGE(QUERY(SORT(GOOGLEFINANCE(A36,""price"",TODAY()-320,TODAY()),1,0),""select Col2 limit 100""))"),3231.9570000000017)</f>
        <v>3231.957</v>
      </c>
      <c r="F36" s="44">
        <f>IFERROR(__xludf.DUMMYFUNCTION("GOOGLEFINANCE(A36,""high52"")"),3735.0)</f>
        <v>3735</v>
      </c>
      <c r="G36" s="45">
        <f>IFERROR(__xludf.DUMMYFUNCTION("to_date(index(sort(GOOGLEFINANCE(A36, ""high"", today()-52*7, today(), ""DAILY""),2,0),2,1))"),46129.64583333333)</f>
        <v>46129.64583</v>
      </c>
      <c r="H36" s="44">
        <f>IFERROR(__xludf.DUMMYFUNCTION("GOOGLEFINANCE(A36,""low52"")"),1859.8)</f>
        <v>1859.8</v>
      </c>
      <c r="I36" s="45">
        <f>IFERROR(__xludf.DUMMYFUNCTION("to_date(index(sort(GOOGLEFINANCE(A36, ""low"", today()-52*7, today(), ""DAILY""),2,1),1,1))"),45807.64583333333)</f>
        <v>45807.64583</v>
      </c>
      <c r="J36" s="46" t="str">
        <f t="shared" si="1"/>
        <v>Do Not Buy Today</v>
      </c>
    </row>
    <row r="37">
      <c r="A37" s="73" t="s">
        <v>115</v>
      </c>
      <c r="B37" s="59">
        <f>IFERROR(__xludf.DUMMYFUNCTION("GOOGLEFINANCE(A37,""price"")"),37.93)</f>
        <v>37.93</v>
      </c>
      <c r="C37" s="60">
        <f>IFERROR(__xludf.DUMMYFUNCTION("GOOGLEFINANCE(A37,""closeyest"")"),37.58)</f>
        <v>37.58</v>
      </c>
      <c r="D37" s="61">
        <f>IFERROR(__xludf.DUMMYFUNCTION("MIN(index(GOOGLEFINANCE(A37,""ALL"",TODAY()-180,TODAY()),0,5))*1.2"),27.36)</f>
        <v>27.36</v>
      </c>
      <c r="E37" s="62">
        <f>IFERROR(__xludf.DUMMYFUNCTION("AVERAGE(QUERY(SORT(GOOGLEFINANCE(A37,""price"",TODAY()-320,TODAY()),1,0),""select Col2 limit 100""))"),32.36579999999997)</f>
        <v>32.3658</v>
      </c>
      <c r="F37" s="44">
        <f>IFERROR(__xludf.DUMMYFUNCTION("GOOGLEFINANCE(A37,""high52"")"),71.25)</f>
        <v>71.25</v>
      </c>
      <c r="G37" s="45">
        <f>IFERROR(__xludf.DUMMYFUNCTION("to_date(index(sort(GOOGLEFINANCE(A37, ""high"", today()-52*7, today(), ""DAILY""),2,0),2,1))"),45904.64583333333)</f>
        <v>45904.64583</v>
      </c>
      <c r="H37" s="44">
        <f>IFERROR(__xludf.DUMMYFUNCTION("GOOGLEFINANCE(A37,""low52"")"),22.25)</f>
        <v>22.25</v>
      </c>
      <c r="I37" s="45">
        <f>IFERROR(__xludf.DUMMYFUNCTION("to_date(index(sort(GOOGLEFINANCE(A37, ""low"", today()-52*7, today(), ""DAILY""),2,1),1,1))"),46097.64583333333)</f>
        <v>46097.64583</v>
      </c>
      <c r="J37" s="46" t="str">
        <f t="shared" si="1"/>
        <v>Do Not Buy Today</v>
      </c>
    </row>
    <row r="38">
      <c r="A38" s="73" t="s">
        <v>341</v>
      </c>
      <c r="B38" s="59">
        <f>IFERROR(__xludf.DUMMYFUNCTION("GOOGLEFINANCE(A38,""price"")"),478.0)</f>
        <v>478</v>
      </c>
      <c r="C38" s="60">
        <f>IFERROR(__xludf.DUMMYFUNCTION("GOOGLEFINANCE(A38,""closeyest"")"),478.2)</f>
        <v>478.2</v>
      </c>
      <c r="D38" s="61">
        <f>IFERROR(__xludf.DUMMYFUNCTION("MIN(index(GOOGLEFINANCE(A38,""ALL"",TODAY()-180,TODAY()),0,5))*1.2"),526.92)</f>
        <v>526.92</v>
      </c>
      <c r="E38" s="62">
        <f>IFERROR(__xludf.DUMMYFUNCTION("AVERAGE(QUERY(SORT(GOOGLEFINANCE(A38,""price"",TODAY()-320,TODAY()),1,0),""select Col2 limit 100""))"),475.915)</f>
        <v>475.915</v>
      </c>
      <c r="F38" s="44">
        <f>IFERROR(__xludf.DUMMYFUNCTION("GOOGLEFINANCE(A38,""high52"")"),547.8)</f>
        <v>547.8</v>
      </c>
      <c r="G38" s="45">
        <f>IFERROR(__xludf.DUMMYFUNCTION("to_date(index(sort(GOOGLEFINANCE(A38, ""high"", today()-52*7, today(), ""DAILY""),2,0),2,1))"),45924.64583333333)</f>
        <v>45924.64583</v>
      </c>
      <c r="H38" s="44">
        <f>IFERROR(__xludf.DUMMYFUNCTION("GOOGLEFINANCE(A38,""low52"")"),411.3)</f>
        <v>411.3</v>
      </c>
      <c r="I38" s="45">
        <f>IFERROR(__xludf.DUMMYFUNCTION("to_date(index(sort(GOOGLEFINANCE(A38, ""low"", today()-52*7, today(), ""DAILY""),2,1),1,1))"),45832.64583333333)</f>
        <v>45832.64583</v>
      </c>
      <c r="J38" s="46" t="str">
        <f t="shared" si="1"/>
        <v>Do Not Buy Today</v>
      </c>
    </row>
    <row r="39">
      <c r="A39" s="73" t="s">
        <v>342</v>
      </c>
      <c r="B39" s="59">
        <f>IFERROR(__xludf.DUMMYFUNCTION("GOOGLEFINANCE(A39,""price"")"),406.3)</f>
        <v>406.3</v>
      </c>
      <c r="C39" s="60">
        <f>IFERROR(__xludf.DUMMYFUNCTION("GOOGLEFINANCE(A39,""closeyest"")"),410.45)</f>
        <v>410.45</v>
      </c>
      <c r="D39" s="61">
        <f>IFERROR(__xludf.DUMMYFUNCTION("MIN(index(GOOGLEFINANCE(A39,""ALL"",TODAY()-180,TODAY()),0,5))*1.2"),404.7)</f>
        <v>404.7</v>
      </c>
      <c r="E39" s="62">
        <f>IFERROR(__xludf.DUMMYFUNCTION("AVERAGE(QUERY(SORT(GOOGLEFINANCE(A39,""price"",TODAY()-320,TODAY()),1,0),""select Col2 limit 100""))"),396.7629999999998)</f>
        <v>396.763</v>
      </c>
      <c r="F39" s="44">
        <f>IFERROR(__xludf.DUMMYFUNCTION("GOOGLEFINANCE(A39,""high52"")"),518.55)</f>
        <v>518.55</v>
      </c>
      <c r="G39" s="45">
        <f>IFERROR(__xludf.DUMMYFUNCTION("to_date(index(sort(GOOGLEFINANCE(A39, ""high"", today()-52*7, today(), ""DAILY""),2,0),2,1))"),45855.64583333333)</f>
        <v>45855.64583</v>
      </c>
      <c r="H39" s="44">
        <f>IFERROR(__xludf.DUMMYFUNCTION("GOOGLEFINANCE(A39,""low52"")"),333.15)</f>
        <v>333.15</v>
      </c>
      <c r="I39" s="45">
        <f>IFERROR(__xludf.DUMMYFUNCTION("to_date(index(sort(GOOGLEFINANCE(A39, ""low"", today()-52*7, today(), ""DAILY""),2,1),1,1))"),46042.64583333333)</f>
        <v>46042.64583</v>
      </c>
      <c r="J39" s="46" t="str">
        <f t="shared" si="1"/>
        <v>Do Not Buy Today</v>
      </c>
    </row>
    <row r="40">
      <c r="A40" s="73" t="s">
        <v>343</v>
      </c>
      <c r="B40" s="59">
        <f>IFERROR(__xludf.DUMMYFUNCTION("GOOGLEFINANCE(A40,""price"")"),1120.0)</f>
        <v>1120</v>
      </c>
      <c r="C40" s="60">
        <f>IFERROR(__xludf.DUMMYFUNCTION("GOOGLEFINANCE(A40,""closeyest"")"),1125.3)</f>
        <v>1125.3</v>
      </c>
      <c r="D40" s="61">
        <f>IFERROR(__xludf.DUMMYFUNCTION("MIN(index(GOOGLEFINANCE(A40,""ALL"",TODAY()-180,TODAY()),0,5))*1.2"),1115.1)</f>
        <v>1115.1</v>
      </c>
      <c r="E40" s="62">
        <f>IFERROR(__xludf.DUMMYFUNCTION("AVERAGE(QUERY(SORT(GOOGLEFINANCE(A40,""price"",TODAY()-320,TODAY()),1,0),""select Col2 limit 100""))"),1091.9940000000001)</f>
        <v>1091.994</v>
      </c>
      <c r="F40" s="44">
        <f>IFERROR(__xludf.DUMMYFUNCTION("GOOGLEFINANCE(A40,""high52"")"),1273.8)</f>
        <v>1273.8</v>
      </c>
      <c r="G40" s="45">
        <f>IFERROR(__xludf.DUMMYFUNCTION("to_date(index(sort(GOOGLEFINANCE(A40, ""high"", today()-52*7, today(), ""DAILY""),2,0),2,1))"),45845.64583333333)</f>
        <v>45845.64583</v>
      </c>
      <c r="H40" s="44">
        <f>IFERROR(__xludf.DUMMYFUNCTION("GOOGLEFINANCE(A40,""low52"")"),906.05)</f>
        <v>906.05</v>
      </c>
      <c r="I40" s="45">
        <f>IFERROR(__xludf.DUMMYFUNCTION("to_date(index(sort(GOOGLEFINANCE(A40, ""low"", today()-52*7, today(), ""DAILY""),2,1),1,1))"),46119.64583333333)</f>
        <v>46119.64583</v>
      </c>
      <c r="J40" s="46" t="str">
        <f t="shared" si="1"/>
        <v>Do Not Buy Today</v>
      </c>
    </row>
    <row r="41">
      <c r="A41" s="73" t="s">
        <v>344</v>
      </c>
      <c r="B41" s="59">
        <f>IFERROR(__xludf.DUMMYFUNCTION("GOOGLEFINANCE(A41,""price"")"),117.08)</f>
        <v>117.08</v>
      </c>
      <c r="C41" s="60">
        <f>IFERROR(__xludf.DUMMYFUNCTION("GOOGLEFINANCE(A41,""closeyest"")"),117.21)</f>
        <v>117.21</v>
      </c>
      <c r="D41" s="61">
        <f>IFERROR(__xludf.DUMMYFUNCTION("MIN(index(GOOGLEFINANCE(A41,""ALL"",TODAY()-180,TODAY()),0,5))*1.2"),120.50399999999999)</f>
        <v>120.504</v>
      </c>
      <c r="E41" s="62">
        <f>IFERROR(__xludf.DUMMYFUNCTION("AVERAGE(QUERY(SORT(GOOGLEFINANCE(A41,""price"",TODAY()-320,TODAY()),1,0),""select Col2 limit 100""))"),123.39729999999994)</f>
        <v>123.3973</v>
      </c>
      <c r="F41" s="44">
        <f>IFERROR(__xludf.DUMMYFUNCTION("GOOGLEFINANCE(A41,""high52"")"),180.68)</f>
        <v>180.68</v>
      </c>
      <c r="G41" s="45">
        <f>IFERROR(__xludf.DUMMYFUNCTION("to_date(index(sort(GOOGLEFINANCE(A41, ""high"", today()-52*7, today(), ""DAILY""),2,0),2,1))"),45908.64583333333)</f>
        <v>45908.64583</v>
      </c>
      <c r="H41" s="44">
        <f>IFERROR(__xludf.DUMMYFUNCTION("GOOGLEFINANCE(A41,""low52"")"),99.61)</f>
        <v>99.61</v>
      </c>
      <c r="I41" s="45">
        <f>IFERROR(__xludf.DUMMYFUNCTION("to_date(index(sort(GOOGLEFINANCE(A41, ""low"", today()-52*7, today(), ""DAILY""),2,1),1,1))"),46097.64583333333)</f>
        <v>46097.64583</v>
      </c>
      <c r="J41" s="46" t="str">
        <f t="shared" si="1"/>
        <v>Do Not Buy Today</v>
      </c>
    </row>
    <row r="42">
      <c r="A42" s="73" t="s">
        <v>345</v>
      </c>
      <c r="B42" s="59">
        <f>IFERROR(__xludf.DUMMYFUNCTION("GOOGLEFINANCE(A42,""price"")"),1837.1)</f>
        <v>1837.1</v>
      </c>
      <c r="C42" s="60">
        <f>IFERROR(__xludf.DUMMYFUNCTION("GOOGLEFINANCE(A42,""closeyest"")"),1844.7)</f>
        <v>1844.7</v>
      </c>
      <c r="D42" s="61">
        <f>IFERROR(__xludf.DUMMYFUNCTION("MIN(index(GOOGLEFINANCE(A42,""ALL"",TODAY()-180,TODAY()),0,5))*1.2"),1643.28)</f>
        <v>1643.28</v>
      </c>
      <c r="E42" s="62">
        <f>IFERROR(__xludf.DUMMYFUNCTION("AVERAGE(QUERY(SORT(GOOGLEFINANCE(A42,""price"",TODAY()-320,TODAY()),1,0),""select Col2 limit 100""))"),1722.046999999999)</f>
        <v>1722.047</v>
      </c>
      <c r="F42" s="44">
        <f>IFERROR(__xludf.DUMMYFUNCTION("GOOGLEFINANCE(A42,""high52"")"),2437.4)</f>
        <v>2437.4</v>
      </c>
      <c r="G42" s="45">
        <f>IFERROR(__xludf.DUMMYFUNCTION("to_date(index(sort(GOOGLEFINANCE(A42, ""high"", today()-52*7, today(), ""DAILY""),2,0),2,1))"),45831.64583333333)</f>
        <v>45831.64583</v>
      </c>
      <c r="H42" s="44">
        <f>IFERROR(__xludf.DUMMYFUNCTION("GOOGLEFINANCE(A42,""low52"")"),1355.0)</f>
        <v>1355</v>
      </c>
      <c r="I42" s="45">
        <f>IFERROR(__xludf.DUMMYFUNCTION("to_date(index(sort(GOOGLEFINANCE(A42, ""low"", today()-52*7, today(), ""DAILY""),2,1),1,1))"),46111.64583333333)</f>
        <v>46111.64583</v>
      </c>
      <c r="J42" s="46" t="str">
        <f t="shared" si="1"/>
        <v>Do Not Buy Today</v>
      </c>
    </row>
    <row r="43">
      <c r="A43" s="73" t="s">
        <v>346</v>
      </c>
      <c r="B43" s="59">
        <f>IFERROR(__xludf.DUMMYFUNCTION("GOOGLEFINANCE(A43,""price"")"),46.07)</f>
        <v>46.07</v>
      </c>
      <c r="C43" s="60">
        <f>IFERROR(__xludf.DUMMYFUNCTION("GOOGLEFINANCE(A43,""closeyest"")"),45.21)</f>
        <v>45.21</v>
      </c>
      <c r="D43" s="61">
        <f>IFERROR(__xludf.DUMMYFUNCTION("MIN(index(GOOGLEFINANCE(A43,""ALL"",TODAY()-180,TODAY()),0,5))*1.2"),39.84)</f>
        <v>39.84</v>
      </c>
      <c r="E43" s="62">
        <f>IFERROR(__xludf.DUMMYFUNCTION("AVERAGE(QUERY(SORT(GOOGLEFINANCE(A43,""price"",TODAY()-320,TODAY()),1,0),""select Col2 limit 100""))"),40.885300000000015)</f>
        <v>40.8853</v>
      </c>
      <c r="F43" s="44">
        <f>IFERROR(__xludf.DUMMYFUNCTION("GOOGLEFINANCE(A43,""high52"")"),49.65)</f>
        <v>49.65</v>
      </c>
      <c r="G43" s="45">
        <f>IFERROR(__xludf.DUMMYFUNCTION("to_date(index(sort(GOOGLEFINANCE(A43, ""high"", today()-52*7, today(), ""DAILY""),2,0),2,1))"),45959.64583333333)</f>
        <v>45959.64583</v>
      </c>
      <c r="H43" s="44">
        <f>IFERROR(__xludf.DUMMYFUNCTION("GOOGLEFINANCE(A43,""low52"")"),33.01)</f>
        <v>33.01</v>
      </c>
      <c r="I43" s="45">
        <f>IFERROR(__xludf.DUMMYFUNCTION("to_date(index(sort(GOOGLEFINANCE(A43, ""low"", today()-52*7, today(), ""DAILY""),2,1),1,1))"),46111.64583333333)</f>
        <v>46111.64583</v>
      </c>
      <c r="J43" s="46" t="str">
        <f t="shared" si="1"/>
        <v>Do Not Buy Today</v>
      </c>
    </row>
    <row r="44">
      <c r="A44" s="73" t="s">
        <v>120</v>
      </c>
      <c r="B44" s="59">
        <f>IFERROR(__xludf.DUMMYFUNCTION("GOOGLEFINANCE(A44,""price"")"),3578.6)</f>
        <v>3578.6</v>
      </c>
      <c r="C44" s="60">
        <f>IFERROR(__xludf.DUMMYFUNCTION("GOOGLEFINANCE(A44,""closeyest"")"),3570.9)</f>
        <v>3570.9</v>
      </c>
      <c r="D44" s="61">
        <f>IFERROR(__xludf.DUMMYFUNCTION("MIN(index(GOOGLEFINANCE(A44,""ALL"",TODAY()-180,TODAY()),0,5))*1.2"),3865.3199999999997)</f>
        <v>3865.32</v>
      </c>
      <c r="E44" s="62">
        <f>IFERROR(__xludf.DUMMYFUNCTION("AVERAGE(QUERY(SORT(GOOGLEFINANCE(A44,""price"",TODAY()-320,TODAY()),1,0),""select Col2 limit 100""))"),3685.096000000001)</f>
        <v>3685.096</v>
      </c>
      <c r="F44" s="44">
        <f>IFERROR(__xludf.DUMMYFUNCTION("GOOGLEFINANCE(A44,""high52"")"),4739.0)</f>
        <v>4739</v>
      </c>
      <c r="G44" s="45">
        <f>IFERROR(__xludf.DUMMYFUNCTION("to_date(index(sort(GOOGLEFINANCE(A44, ""high"", today()-52*7, today(), ""DAILY""),2,0),2,1))"),45825.64583333333)</f>
        <v>45825.64583</v>
      </c>
      <c r="H44" s="44">
        <f>IFERROR(__xludf.DUMMYFUNCTION("GOOGLEFINANCE(A44,""low52"")"),3182.0)</f>
        <v>3182</v>
      </c>
      <c r="I44" s="45">
        <f>IFERROR(__xludf.DUMMYFUNCTION("to_date(index(sort(GOOGLEFINANCE(A44, ""low"", today()-52*7, today(), ""DAILY""),2,1),1,1))"),46002.64583333333)</f>
        <v>46002.64583</v>
      </c>
      <c r="J44" s="46" t="str">
        <f t="shared" si="1"/>
        <v>Do Not Buy Today</v>
      </c>
    </row>
    <row r="45">
      <c r="A45" s="73" t="s">
        <v>347</v>
      </c>
      <c r="B45" s="59">
        <f>IFERROR(__xludf.DUMMYFUNCTION("GOOGLEFINANCE(A45,""price"")"),967.0)</f>
        <v>967</v>
      </c>
      <c r="C45" s="60">
        <f>IFERROR(__xludf.DUMMYFUNCTION("GOOGLEFINANCE(A45,""closeyest"")"),967.7)</f>
        <v>967.7</v>
      </c>
      <c r="D45" s="61">
        <f>IFERROR(__xludf.DUMMYFUNCTION("MIN(index(GOOGLEFINANCE(A45,""ALL"",TODAY()-180,TODAY()),0,5))*1.2"),1102.32)</f>
        <v>1102.32</v>
      </c>
      <c r="E45" s="62">
        <f>IFERROR(__xludf.DUMMYFUNCTION("AVERAGE(QUERY(SORT(GOOGLEFINANCE(A45,""price"",TODAY()-320,TODAY()),1,0),""select Col2 limit 100""))"),1002.6264999999999)</f>
        <v>1002.6265</v>
      </c>
      <c r="F45" s="44">
        <f>IFERROR(__xludf.DUMMYFUNCTION("GOOGLEFINANCE(A45,""high52"")"),1249.7)</f>
        <v>1249.7</v>
      </c>
      <c r="G45" s="45">
        <f>IFERROR(__xludf.DUMMYFUNCTION("to_date(index(sort(GOOGLEFINANCE(A45, ""high"", today()-52*7, today(), ""DAILY""),2,0),2,1))"),45960.64583333333)</f>
        <v>45960.64583</v>
      </c>
      <c r="H45" s="44">
        <f>IFERROR(__xludf.DUMMYFUNCTION("GOOGLEFINANCE(A45,""low52"")"),907.4)</f>
        <v>907.4</v>
      </c>
      <c r="I45" s="45">
        <f>IFERROR(__xludf.DUMMYFUNCTION("to_date(index(sort(GOOGLEFINANCE(A45, ""low"", today()-52*7, today(), ""DAILY""),2,1),1,1))"),46111.64583333333)</f>
        <v>46111.64583</v>
      </c>
      <c r="J45" s="46" t="str">
        <f t="shared" si="1"/>
        <v>Do Not Buy Today</v>
      </c>
    </row>
    <row r="46">
      <c r="A46" s="73" t="s">
        <v>348</v>
      </c>
      <c r="B46" s="59">
        <f>IFERROR(__xludf.DUMMYFUNCTION("GOOGLEFINANCE(A46,""price"")"),752.3)</f>
        <v>752.3</v>
      </c>
      <c r="C46" s="60">
        <f>IFERROR(__xludf.DUMMYFUNCTION("GOOGLEFINANCE(A46,""closeyest"")"),764.55)</f>
        <v>764.55</v>
      </c>
      <c r="D46" s="61">
        <f>IFERROR(__xludf.DUMMYFUNCTION("MIN(index(GOOGLEFINANCE(A46,""ALL"",TODAY()-180,TODAY()),0,5))*1.2"),917.4599999999999)</f>
        <v>917.46</v>
      </c>
      <c r="E46" s="62">
        <f>IFERROR(__xludf.DUMMYFUNCTION("AVERAGE(QUERY(SORT(GOOGLEFINANCE(A46,""price"",TODAY()-320,TODAY()),1,0),""select Col2 limit 100""))"),869.7819999999999)</f>
        <v>869.782</v>
      </c>
      <c r="F46" s="44">
        <f>IFERROR(__xludf.DUMMYFUNCTION("GOOGLEFINANCE(A46,""high52"")"),1246.8)</f>
        <v>1246.8</v>
      </c>
      <c r="G46" s="45">
        <f>IFERROR(__xludf.DUMMYFUNCTION("to_date(index(sort(GOOGLEFINANCE(A46, ""high"", today()-52*7, today(), ""DAILY""),2,0),2,1))"),45869.64583333333)</f>
        <v>45869.64583</v>
      </c>
      <c r="H46" s="44">
        <f>IFERROR(__xludf.DUMMYFUNCTION("GOOGLEFINANCE(A46,""low52"")"),747.7)</f>
        <v>747.7</v>
      </c>
      <c r="I46" s="45">
        <f>IFERROR(__xludf.DUMMYFUNCTION("to_date(index(sort(GOOGLEFINANCE(A46, ""low"", today()-52*7, today(), ""DAILY""),2,1),1,1))"),46104.64583333333)</f>
        <v>46104.64583</v>
      </c>
      <c r="J46" s="46" t="str">
        <f t="shared" si="1"/>
        <v>Do Not Buy Today</v>
      </c>
    </row>
    <row r="47">
      <c r="A47" s="73" t="s">
        <v>349</v>
      </c>
      <c r="B47" s="59">
        <f>IFERROR(__xludf.DUMMYFUNCTION("GOOGLEFINANCE(A47,""price"")"),704.95)</f>
        <v>704.95</v>
      </c>
      <c r="C47" s="60">
        <f>IFERROR(__xludf.DUMMYFUNCTION("GOOGLEFINANCE(A47,""closeyest"")"),693.15)</f>
        <v>693.15</v>
      </c>
      <c r="D47" s="61">
        <f>IFERROR(__xludf.DUMMYFUNCTION("MIN(index(GOOGLEFINANCE(A47,""ALL"",TODAY()-180,TODAY()),0,5))*1.2"),584.3399999999999)</f>
        <v>584.34</v>
      </c>
      <c r="E47" s="62">
        <f>IFERROR(__xludf.DUMMYFUNCTION("AVERAGE(QUERY(SORT(GOOGLEFINANCE(A47,""price"",TODAY()-320,TODAY()),1,0),""select Col2 limit 100""))"),604.5284999999998)</f>
        <v>604.5285</v>
      </c>
      <c r="F47" s="44">
        <f>IFERROR(__xludf.DUMMYFUNCTION("GOOGLEFINANCE(A47,""high52"")"),771.9)</f>
        <v>771.9</v>
      </c>
      <c r="G47" s="45">
        <f>IFERROR(__xludf.DUMMYFUNCTION("to_date(index(sort(GOOGLEFINANCE(A47, ""high"", today()-52*7, today(), ""DAILY""),2,0),2,1))"),46129.64583333333)</f>
        <v>46129.64583</v>
      </c>
      <c r="H47" s="44">
        <f>IFERROR(__xludf.DUMMYFUNCTION("GOOGLEFINANCE(A47,""low52"")"),351.1)</f>
        <v>351.1</v>
      </c>
      <c r="I47" s="45">
        <f>IFERROR(__xludf.DUMMYFUNCTION("to_date(index(sort(GOOGLEFINANCE(A47, ""low"", today()-52*7, today(), ""DAILY""),2,1),1,1))"),45805.64583333333)</f>
        <v>45805.64583</v>
      </c>
      <c r="J47" s="46" t="str">
        <f t="shared" si="1"/>
        <v>Do Not Buy Today</v>
      </c>
    </row>
    <row r="48">
      <c r="A48" s="73" t="s">
        <v>122</v>
      </c>
      <c r="B48" s="59">
        <f>IFERROR(__xludf.DUMMYFUNCTION("GOOGLEFINANCE(A48,""price"")"),486.3)</f>
        <v>486.3</v>
      </c>
      <c r="C48" s="60">
        <f>IFERROR(__xludf.DUMMYFUNCTION("GOOGLEFINANCE(A48,""closeyest"")"),492.1)</f>
        <v>492.1</v>
      </c>
      <c r="D48" s="61">
        <f>IFERROR(__xludf.DUMMYFUNCTION("MIN(index(GOOGLEFINANCE(A48,""ALL"",TODAY()-180,TODAY()),0,5))*1.2"),477.78)</f>
        <v>477.78</v>
      </c>
      <c r="E48" s="62">
        <f>IFERROR(__xludf.DUMMYFUNCTION("AVERAGE(QUERY(SORT(GOOGLEFINANCE(A48,""price"",TODAY()-320,TODAY()),1,0),""select Col2 limit 100""))"),469.03400000000016)</f>
        <v>469.034</v>
      </c>
      <c r="F48" s="44">
        <f>IFERROR(__xludf.DUMMYFUNCTION("GOOGLEFINANCE(A48,""high52"")"),531.0)</f>
        <v>531</v>
      </c>
      <c r="G48" s="45">
        <f>IFERROR(__xludf.DUMMYFUNCTION("to_date(index(sort(GOOGLEFINANCE(A48, ""high"", today()-52*7, today(), ""DAILY""),2,0),2,1))"),46156.64583333333)</f>
        <v>46156.64583</v>
      </c>
      <c r="H48" s="44">
        <f>IFERROR(__xludf.DUMMYFUNCTION("GOOGLEFINANCE(A48,""low52"")"),384.6)</f>
        <v>384.6</v>
      </c>
      <c r="I48" s="45">
        <f>IFERROR(__xludf.DUMMYFUNCTION("to_date(index(sort(GOOGLEFINANCE(A48, ""low"", today()-52*7, today(), ""DAILY""),2,1),1,1))"),45898.64583333333)</f>
        <v>45898.64583</v>
      </c>
      <c r="J48" s="46" t="str">
        <f t="shared" si="1"/>
        <v>Do Not Buy Today</v>
      </c>
    </row>
    <row r="49">
      <c r="A49" s="73" t="s">
        <v>123</v>
      </c>
      <c r="B49" s="59">
        <f>IFERROR(__xludf.DUMMYFUNCTION("GOOGLEFINANCE(A49,""price"")"),3160.0)</f>
        <v>3160</v>
      </c>
      <c r="C49" s="60">
        <f>IFERROR(__xludf.DUMMYFUNCTION("GOOGLEFINANCE(A49,""closeyest"")"),3039.1)</f>
        <v>3039.1</v>
      </c>
      <c r="D49" s="61">
        <f>IFERROR(__xludf.DUMMYFUNCTION("MIN(index(GOOGLEFINANCE(A49,""ALL"",TODAY()-180,TODAY()),0,5))*1.2"),2627.1600000000003)</f>
        <v>2627.16</v>
      </c>
      <c r="E49" s="62">
        <f>IFERROR(__xludf.DUMMYFUNCTION("AVERAGE(QUERY(SORT(GOOGLEFINANCE(A49,""price"",TODAY()-320,TODAY()),1,0),""select Col2 limit 100""))"),2639.132)</f>
        <v>2639.132</v>
      </c>
      <c r="F49" s="44">
        <f>IFERROR(__xludf.DUMMYFUNCTION("GOOGLEFINANCE(A49,""high52"")"),3419.9)</f>
        <v>3419.9</v>
      </c>
      <c r="G49" s="45">
        <f>IFERROR(__xludf.DUMMYFUNCTION("to_date(index(sort(GOOGLEFINANCE(A49, ""high"", today()-52*7, today(), ""DAILY""),2,0),2,1))"),45916.64583333333)</f>
        <v>45916.64583</v>
      </c>
      <c r="H49" s="44">
        <f>IFERROR(__xludf.DUMMYFUNCTION("GOOGLEFINANCE(A49,""low52"")"),2164.9)</f>
        <v>2164.9</v>
      </c>
      <c r="I49" s="45">
        <f>IFERROR(__xludf.DUMMYFUNCTION("to_date(index(sort(GOOGLEFINANCE(A49, ""low"", today()-52*7, today(), ""DAILY""),2,1),1,1))"),46049.64583333333)</f>
        <v>46049.64583</v>
      </c>
      <c r="J49" s="46" t="str">
        <f t="shared" si="1"/>
        <v>Do Not Buy Today</v>
      </c>
    </row>
    <row r="50">
      <c r="A50" s="73" t="s">
        <v>350</v>
      </c>
      <c r="B50" s="59" t="str">
        <f>IFERROR(__xludf.DUMMYFUNCTION("GOOGLEFINANCE(A50,""price"")"),"#N/A")</f>
        <v>#N/A</v>
      </c>
      <c r="C50" s="60" t="str">
        <f>IFERROR(__xludf.DUMMYFUNCTION("GOOGLEFINANCE(A50,""closeyest"")"),"#N/A")</f>
        <v>#N/A</v>
      </c>
      <c r="D50" s="61" t="str">
        <f>IFERROR(__xludf.DUMMYFUNCTION("MIN(index(GOOGLEFINANCE(A50,""ALL"",TODAY()-180,TODAY()),0,5))*1.2"),"#N/A")</f>
        <v>#N/A</v>
      </c>
      <c r="E50" s="62" t="str">
        <f>IFERROR(__xludf.DUMMYFUNCTION("AVERAGE(QUERY(SORT(GOOGLEFINANCE(A50,""price"",TODAY()-320,TODAY()),1,0),""select Col2 limit 100""))"),"#N/A")</f>
        <v>#N/A</v>
      </c>
      <c r="F50" s="44" t="str">
        <f>IFERROR(__xludf.DUMMYFUNCTION("GOOGLEFINANCE(A50,""high52"")"),"#N/A")</f>
        <v>#N/A</v>
      </c>
      <c r="G50" s="45" t="str">
        <f>IFERROR(__xludf.DUMMYFUNCTION("to_date(index(sort(GOOGLEFINANCE(A50, ""high"", today()-52*7, today(), ""DAILY""),2,0),2,1))"),"#N/A")</f>
        <v>#N/A</v>
      </c>
      <c r="H50" s="44" t="str">
        <f>IFERROR(__xludf.DUMMYFUNCTION("GOOGLEFINANCE(A50,""low52"")"),"#N/A")</f>
        <v>#N/A</v>
      </c>
      <c r="I50" s="45" t="str">
        <f>IFERROR(__xludf.DUMMYFUNCTION("to_date(index(sort(GOOGLEFINANCE(A50, ""low"", today()-52*7, today(), ""DAILY""),2,1),1,1))"),"#N/A")</f>
        <v>#N/A</v>
      </c>
      <c r="J50" s="46" t="str">
        <f t="shared" si="1"/>
        <v>#N/A</v>
      </c>
    </row>
    <row r="51">
      <c r="A51" s="73" t="s">
        <v>125</v>
      </c>
      <c r="B51" s="59">
        <f>IFERROR(__xludf.DUMMYFUNCTION("GOOGLEFINANCE(A51,""price"")"),18543.0)</f>
        <v>18543</v>
      </c>
      <c r="C51" s="60">
        <f>IFERROR(__xludf.DUMMYFUNCTION("GOOGLEFINANCE(A51,""closeyest"")"),18479.0)</f>
        <v>18479</v>
      </c>
      <c r="D51" s="61">
        <f>IFERROR(__xludf.DUMMYFUNCTION("MIN(index(GOOGLEFINANCE(A51,""ALL"",TODAY()-180,TODAY()),0,5))*1.2"),14126.4)</f>
        <v>14126.4</v>
      </c>
      <c r="E51" s="62">
        <f>IFERROR(__xludf.DUMMYFUNCTION("AVERAGE(QUERY(SORT(GOOGLEFINANCE(A51,""price"",TODAY()-320,TODAY()),1,0),""select Col2 limit 100""))"),14163.17)</f>
        <v>14163.17</v>
      </c>
      <c r="F51" s="44">
        <f>IFERROR(__xludf.DUMMYFUNCTION("GOOGLEFINANCE(A51,""high52"")"),18699.0)</f>
        <v>18699</v>
      </c>
      <c r="G51" s="45">
        <f>IFERROR(__xludf.DUMMYFUNCTION("to_date(index(sort(GOOGLEFINANCE(A51, ""high"", today()-52*7, today(), ""DAILY""),2,0),2,1))"),46163.64583333333)</f>
        <v>46163.64583</v>
      </c>
      <c r="H51" s="44">
        <f>IFERROR(__xludf.DUMMYFUNCTION("GOOGLEFINANCE(A51,""low52"")"),11646.0)</f>
        <v>11646</v>
      </c>
      <c r="I51" s="45">
        <f>IFERROR(__xludf.DUMMYFUNCTION("to_date(index(sort(GOOGLEFINANCE(A51, ""low"", today()-52*7, today(), ""DAILY""),2,1),1,1))"),46009.64583333333)</f>
        <v>46009.64583</v>
      </c>
      <c r="J51" s="46" t="str">
        <f t="shared" si="1"/>
        <v>Do Not Buy Today</v>
      </c>
    </row>
    <row r="52">
      <c r="A52" s="73" t="s">
        <v>351</v>
      </c>
      <c r="B52" s="59">
        <f>IFERROR(__xludf.DUMMYFUNCTION("GOOGLEFINANCE(A52,""price"")"),288.7)</f>
        <v>288.7</v>
      </c>
      <c r="C52" s="60">
        <f>IFERROR(__xludf.DUMMYFUNCTION("GOOGLEFINANCE(A52,""closeyest"")"),293.35)</f>
        <v>293.35</v>
      </c>
      <c r="D52" s="61">
        <f>IFERROR(__xludf.DUMMYFUNCTION("MIN(index(GOOGLEFINANCE(A52,""ALL"",TODAY()-180,TODAY()),0,5))*1.2"),289.344)</f>
        <v>289.344</v>
      </c>
      <c r="E52" s="62">
        <f>IFERROR(__xludf.DUMMYFUNCTION("AVERAGE(QUERY(SORT(GOOGLEFINANCE(A52,""price"",TODAY()-320,TODAY()),1,0),""select Col2 limit 100""))"),291.54369999999994)</f>
        <v>291.5437</v>
      </c>
      <c r="F52" s="44">
        <f>IFERROR(__xludf.DUMMYFUNCTION("GOOGLEFINANCE(A52,""high52"")"),343.45)</f>
        <v>343.45</v>
      </c>
      <c r="G52" s="45">
        <f>IFERROR(__xludf.DUMMYFUNCTION("to_date(index(sort(GOOGLEFINANCE(A52, ""high"", today()-52*7, today(), ""DAILY""),2,0),2,1))"),46078.64583333333)</f>
        <v>46078.64583</v>
      </c>
      <c r="H52" s="44">
        <f>IFERROR(__xludf.DUMMYFUNCTION("GOOGLEFINANCE(A52,""low52"")"),181.75)</f>
        <v>181.75</v>
      </c>
      <c r="I52" s="45">
        <f>IFERROR(__xludf.DUMMYFUNCTION("to_date(index(sort(GOOGLEFINANCE(A52, ""low"", today()-52*7, today(), ""DAILY""),2,1),1,1))"),45806.64583333333)</f>
        <v>45806.64583</v>
      </c>
      <c r="J52" s="46" t="str">
        <f t="shared" si="1"/>
        <v>Do Not Buy Today</v>
      </c>
    </row>
    <row r="53">
      <c r="A53" s="73" t="s">
        <v>352</v>
      </c>
      <c r="B53" s="59">
        <f>IFERROR(__xludf.DUMMYFUNCTION("GOOGLEFINANCE(A53,""price"")"),852.25)</f>
        <v>852.25</v>
      </c>
      <c r="C53" s="60">
        <f>IFERROR(__xludf.DUMMYFUNCTION("GOOGLEFINANCE(A53,""closeyest"")"),837.05)</f>
        <v>837.05</v>
      </c>
      <c r="D53" s="61">
        <f>IFERROR(__xludf.DUMMYFUNCTION("MIN(index(GOOGLEFINANCE(A53,""ALL"",TODAY()-180,TODAY()),0,5))*1.2"),969.84)</f>
        <v>969.84</v>
      </c>
      <c r="E53" s="62">
        <f>IFERROR(__xludf.DUMMYFUNCTION("AVERAGE(QUERY(SORT(GOOGLEFINANCE(A53,""price"",TODAY()-320,TODAY()),1,0),""select Col2 limit 100""))"),959.9970000000001)</f>
        <v>959.997</v>
      </c>
      <c r="F53" s="44">
        <f>IFERROR(__xludf.DUMMYFUNCTION("GOOGLEFINANCE(A53,""high52"")"),1388.5)</f>
        <v>1388.5</v>
      </c>
      <c r="G53" s="45">
        <f>IFERROR(__xludf.DUMMYFUNCTION("to_date(index(sort(GOOGLEFINANCE(A53, ""high"", today()-52*7, today(), ""DAILY""),2,0),2,1))"),45833.64583333333)</f>
        <v>45833.64583</v>
      </c>
      <c r="H53" s="44">
        <f>IFERROR(__xludf.DUMMYFUNCTION("GOOGLEFINANCE(A53,""low52"")"),784.95)</f>
        <v>784.95</v>
      </c>
      <c r="I53" s="45">
        <f>IFERROR(__xludf.DUMMYFUNCTION("to_date(index(sort(GOOGLEFINANCE(A53, ""low"", today()-52*7, today(), ""DAILY""),2,1),1,1))"),46160.64583333333)</f>
        <v>46160.64583</v>
      </c>
      <c r="J53" s="46" t="str">
        <f t="shared" si="1"/>
        <v>Do Not Buy Today</v>
      </c>
    </row>
    <row r="54">
      <c r="A54" s="73" t="s">
        <v>353</v>
      </c>
      <c r="B54" s="59">
        <f>IFERROR(__xludf.DUMMYFUNCTION("GOOGLEFINANCE(A54,""price"")"),656.1)</f>
        <v>656.1</v>
      </c>
      <c r="C54" s="60">
        <f>IFERROR(__xludf.DUMMYFUNCTION("GOOGLEFINANCE(A54,""closeyest"")"),660.25)</f>
        <v>660.25</v>
      </c>
      <c r="D54" s="61">
        <f>IFERROR(__xludf.DUMMYFUNCTION("MIN(index(GOOGLEFINANCE(A54,""ALL"",TODAY()-180,TODAY()),0,5))*1.2"),792.3)</f>
        <v>792.3</v>
      </c>
      <c r="E54" s="62">
        <f>IFERROR(__xludf.DUMMYFUNCTION("AVERAGE(QUERY(SORT(GOOGLEFINANCE(A54,""price"",TODAY()-320,TODAY()),1,0),""select Col2 limit 100""))"),803.2154999999999)</f>
        <v>803.2155</v>
      </c>
      <c r="F54" s="44">
        <f>IFERROR(__xludf.DUMMYFUNCTION("GOOGLEFINANCE(A54,""high52"")"),1330.0)</f>
        <v>1330</v>
      </c>
      <c r="G54" s="45">
        <f>IFERROR(__xludf.DUMMYFUNCTION("to_date(index(sort(GOOGLEFINANCE(A54, ""high"", today()-52*7, today(), ""DAILY""),2,0),2,1))"),45810.64583333333)</f>
        <v>45810.64583</v>
      </c>
      <c r="H54" s="44">
        <f>IFERROR(__xludf.DUMMYFUNCTION("GOOGLEFINANCE(A54,""low52"")"),653.1)</f>
        <v>653.1</v>
      </c>
      <c r="I54" s="45">
        <f>IFERROR(__xludf.DUMMYFUNCTION("to_date(index(sort(GOOGLEFINANCE(A54, ""low"", today()-52*7, today(), ""DAILY""),2,1),1,1))"),46162.64583333333)</f>
        <v>46162.64583</v>
      </c>
      <c r="J54" s="46" t="str">
        <f t="shared" si="1"/>
        <v>Do Not Buy Today</v>
      </c>
    </row>
    <row r="55">
      <c r="A55" s="73" t="s">
        <v>127</v>
      </c>
      <c r="B55" s="59">
        <f>IFERROR(__xludf.DUMMYFUNCTION("GOOGLEFINANCE(A55,""price"")"),1139.5)</f>
        <v>1139.5</v>
      </c>
      <c r="C55" s="60">
        <f>IFERROR(__xludf.DUMMYFUNCTION("GOOGLEFINANCE(A55,""closeyest"")"),1131.6)</f>
        <v>1131.6</v>
      </c>
      <c r="D55" s="61">
        <f>IFERROR(__xludf.DUMMYFUNCTION("MIN(index(GOOGLEFINANCE(A55,""ALL"",TODAY()-180,TODAY()),0,5))*1.2"),1150.8)</f>
        <v>1150.8</v>
      </c>
      <c r="E55" s="62">
        <f>IFERROR(__xludf.DUMMYFUNCTION("AVERAGE(QUERY(SORT(GOOGLEFINANCE(A55,""price"",TODAY()-320,TODAY()),1,0),""select Col2 limit 100""))"),1148.1615000000004)</f>
        <v>1148.1615</v>
      </c>
      <c r="F55" s="44">
        <f>IFERROR(__xludf.DUMMYFUNCTION("GOOGLEFINANCE(A55,""high52"")"),1381.8)</f>
        <v>1381.8</v>
      </c>
      <c r="G55" s="45">
        <f>IFERROR(__xludf.DUMMYFUNCTION("to_date(index(sort(GOOGLEFINANCE(A55, ""high"", today()-52*7, today(), ""DAILY""),2,0),2,1))"),45993.64583333333)</f>
        <v>45993.64583</v>
      </c>
      <c r="H55" s="44">
        <f>IFERROR(__xludf.DUMMYFUNCTION("GOOGLEFINANCE(A55,""low52"")"),849.2)</f>
        <v>849.2</v>
      </c>
      <c r="I55" s="45">
        <f>IFERROR(__xludf.DUMMYFUNCTION("to_date(index(sort(GOOGLEFINANCE(A55, ""low"", today()-52*7, today(), ""DAILY""),2,1),1,1))"),45805.64583333333)</f>
        <v>45805.64583</v>
      </c>
      <c r="J55" s="46" t="str">
        <f t="shared" si="1"/>
        <v>Do Not Buy Today</v>
      </c>
    </row>
    <row r="56">
      <c r="A56" s="73" t="s">
        <v>128</v>
      </c>
      <c r="B56" s="59">
        <f>IFERROR(__xludf.DUMMYFUNCTION("GOOGLEFINANCE(A56,""price"")"),55.24)</f>
        <v>55.24</v>
      </c>
      <c r="C56" s="60">
        <f>IFERROR(__xludf.DUMMYFUNCTION("GOOGLEFINANCE(A56,""closeyest"")"),54.58)</f>
        <v>54.58</v>
      </c>
      <c r="D56" s="61">
        <f>IFERROR(__xludf.DUMMYFUNCTION("MIN(index(GOOGLEFINANCE(A56,""ALL"",TODAY()-180,TODAY()),0,5))*1.2"),47.472)</f>
        <v>47.472</v>
      </c>
      <c r="E56" s="62">
        <f>IFERROR(__xludf.DUMMYFUNCTION("AVERAGE(QUERY(SORT(GOOGLEFINANCE(A56,""price"",TODAY()-320,TODAY()),1,0),""select Col2 limit 100""))"),48.01559999999998)</f>
        <v>48.0156</v>
      </c>
      <c r="F56" s="44">
        <f>IFERROR(__xludf.DUMMYFUNCTION("GOOGLEFINANCE(A56,""high52"")"),74.3)</f>
        <v>74.3</v>
      </c>
      <c r="G56" s="45">
        <f>IFERROR(__xludf.DUMMYFUNCTION("to_date(index(sort(GOOGLEFINANCE(A56, ""high"", today()-52*7, today(), ""DAILY""),2,0),2,1))"),45807.64583333333)</f>
        <v>45807.64583</v>
      </c>
      <c r="H56" s="44">
        <f>IFERROR(__xludf.DUMMYFUNCTION("GOOGLEFINANCE(A56,""low52"")"),38.19)</f>
        <v>38.19</v>
      </c>
      <c r="I56" s="45">
        <f>IFERROR(__xludf.DUMMYFUNCTION("to_date(index(sort(GOOGLEFINANCE(A56, ""low"", today()-52*7, today(), ""DAILY""),2,1),1,1))"),46090.64583333333)</f>
        <v>46090.64583</v>
      </c>
      <c r="J56" s="46" t="str">
        <f t="shared" si="1"/>
        <v>Do Not Buy Today</v>
      </c>
    </row>
    <row r="57">
      <c r="A57" s="73" t="s">
        <v>354</v>
      </c>
      <c r="B57" s="59">
        <f>IFERROR(__xludf.DUMMYFUNCTION("GOOGLEFINANCE(A57,""price"")"),496.2)</f>
        <v>496.2</v>
      </c>
      <c r="C57" s="60">
        <f>IFERROR(__xludf.DUMMYFUNCTION("GOOGLEFINANCE(A57,""closeyest"")"),487.75)</f>
        <v>487.75</v>
      </c>
      <c r="D57" s="61">
        <f>IFERROR(__xludf.DUMMYFUNCTION("MIN(index(GOOGLEFINANCE(A57,""ALL"",TODAY()-180,TODAY()),0,5))*1.2"),581.9399999999999)</f>
        <v>581.94</v>
      </c>
      <c r="E57" s="62">
        <f>IFERROR(__xludf.DUMMYFUNCTION("AVERAGE(QUERY(SORT(GOOGLEFINANCE(A57,""price"",TODAY()-320,TODAY()),1,0),""select Col2 limit 100""))"),589.5879999999999)</f>
        <v>589.588</v>
      </c>
      <c r="F57" s="44">
        <f>IFERROR(__xludf.DUMMYFUNCTION("GOOGLEFINANCE(A57,""high52"")"),894.0)</f>
        <v>894</v>
      </c>
      <c r="G57" s="45">
        <f>IFERROR(__xludf.DUMMYFUNCTION("to_date(index(sort(GOOGLEFINANCE(A57, ""high"", today()-52*7, today(), ""DAILY""),2,0),2,1))"),45818.64583333333)</f>
        <v>45818.64583</v>
      </c>
      <c r="H57" s="44">
        <f>IFERROR(__xludf.DUMMYFUNCTION("GOOGLEFINANCE(A57,""low52"")"),470.1)</f>
        <v>470.1</v>
      </c>
      <c r="I57" s="45">
        <f>IFERROR(__xludf.DUMMYFUNCTION("to_date(index(sort(GOOGLEFINANCE(A57, ""low"", today()-52*7, today(), ""DAILY""),2,1),1,1))"),46160.64583333333)</f>
        <v>46160.64583</v>
      </c>
      <c r="J57" s="46" t="str">
        <f t="shared" si="1"/>
        <v>Do Not Buy Today</v>
      </c>
    </row>
    <row r="58">
      <c r="A58" s="73" t="s">
        <v>355</v>
      </c>
      <c r="B58" s="59">
        <f>IFERROR(__xludf.DUMMYFUNCTION("GOOGLEFINANCE(A58,""price"")"),265.6)</f>
        <v>265.6</v>
      </c>
      <c r="C58" s="60">
        <f>IFERROR(__xludf.DUMMYFUNCTION("GOOGLEFINANCE(A58,""closeyest"")"),265.35)</f>
        <v>265.35</v>
      </c>
      <c r="D58" s="61">
        <f>IFERROR(__xludf.DUMMYFUNCTION("MIN(index(GOOGLEFINANCE(A58,""ALL"",TODAY()-180,TODAY()),0,5))*1.2"),266.09999999999997)</f>
        <v>266.1</v>
      </c>
      <c r="E58" s="62">
        <f>IFERROR(__xludf.DUMMYFUNCTION("AVERAGE(QUERY(SORT(GOOGLEFINANCE(A58,""price"",TODAY()-320,TODAY()),1,0),""select Col2 limit 100""))"),277.67349999999993)</f>
        <v>277.6735</v>
      </c>
      <c r="F58" s="44">
        <f>IFERROR(__xludf.DUMMYFUNCTION("GOOGLEFINANCE(A58,""high52"")"),422.0)</f>
        <v>422</v>
      </c>
      <c r="G58" s="45">
        <f>IFERROR(__xludf.DUMMYFUNCTION("to_date(index(sort(GOOGLEFINANCE(A58, ""high"", today()-52*7, today(), ""DAILY""),2,0),2,1))"),45805.64583333333)</f>
        <v>45805.64583</v>
      </c>
      <c r="H58" s="44">
        <f>IFERROR(__xludf.DUMMYFUNCTION("GOOGLEFINANCE(A58,""low52"")"),218.9)</f>
        <v>218.9</v>
      </c>
      <c r="I58" s="45">
        <f>IFERROR(__xludf.DUMMYFUNCTION("to_date(index(sort(GOOGLEFINANCE(A58, ""low"", today()-52*7, today(), ""DAILY""),2,1),1,1))"),46104.64583333333)</f>
        <v>46104.64583</v>
      </c>
      <c r="J58" s="46" t="str">
        <f t="shared" si="1"/>
        <v>Do Not Buy Today</v>
      </c>
    </row>
    <row r="59">
      <c r="A59" s="73" t="s">
        <v>130</v>
      </c>
      <c r="B59" s="59">
        <f>IFERROR(__xludf.DUMMYFUNCTION("GOOGLEFINANCE(A59,""price"")"),92.4)</f>
        <v>92.4</v>
      </c>
      <c r="C59" s="60">
        <f>IFERROR(__xludf.DUMMYFUNCTION("GOOGLEFINANCE(A59,""closeyest"")"),90.67)</f>
        <v>90.67</v>
      </c>
      <c r="D59" s="61">
        <f>IFERROR(__xludf.DUMMYFUNCTION("MIN(index(GOOGLEFINANCE(A59,""ALL"",TODAY()-180,TODAY()),0,5))*1.2"),88.704)</f>
        <v>88.704</v>
      </c>
      <c r="E59" s="62">
        <f>IFERROR(__xludf.DUMMYFUNCTION("AVERAGE(QUERY(SORT(GOOGLEFINANCE(A59,""price"",TODAY()-320,TODAY()),1,0),""select Col2 limit 100""))"),83.4449)</f>
        <v>83.4449</v>
      </c>
      <c r="F59" s="44">
        <f>IFERROR(__xludf.DUMMYFUNCTION("GOOGLEFINANCE(A59,""high52"")"),94.25)</f>
        <v>94.25</v>
      </c>
      <c r="G59" s="45">
        <f>IFERROR(__xludf.DUMMYFUNCTION("to_date(index(sort(GOOGLEFINANCE(A59, ""high"", today()-52*7, today(), ""DAILY""),2,0),2,1))"),46157.64583333333)</f>
        <v>46157.64583</v>
      </c>
      <c r="H59" s="44">
        <f>IFERROR(__xludf.DUMMYFUNCTION("GOOGLEFINANCE(A59,""low52"")"),66.8)</f>
        <v>66.8</v>
      </c>
      <c r="I59" s="45">
        <f>IFERROR(__xludf.DUMMYFUNCTION("to_date(index(sort(GOOGLEFINANCE(A59, ""low"", today()-52*7, today(), ""DAILY""),2,1),1,1))"),45827.64583333333)</f>
        <v>45827.64583</v>
      </c>
      <c r="J59" s="46" t="str">
        <f t="shared" si="1"/>
        <v>Do Not Buy Today</v>
      </c>
    </row>
    <row r="60">
      <c r="A60" s="73" t="s">
        <v>356</v>
      </c>
      <c r="B60" s="59">
        <f>IFERROR(__xludf.DUMMYFUNCTION("GOOGLEFINANCE(A60,""price"")"),1730.1)</f>
        <v>1730.1</v>
      </c>
      <c r="C60" s="60">
        <f>IFERROR(__xludf.DUMMYFUNCTION("GOOGLEFINANCE(A60,""closeyest"")"),1700.2)</f>
        <v>1700.2</v>
      </c>
      <c r="D60" s="61">
        <f>IFERROR(__xludf.DUMMYFUNCTION("MIN(index(GOOGLEFINANCE(A60,""ALL"",TODAY()-180,TODAY()),0,5))*1.2"),1320.36)</f>
        <v>1320.36</v>
      </c>
      <c r="E60" s="62">
        <f>IFERROR(__xludf.DUMMYFUNCTION("AVERAGE(QUERY(SORT(GOOGLEFINANCE(A60,""price"",TODAY()-320,TODAY()),1,0),""select Col2 limit 100""))"),1393.022)</f>
        <v>1393.022</v>
      </c>
      <c r="F60" s="44">
        <f>IFERROR(__xludf.DUMMYFUNCTION("GOOGLEFINANCE(A60,""high52"")"),1868.8)</f>
        <v>1868.8</v>
      </c>
      <c r="G60" s="45">
        <f>IFERROR(__xludf.DUMMYFUNCTION("to_date(index(sort(GOOGLEFINANCE(A60, ""high"", today()-52*7, today(), ""DAILY""),2,0),2,1))"),45820.64583333333)</f>
        <v>45820.64583</v>
      </c>
      <c r="H60" s="44">
        <f>IFERROR(__xludf.DUMMYFUNCTION("GOOGLEFINANCE(A60,""low52"")"),1086.7)</f>
        <v>1086.7</v>
      </c>
      <c r="I60" s="45">
        <f>IFERROR(__xludf.DUMMYFUNCTION("to_date(index(sort(GOOGLEFINANCE(A60, ""low"", today()-52*7, today(), ""DAILY""),2,1),1,1))"),46104.64583333333)</f>
        <v>46104.64583</v>
      </c>
      <c r="J60" s="46" t="str">
        <f t="shared" si="1"/>
        <v>Do Not Buy Today</v>
      </c>
    </row>
    <row r="61">
      <c r="A61" s="73" t="s">
        <v>357</v>
      </c>
      <c r="B61" s="59">
        <f>IFERROR(__xludf.DUMMYFUNCTION("GOOGLEFINANCE(A61,""price"")"),906.3)</f>
        <v>906.3</v>
      </c>
      <c r="C61" s="60">
        <f>IFERROR(__xludf.DUMMYFUNCTION("GOOGLEFINANCE(A61,""closeyest"")"),894.9)</f>
        <v>894.9</v>
      </c>
      <c r="D61" s="61">
        <f>IFERROR(__xludf.DUMMYFUNCTION("MIN(index(GOOGLEFINANCE(A61,""ALL"",TODAY()-180,TODAY()),0,5))*1.2"),898.74)</f>
        <v>898.74</v>
      </c>
      <c r="E61" s="62">
        <f>IFERROR(__xludf.DUMMYFUNCTION("AVERAGE(QUERY(SORT(GOOGLEFINANCE(A61,""price"",TODAY()-320,TODAY()),1,0),""select Col2 limit 100""))"),878.3714999999996)</f>
        <v>878.3715</v>
      </c>
      <c r="F61" s="44">
        <f>IFERROR(__xludf.DUMMYFUNCTION("GOOGLEFINANCE(A61,""high52"")"),1355.2)</f>
        <v>1355.2</v>
      </c>
      <c r="G61" s="45">
        <f>IFERROR(__xludf.DUMMYFUNCTION("to_date(index(sort(GOOGLEFINANCE(A61, ""high"", today()-52*7, today(), ""DAILY""),2,0),2,1))"),45805.64583333333)</f>
        <v>45805.64583</v>
      </c>
      <c r="H61" s="44">
        <f>IFERROR(__xludf.DUMMYFUNCTION("GOOGLEFINANCE(A61,""low52"")"),745.1)</f>
        <v>745.1</v>
      </c>
      <c r="I61" s="45">
        <f>IFERROR(__xludf.DUMMYFUNCTION("to_date(index(sort(GOOGLEFINANCE(A61, ""low"", today()-52*7, today(), ""DAILY""),2,1),1,1))"),46111.64583333333)</f>
        <v>46111.64583</v>
      </c>
      <c r="J61" s="46" t="str">
        <f t="shared" si="1"/>
        <v>Do Not Buy Today</v>
      </c>
    </row>
    <row r="62">
      <c r="A62" s="73" t="s">
        <v>131</v>
      </c>
      <c r="B62" s="59">
        <f>IFERROR(__xludf.DUMMYFUNCTION("GOOGLEFINANCE(A62,""price"")"),121.9)</f>
        <v>121.9</v>
      </c>
      <c r="C62" s="60">
        <f>IFERROR(__xludf.DUMMYFUNCTION("GOOGLEFINANCE(A62,""closeyest"")"),121.08)</f>
        <v>121.08</v>
      </c>
      <c r="D62" s="61">
        <f>IFERROR(__xludf.DUMMYFUNCTION("MIN(index(GOOGLEFINANCE(A62,""ALL"",TODAY()-180,TODAY()),0,5))*1.2"),119.616)</f>
        <v>119.616</v>
      </c>
      <c r="E62" s="62">
        <f>IFERROR(__xludf.DUMMYFUNCTION("AVERAGE(QUERY(SORT(GOOGLEFINANCE(A62,""price"",TODAY()-320,TODAY()),1,0),""select Col2 limit 100""))"),120.15520000000002)</f>
        <v>120.1552</v>
      </c>
      <c r="F62" s="44">
        <f>IFERROR(__xludf.DUMMYFUNCTION("GOOGLEFINANCE(A62,""high52"")"),157.6)</f>
        <v>157.6</v>
      </c>
      <c r="G62" s="45">
        <f>IFERROR(__xludf.DUMMYFUNCTION("to_date(index(sort(GOOGLEFINANCE(A62, ""high"", today()-52*7, today(), ""DAILY""),2,0),2,1))"),45895.64583333333)</f>
        <v>45895.64583</v>
      </c>
      <c r="H62" s="44">
        <f>IFERROR(__xludf.DUMMYFUNCTION("GOOGLEFINANCE(A62,""low52"")"),98.77)</f>
        <v>98.77</v>
      </c>
      <c r="I62" s="45">
        <f>IFERROR(__xludf.DUMMYFUNCTION("to_date(index(sort(GOOGLEFINANCE(A62, ""low"", today()-52*7, today(), ""DAILY""),2,1),1,1))"),46129.64583333333)</f>
        <v>46129.64583</v>
      </c>
      <c r="J62" s="46" t="str">
        <f t="shared" si="1"/>
        <v>Do Not Buy Today</v>
      </c>
    </row>
    <row r="63">
      <c r="A63" s="73" t="s">
        <v>358</v>
      </c>
      <c r="B63" s="59">
        <f>IFERROR(__xludf.DUMMYFUNCTION("GOOGLEFINANCE(A63,""price"")"),319.3)</f>
        <v>319.3</v>
      </c>
      <c r="C63" s="60">
        <f>IFERROR(__xludf.DUMMYFUNCTION("GOOGLEFINANCE(A63,""closeyest"")"),315.75)</f>
        <v>315.75</v>
      </c>
      <c r="D63" s="61">
        <f>IFERROR(__xludf.DUMMYFUNCTION("MIN(index(GOOGLEFINANCE(A63,""ALL"",TODAY()-180,TODAY()),0,5))*1.2"),299.52)</f>
        <v>299.52</v>
      </c>
      <c r="E63" s="62">
        <f>IFERROR(__xludf.DUMMYFUNCTION("AVERAGE(QUERY(SORT(GOOGLEFINANCE(A63,""price"",TODAY()-320,TODAY()),1,0),""select Col2 limit 100""))"),348.69899999999984)</f>
        <v>348.699</v>
      </c>
      <c r="F63" s="44">
        <f>IFERROR(__xludf.DUMMYFUNCTION("GOOGLEFINANCE(A63,""high52"")"),517.5)</f>
        <v>517.5</v>
      </c>
      <c r="G63" s="45">
        <f>IFERROR(__xludf.DUMMYFUNCTION("to_date(index(sort(GOOGLEFINANCE(A63, ""high"", today()-52*7, today(), ""DAILY""),2,0),2,1))"),45999.64583333333)</f>
        <v>45999.64583</v>
      </c>
      <c r="H63" s="44">
        <f>IFERROR(__xludf.DUMMYFUNCTION("GOOGLEFINANCE(A63,""low52"")"),248.0)</f>
        <v>248</v>
      </c>
      <c r="I63" s="45">
        <f>IFERROR(__xludf.DUMMYFUNCTION("to_date(index(sort(GOOGLEFINANCE(A63, ""low"", today()-52*7, today(), ""DAILY""),2,1),1,1))"),46104.64583333333)</f>
        <v>46104.64583</v>
      </c>
      <c r="J63" s="46" t="str">
        <f t="shared" si="1"/>
        <v>Do Not Buy Today</v>
      </c>
    </row>
    <row r="64">
      <c r="A64" s="73" t="s">
        <v>359</v>
      </c>
      <c r="B64" s="59">
        <f>IFERROR(__xludf.DUMMYFUNCTION("GOOGLEFINANCE(A64,""price"")"),3268.4)</f>
        <v>3268.4</v>
      </c>
      <c r="C64" s="60">
        <f>IFERROR(__xludf.DUMMYFUNCTION("GOOGLEFINANCE(A64,""closeyest"")"),3307.3)</f>
        <v>3307.3</v>
      </c>
      <c r="D64" s="61">
        <f>IFERROR(__xludf.DUMMYFUNCTION("MIN(index(GOOGLEFINANCE(A64,""ALL"",TODAY()-180,TODAY()),0,5))*1.2"),2367.3599999999997)</f>
        <v>2367.36</v>
      </c>
      <c r="E64" s="62">
        <f>IFERROR(__xludf.DUMMYFUNCTION("AVERAGE(QUERY(SORT(GOOGLEFINANCE(A64,""price"",TODAY()-320,TODAY()),1,0),""select Col2 limit 100""))"),2608.651)</f>
        <v>2608.651</v>
      </c>
      <c r="F64" s="44">
        <f>IFERROR(__xludf.DUMMYFUNCTION("GOOGLEFINANCE(A64,""high52"")"),3480.0)</f>
        <v>3480</v>
      </c>
      <c r="G64" s="45">
        <f>IFERROR(__xludf.DUMMYFUNCTION("to_date(index(sort(GOOGLEFINANCE(A64, ""high"", today()-52*7, today(), ""DAILY""),2,0),2,1))"),46163.64583333333)</f>
        <v>46163.64583</v>
      </c>
      <c r="H64" s="44">
        <f>IFERROR(__xludf.DUMMYFUNCTION("GOOGLEFINANCE(A64,""low52"")"),1278.1)</f>
        <v>1278.1</v>
      </c>
      <c r="I64" s="45">
        <f>IFERROR(__xludf.DUMMYFUNCTION("to_date(index(sort(GOOGLEFINANCE(A64, ""low"", today()-52*7, today(), ""DAILY""),2,1),1,1))"),45805.64583333333)</f>
        <v>45805.64583</v>
      </c>
      <c r="J64" s="46" t="str">
        <f t="shared" si="1"/>
        <v>Do Not Buy Today</v>
      </c>
    </row>
    <row r="65">
      <c r="A65" s="73" t="s">
        <v>135</v>
      </c>
      <c r="B65" s="59">
        <f>IFERROR(__xludf.DUMMYFUNCTION("GOOGLEFINANCE(A65,""price"")"),394.4)</f>
        <v>394.4</v>
      </c>
      <c r="C65" s="60">
        <f>IFERROR(__xludf.DUMMYFUNCTION("GOOGLEFINANCE(A65,""closeyest"")"),398.0)</f>
        <v>398</v>
      </c>
      <c r="D65" s="61">
        <f>IFERROR(__xludf.DUMMYFUNCTION("MIN(index(GOOGLEFINANCE(A65,""ALL"",TODAY()-180,TODAY()),0,5))*1.2"),382.97999999999996)</f>
        <v>382.98</v>
      </c>
      <c r="E65" s="62">
        <f>IFERROR(__xludf.DUMMYFUNCTION("AVERAGE(QUERY(SORT(GOOGLEFINANCE(A65,""price"",TODAY()-320,TODAY()),1,0),""select Col2 limit 100""))"),407.8474999999998)</f>
        <v>407.8475</v>
      </c>
      <c r="F65" s="44">
        <f>IFERROR(__xludf.DUMMYFUNCTION("GOOGLEFINANCE(A65,""high52"")"),508.45)</f>
        <v>508.45</v>
      </c>
      <c r="G65" s="45">
        <f>IFERROR(__xludf.DUMMYFUNCTION("to_date(index(sort(GOOGLEFINANCE(A65, ""high"", today()-52*7, today(), ""DAILY""),2,0),2,1))"),46027.64583333333)</f>
        <v>46027.64583</v>
      </c>
      <c r="H65" s="44">
        <f>IFERROR(__xludf.DUMMYFUNCTION("GOOGLEFINANCE(A65,""low52"")"),316.2)</f>
        <v>316.2</v>
      </c>
      <c r="I65" s="45">
        <f>IFERROR(__xludf.DUMMYFUNCTION("to_date(index(sort(GOOGLEFINANCE(A65, ""low"", today()-52*7, today(), ""DAILY""),2,1),1,1))"),46085.64583333333)</f>
        <v>46085.64583</v>
      </c>
      <c r="J65" s="46" t="str">
        <f t="shared" si="1"/>
        <v>Do Not Buy Today</v>
      </c>
    </row>
    <row r="66">
      <c r="A66" s="73" t="s">
        <v>138</v>
      </c>
      <c r="B66" s="59">
        <f>IFERROR(__xludf.DUMMYFUNCTION("GOOGLEFINANCE(A66,""price"")"),609.45)</f>
        <v>609.45</v>
      </c>
      <c r="C66" s="60">
        <f>IFERROR(__xludf.DUMMYFUNCTION("GOOGLEFINANCE(A66,""closeyest"")"),608.0)</f>
        <v>608</v>
      </c>
      <c r="D66" s="61">
        <f>IFERROR(__xludf.DUMMYFUNCTION("MIN(index(GOOGLEFINANCE(A66,""ALL"",TODAY()-180,TODAY()),0,5))*1.2"),533.3399999999999)</f>
        <v>533.34</v>
      </c>
      <c r="E66" s="62">
        <f>IFERROR(__xludf.DUMMYFUNCTION("AVERAGE(QUERY(SORT(GOOGLEFINANCE(A66,""price"",TODAY()-320,TODAY()),1,0),""select Col2 limit 100""))"),525.0615000000001)</f>
        <v>525.0615</v>
      </c>
      <c r="F66" s="44">
        <f>IFERROR(__xludf.DUMMYFUNCTION("GOOGLEFINANCE(A66,""high52"")"),614.0)</f>
        <v>614</v>
      </c>
      <c r="G66" s="45">
        <f>IFERROR(__xludf.DUMMYFUNCTION("to_date(index(sort(GOOGLEFINANCE(A66, ""high"", today()-52*7, today(), ""DAILY""),2,0),2,1))"),46146.64583333333)</f>
        <v>46146.64583</v>
      </c>
      <c r="H66" s="44">
        <f>IFERROR(__xludf.DUMMYFUNCTION("GOOGLEFINANCE(A66,""low52"")"),402.3)</f>
        <v>402.3</v>
      </c>
      <c r="I66" s="45">
        <f>IFERROR(__xludf.DUMMYFUNCTION("to_date(index(sort(GOOGLEFINANCE(A66, ""low"", today()-52*7, today(), ""DAILY""),2,1),1,1))"),45929.64583333333)</f>
        <v>45929.64583</v>
      </c>
      <c r="J66" s="46" t="str">
        <f t="shared" si="1"/>
        <v>Do Not Buy Today</v>
      </c>
    </row>
    <row r="67">
      <c r="A67" s="73" t="s">
        <v>360</v>
      </c>
      <c r="B67" s="59">
        <f>IFERROR(__xludf.DUMMYFUNCTION("GOOGLEFINANCE(A67,""price"")"),778.1)</f>
        <v>778.1</v>
      </c>
      <c r="C67" s="60">
        <f>IFERROR(__xludf.DUMMYFUNCTION("GOOGLEFINANCE(A67,""closeyest"")"),783.9)</f>
        <v>783.9</v>
      </c>
      <c r="D67" s="61">
        <f>IFERROR(__xludf.DUMMYFUNCTION("MIN(index(GOOGLEFINANCE(A67,""ALL"",TODAY()-180,TODAY()),0,5))*1.2"),699.9)</f>
        <v>699.9</v>
      </c>
      <c r="E67" s="62">
        <f>IFERROR(__xludf.DUMMYFUNCTION("AVERAGE(QUERY(SORT(GOOGLEFINANCE(A67,""price"",TODAY()-320,TODAY()),1,0),""select Col2 limit 100""))"),717.0064999999998)</f>
        <v>717.0065</v>
      </c>
      <c r="F67" s="44">
        <f>IFERROR(__xludf.DUMMYFUNCTION("GOOGLEFINANCE(A67,""high52"")"),1026.65)</f>
        <v>1026.65</v>
      </c>
      <c r="G67" s="45">
        <f>IFERROR(__xludf.DUMMYFUNCTION("to_date(index(sort(GOOGLEFINANCE(A67, ""high"", today()-52*7, today(), ""DAILY""),2,0),2,1))"),45917.64583333333)</f>
        <v>45917.64583</v>
      </c>
      <c r="H67" s="44">
        <f>IFERROR(__xludf.DUMMYFUNCTION("GOOGLEFINANCE(A67,""low52"")"),580.3)</f>
        <v>580.3</v>
      </c>
      <c r="I67" s="45">
        <f>IFERROR(__xludf.DUMMYFUNCTION("to_date(index(sort(GOOGLEFINANCE(A67, ""low"", today()-52*7, today(), ""DAILY""),2,1),1,1))"),46111.64583333333)</f>
        <v>46111.64583</v>
      </c>
      <c r="J67" s="46" t="str">
        <f t="shared" si="1"/>
        <v>Do Not Buy Today</v>
      </c>
    </row>
    <row r="68">
      <c r="A68" s="73" t="s">
        <v>361</v>
      </c>
      <c r="B68" s="59">
        <f>IFERROR(__xludf.DUMMYFUNCTION("GOOGLEFINANCE(A68,""price"")"),1568.0)</f>
        <v>1568</v>
      </c>
      <c r="C68" s="60">
        <f>IFERROR(__xludf.DUMMYFUNCTION("GOOGLEFINANCE(A68,""closeyest"")"),1650.7)</f>
        <v>1650.7</v>
      </c>
      <c r="D68" s="61">
        <f>IFERROR(__xludf.DUMMYFUNCTION("MIN(index(GOOGLEFINANCE(A68,""ALL"",TODAY()-180,TODAY()),0,5))*1.2"),1285.68)</f>
        <v>1285.68</v>
      </c>
      <c r="E68" s="62">
        <f>IFERROR(__xludf.DUMMYFUNCTION("AVERAGE(QUERY(SORT(GOOGLEFINANCE(A68,""price"",TODAY()-320,TODAY()),1,0),""select Col2 limit 100""))"),1347.715)</f>
        <v>1347.715</v>
      </c>
      <c r="F68" s="44">
        <f>IFERROR(__xludf.DUMMYFUNCTION("GOOGLEFINANCE(A68,""high52"")"),1798.0)</f>
        <v>1798</v>
      </c>
      <c r="G68" s="45">
        <f>IFERROR(__xludf.DUMMYFUNCTION("to_date(index(sort(GOOGLEFINANCE(A68, ""high"", today()-52*7, today(), ""DAILY""),2,0),2,1))"),46161.64583333333)</f>
        <v>46161.64583</v>
      </c>
      <c r="H68" s="44">
        <f>IFERROR(__xludf.DUMMYFUNCTION("GOOGLEFINANCE(A68,""low52"")"),913.1)</f>
        <v>913.1</v>
      </c>
      <c r="I68" s="45">
        <f>IFERROR(__xludf.DUMMYFUNCTION("to_date(index(sort(GOOGLEFINANCE(A68, ""low"", today()-52*7, today(), ""DAILY""),2,1),1,1))"),45870.64583333333)</f>
        <v>45870.64583</v>
      </c>
      <c r="J68" s="46" t="str">
        <f t="shared" si="1"/>
        <v>Do Not Buy Today</v>
      </c>
    </row>
    <row r="69">
      <c r="A69" s="73" t="s">
        <v>362</v>
      </c>
      <c r="B69" s="59">
        <f>IFERROR(__xludf.DUMMYFUNCTION("GOOGLEFINANCE(A69,""price"")"),718.4)</f>
        <v>718.4</v>
      </c>
      <c r="C69" s="60">
        <f>IFERROR(__xludf.DUMMYFUNCTION("GOOGLEFINANCE(A69,""closeyest"")"),690.45)</f>
        <v>690.45</v>
      </c>
      <c r="D69" s="61">
        <f>IFERROR(__xludf.DUMMYFUNCTION("MIN(index(GOOGLEFINANCE(A69,""ALL"",TODAY()-180,TODAY()),0,5))*1.2"),522.3)</f>
        <v>522.3</v>
      </c>
      <c r="E69" s="62">
        <f>IFERROR(__xludf.DUMMYFUNCTION("AVERAGE(QUERY(SORT(GOOGLEFINANCE(A69,""price"",TODAY()-320,TODAY()),1,0),""select Col2 limit 100""))"),516.7525000000002)</f>
        <v>516.7525</v>
      </c>
      <c r="F69" s="44">
        <f>IFERROR(__xludf.DUMMYFUNCTION("GOOGLEFINANCE(A69,""high52"")"),738.0)</f>
        <v>738</v>
      </c>
      <c r="G69" s="45">
        <f>IFERROR(__xludf.DUMMYFUNCTION("to_date(index(sort(GOOGLEFINANCE(A69, ""high"", today()-52*7, today(), ""DAILY""),2,0),2,1))"),46164.64583333333)</f>
        <v>46164.64583</v>
      </c>
      <c r="H69" s="44">
        <f>IFERROR(__xludf.DUMMYFUNCTION("GOOGLEFINANCE(A69,""low52"")"),428.35)</f>
        <v>428.35</v>
      </c>
      <c r="I69" s="45">
        <f>IFERROR(__xludf.DUMMYFUNCTION("to_date(index(sort(GOOGLEFINANCE(A69, ""low"", today()-52*7, today(), ""DAILY""),2,1),1,1))"),46104.64583333333)</f>
        <v>46104.64583</v>
      </c>
      <c r="J69" s="46" t="str">
        <f t="shared" si="1"/>
        <v>Do Not Buy Today</v>
      </c>
    </row>
    <row r="70">
      <c r="A70" s="73" t="s">
        <v>141</v>
      </c>
      <c r="B70" s="59">
        <f>IFERROR(__xludf.DUMMYFUNCTION("GOOGLEFINANCE(A70,""price"")"),5101.3)</f>
        <v>5101.3</v>
      </c>
      <c r="C70" s="60">
        <f>IFERROR(__xludf.DUMMYFUNCTION("GOOGLEFINANCE(A70,""closeyest"")"),5105.8)</f>
        <v>5105.8</v>
      </c>
      <c r="D70" s="61">
        <f>IFERROR(__xludf.DUMMYFUNCTION("MIN(index(GOOGLEFINANCE(A70,""ALL"",TODAY()-180,TODAY()),0,5))*1.2"),5435.28)</f>
        <v>5435.28</v>
      </c>
      <c r="E70" s="62">
        <f>IFERROR(__xludf.DUMMYFUNCTION("AVERAGE(QUERY(SORT(GOOGLEFINANCE(A70,""price"",TODAY()-320,TODAY()),1,0),""select Col2 limit 100""))"),5382.857)</f>
        <v>5382.857</v>
      </c>
      <c r="F70" s="44">
        <f>IFERROR(__xludf.DUMMYFUNCTION("GOOGLEFINANCE(A70,""high52"")"),6599.0)</f>
        <v>6599</v>
      </c>
      <c r="G70" s="45">
        <f>IFERROR(__xludf.DUMMYFUNCTION("to_date(index(sort(GOOGLEFINANCE(A70, ""high"", today()-52*7, today(), ""DAILY""),2,0),2,1))"),46014.64583333333)</f>
        <v>46014.64583</v>
      </c>
      <c r="H70" s="44">
        <f>IFERROR(__xludf.DUMMYFUNCTION("GOOGLEFINANCE(A70,""low52"")"),4449.1)</f>
        <v>4449.1</v>
      </c>
      <c r="I70" s="45">
        <f>IFERROR(__xludf.DUMMYFUNCTION("to_date(index(sort(GOOGLEFINANCE(A70, ""low"", today()-52*7, today(), ""DAILY""),2,1),1,1))"),46083.64583333333)</f>
        <v>46083.64583</v>
      </c>
      <c r="J70" s="46" t="str">
        <f t="shared" si="1"/>
        <v>Do Not Buy Today</v>
      </c>
    </row>
    <row r="71">
      <c r="A71" s="73" t="s">
        <v>363</v>
      </c>
      <c r="B71" s="59">
        <f>IFERROR(__xludf.DUMMYFUNCTION("GOOGLEFINANCE(A71,""price"")"),398.1)</f>
        <v>398.1</v>
      </c>
      <c r="C71" s="60">
        <f>IFERROR(__xludf.DUMMYFUNCTION("GOOGLEFINANCE(A71,""closeyest"")"),393.45)</f>
        <v>393.45</v>
      </c>
      <c r="D71" s="61">
        <f>IFERROR(__xludf.DUMMYFUNCTION("MIN(index(GOOGLEFINANCE(A71,""ALL"",TODAY()-180,TODAY()),0,5))*1.2"),428.76)</f>
        <v>428.76</v>
      </c>
      <c r="E71" s="62">
        <f>IFERROR(__xludf.DUMMYFUNCTION("AVERAGE(QUERY(SORT(GOOGLEFINANCE(A71,""price"",TODAY()-320,TODAY()),1,0),""select Col2 limit 100""))"),380.8184999999999)</f>
        <v>380.8185</v>
      </c>
      <c r="F71" s="44">
        <f>IFERROR(__xludf.DUMMYFUNCTION("GOOGLEFINANCE(A71,""high52"")"),435.8)</f>
        <v>435.8</v>
      </c>
      <c r="G71" s="45">
        <f>IFERROR(__xludf.DUMMYFUNCTION("to_date(index(sort(GOOGLEFINANCE(A71, ""high"", today()-52*7, today(), ""DAILY""),2,0),2,1))"),45805.64583333333)</f>
        <v>45805.64583</v>
      </c>
      <c r="H71" s="44">
        <f>IFERROR(__xludf.DUMMYFUNCTION("GOOGLEFINANCE(A71,""low52"")"),350.25)</f>
        <v>350.25</v>
      </c>
      <c r="I71" s="45">
        <f>IFERROR(__xludf.DUMMYFUNCTION("to_date(index(sort(GOOGLEFINANCE(A71, ""low"", today()-52*7, today(), ""DAILY""),2,1),1,1))"),46090.64583333333)</f>
        <v>46090.64583</v>
      </c>
      <c r="J71" s="46" t="str">
        <f t="shared" si="1"/>
        <v>Do Not Buy Today</v>
      </c>
    </row>
    <row r="72">
      <c r="A72" s="73" t="s">
        <v>364</v>
      </c>
      <c r="B72" s="59">
        <f>IFERROR(__xludf.DUMMYFUNCTION("GOOGLEFINANCE(A72,""price"")"),890.0)</f>
        <v>890</v>
      </c>
      <c r="C72" s="60">
        <f>IFERROR(__xludf.DUMMYFUNCTION("GOOGLEFINANCE(A72,""closeyest"")"),891.6)</f>
        <v>891.6</v>
      </c>
      <c r="D72" s="61">
        <f>IFERROR(__xludf.DUMMYFUNCTION("MIN(index(GOOGLEFINANCE(A72,""ALL"",TODAY()-180,TODAY()),0,5))*1.2"),1040.8799999999999)</f>
        <v>1040.88</v>
      </c>
      <c r="E72" s="62">
        <f>IFERROR(__xludf.DUMMYFUNCTION("AVERAGE(QUERY(SORT(GOOGLEFINANCE(A72,""price"",TODAY()-320,TODAY()),1,0),""select Col2 limit 100""))"),1025.9669999999996)</f>
        <v>1025.967</v>
      </c>
      <c r="F72" s="44">
        <f>IFERROR(__xludf.DUMMYFUNCTION("GOOGLEFINANCE(A72,""high52"")"),1214.5)</f>
        <v>1214.5</v>
      </c>
      <c r="G72" s="45">
        <f>IFERROR(__xludf.DUMMYFUNCTION("to_date(index(sort(GOOGLEFINANCE(A72, ""high"", today()-52*7, today(), ""DAILY""),2,0),2,1))"),46062.64583333333)</f>
        <v>46062.64583</v>
      </c>
      <c r="H72" s="44">
        <f>IFERROR(__xludf.DUMMYFUNCTION("GOOGLEFINANCE(A72,""low52"")"),860.1)</f>
        <v>860.1</v>
      </c>
      <c r="I72" s="45">
        <f>IFERROR(__xludf.DUMMYFUNCTION("to_date(index(sort(GOOGLEFINANCE(A72, ""low"", today()-52*7, today(), ""DAILY""),2,1),1,1))"),46104.64583333333)</f>
        <v>46104.64583</v>
      </c>
      <c r="J72" s="46" t="str">
        <f t="shared" si="1"/>
        <v>Do Not Buy Today</v>
      </c>
    </row>
    <row r="73">
      <c r="A73" s="73" t="s">
        <v>365</v>
      </c>
      <c r="B73" s="59">
        <f>IFERROR(__xludf.DUMMYFUNCTION("GOOGLEFINANCE(A73,""price"")"),4385.4)</f>
        <v>4385.4</v>
      </c>
      <c r="C73" s="60">
        <f>IFERROR(__xludf.DUMMYFUNCTION("GOOGLEFINANCE(A73,""closeyest"")"),4143.4)</f>
        <v>4143.4</v>
      </c>
      <c r="D73" s="61">
        <f>IFERROR(__xludf.DUMMYFUNCTION("MIN(index(GOOGLEFINANCE(A73,""ALL"",TODAY()-180,TODAY()),0,5))*1.2"),3979.08)</f>
        <v>3979.08</v>
      </c>
      <c r="E73" s="62">
        <f>IFERROR(__xludf.DUMMYFUNCTION("AVERAGE(QUERY(SORT(GOOGLEFINANCE(A73,""price"",TODAY()-320,TODAY()),1,0),""select Col2 limit 100""))"),3863.328000000001)</f>
        <v>3863.328</v>
      </c>
      <c r="F73" s="44">
        <f>IFERROR(__xludf.DUMMYFUNCTION("GOOGLEFINANCE(A73,""high52"")"),4495.0)</f>
        <v>4495</v>
      </c>
      <c r="G73" s="45">
        <f>IFERROR(__xludf.DUMMYFUNCTION("to_date(index(sort(GOOGLEFINANCE(A73, ""high"", today()-52*7, today(), ""DAILY""),2,0),2,1))"),46057.64583333333)</f>
        <v>46057.64583</v>
      </c>
      <c r="H73" s="44">
        <f>IFERROR(__xludf.DUMMYFUNCTION("GOOGLEFINANCE(A73,""low52"")"),3001.1)</f>
        <v>3001.1</v>
      </c>
      <c r="I73" s="45">
        <f>IFERROR(__xludf.DUMMYFUNCTION("to_date(index(sort(GOOGLEFINANCE(A73, ""low"", today()-52*7, today(), ""DAILY""),2,1),1,1))"),45897.64583333333)</f>
        <v>45897.64583</v>
      </c>
      <c r="J73" s="46" t="str">
        <f t="shared" si="1"/>
        <v>Do Not Buy Today</v>
      </c>
    </row>
    <row r="74">
      <c r="A74" s="73" t="s">
        <v>366</v>
      </c>
      <c r="B74" s="59">
        <f>IFERROR(__xludf.DUMMYFUNCTION("GOOGLEFINANCE(A74,""price"")"),289.75)</f>
        <v>289.75</v>
      </c>
      <c r="C74" s="60">
        <f>IFERROR(__xludf.DUMMYFUNCTION("GOOGLEFINANCE(A74,""closeyest"")"),289.05)</f>
        <v>289.05</v>
      </c>
      <c r="D74" s="61">
        <f>IFERROR(__xludf.DUMMYFUNCTION("MIN(index(GOOGLEFINANCE(A74,""ALL"",TODAY()-180,TODAY()),0,5))*1.2"),265.73999999999995)</f>
        <v>265.74</v>
      </c>
      <c r="E74" s="62">
        <f>IFERROR(__xludf.DUMMYFUNCTION("AVERAGE(QUERY(SORT(GOOGLEFINANCE(A74,""price"",TODAY()-320,TODAY()),1,0),""select Col2 limit 100""))"),256.20230000000004)</f>
        <v>256.2023</v>
      </c>
      <c r="F74" s="44">
        <f>IFERROR(__xludf.DUMMYFUNCTION("GOOGLEFINANCE(A74,""high52"")"),362.0)</f>
        <v>362</v>
      </c>
      <c r="G74" s="45">
        <f>IFERROR(__xludf.DUMMYFUNCTION("to_date(index(sort(GOOGLEFINANCE(A74, ""high"", today()-52*7, today(), ""DAILY""),2,0),2,1))"),45835.64583333333)</f>
        <v>45835.64583</v>
      </c>
      <c r="H74" s="44">
        <f>IFERROR(__xludf.DUMMYFUNCTION("GOOGLEFINANCE(A74,""low52"")"),217.4)</f>
        <v>217.4</v>
      </c>
      <c r="I74" s="45">
        <f>IFERROR(__xludf.DUMMYFUNCTION("to_date(index(sort(GOOGLEFINANCE(A74, ""low"", today()-52*7, today(), ""DAILY""),2,1),1,1))"),46052.64583333333)</f>
        <v>46052.64583</v>
      </c>
      <c r="J74" s="46" t="str">
        <f t="shared" si="1"/>
        <v>Do Not Buy Today</v>
      </c>
    </row>
    <row r="75">
      <c r="A75" s="73" t="s">
        <v>144</v>
      </c>
      <c r="B75" s="59">
        <f>IFERROR(__xludf.DUMMYFUNCTION("GOOGLEFINANCE(A75,""price"")"),1455.5)</f>
        <v>1455.5</v>
      </c>
      <c r="C75" s="60">
        <f>IFERROR(__xludf.DUMMYFUNCTION("GOOGLEFINANCE(A75,""closeyest"")"),1468.5)</f>
        <v>1468.5</v>
      </c>
      <c r="D75" s="61">
        <f>IFERROR(__xludf.DUMMYFUNCTION("MIN(index(GOOGLEFINANCE(A75,""ALL"",TODAY()-180,TODAY()),0,5))*1.2"),1503.24)</f>
        <v>1503.24</v>
      </c>
      <c r="E75" s="62">
        <f>IFERROR(__xludf.DUMMYFUNCTION("AVERAGE(QUERY(SORT(GOOGLEFINANCE(A75,""price"",TODAY()-320,TODAY()),1,0),""select Col2 limit 100""))"),1468.3499999999997)</f>
        <v>1468.35</v>
      </c>
      <c r="F75" s="44">
        <f>IFERROR(__xludf.DUMMYFUNCTION("GOOGLEFINANCE(A75,""high52"")"),1824.1)</f>
        <v>1824.1</v>
      </c>
      <c r="G75" s="45">
        <f>IFERROR(__xludf.DUMMYFUNCTION("to_date(index(sort(GOOGLEFINANCE(A75, ""high"", today()-52*7, today(), ""DAILY""),2,0),2,1))"),46139.64583333333)</f>
        <v>46139.64583</v>
      </c>
      <c r="H75" s="44">
        <f>IFERROR(__xludf.DUMMYFUNCTION("GOOGLEFINANCE(A75,""low52"")"),1188.0)</f>
        <v>1188</v>
      </c>
      <c r="I75" s="45">
        <f>IFERROR(__xludf.DUMMYFUNCTION("to_date(index(sort(GOOGLEFINANCE(A75, ""low"", today()-52*7, today(), ""DAILY""),2,1),1,1))"),45936.64583333333)</f>
        <v>45936.64583</v>
      </c>
      <c r="J75" s="46" t="str">
        <f t="shared" si="1"/>
        <v>Do Not Buy Today</v>
      </c>
    </row>
    <row r="76">
      <c r="A76" s="73" t="s">
        <v>367</v>
      </c>
      <c r="B76" s="59">
        <f>IFERROR(__xludf.DUMMYFUNCTION("GOOGLEFINANCE(A76,""price"")"),759.3)</f>
        <v>759.3</v>
      </c>
      <c r="C76" s="60">
        <f>IFERROR(__xludf.DUMMYFUNCTION("GOOGLEFINANCE(A76,""closeyest"")"),755.95)</f>
        <v>755.95</v>
      </c>
      <c r="D76" s="61">
        <f>IFERROR(__xludf.DUMMYFUNCTION("MIN(index(GOOGLEFINANCE(A76,""ALL"",TODAY()-180,TODAY()),0,5))*1.2"),631.38)</f>
        <v>631.38</v>
      </c>
      <c r="E76" s="62">
        <f>IFERROR(__xludf.DUMMYFUNCTION("AVERAGE(QUERY(SORT(GOOGLEFINANCE(A76,""price"",TODAY()-320,TODAY()),1,0),""select Col2 limit 100""))"),665.6815000000003)</f>
        <v>665.6815</v>
      </c>
      <c r="F76" s="44">
        <f>IFERROR(__xludf.DUMMYFUNCTION("GOOGLEFINANCE(A76,""high52"")"),802.4)</f>
        <v>802.4</v>
      </c>
      <c r="G76" s="45">
        <f>IFERROR(__xludf.DUMMYFUNCTION("to_date(index(sort(GOOGLEFINANCE(A76, ""high"", today()-52*7, today(), ""DAILY""),2,0),2,1))"),46157.64583333333)</f>
        <v>46157.64583</v>
      </c>
      <c r="H76" s="44">
        <f>IFERROR(__xludf.DUMMYFUNCTION("GOOGLEFINANCE(A76,""low52"")"),505.8)</f>
        <v>505.8</v>
      </c>
      <c r="I76" s="45">
        <f>IFERROR(__xludf.DUMMYFUNCTION("to_date(index(sort(GOOGLEFINANCE(A76, ""low"", today()-52*7, today(), ""DAILY""),2,1),1,1))"),45898.64583333333)</f>
        <v>45898.64583</v>
      </c>
      <c r="J76" s="46" t="str">
        <f t="shared" si="1"/>
        <v>Do Not Buy Today</v>
      </c>
    </row>
    <row r="77">
      <c r="A77" s="73" t="s">
        <v>368</v>
      </c>
      <c r="B77" s="59">
        <f>IFERROR(__xludf.DUMMYFUNCTION("GOOGLEFINANCE(A77,""price"")"),23.56)</f>
        <v>23.56</v>
      </c>
      <c r="C77" s="60">
        <f>IFERROR(__xludf.DUMMYFUNCTION("GOOGLEFINANCE(A77,""closeyest"")"),23.29)</f>
        <v>23.29</v>
      </c>
      <c r="D77" s="61">
        <f>IFERROR(__xludf.DUMMYFUNCTION("MIN(index(GOOGLEFINANCE(A77,""ALL"",TODAY()-180,TODAY()),0,5))*1.2"),27.66)</f>
        <v>27.66</v>
      </c>
      <c r="E77" s="62">
        <f>IFERROR(__xludf.DUMMYFUNCTION("AVERAGE(QUERY(SORT(GOOGLEFINANCE(A77,""price"",TODAY()-320,TODAY()),1,0),""select Col2 limit 100""))"),25.5266)</f>
        <v>25.5266</v>
      </c>
      <c r="F77" s="44">
        <f>IFERROR(__xludf.DUMMYFUNCTION("GOOGLEFINANCE(A77,""high52"")"),35.85)</f>
        <v>35.85</v>
      </c>
      <c r="G77" s="45">
        <f>IFERROR(__xludf.DUMMYFUNCTION("to_date(index(sort(GOOGLEFINANCE(A77, ""high"", today()-52*7, today(), ""DAILY""),2,0),2,1))"),45819.64583333333)</f>
        <v>45819.64583</v>
      </c>
      <c r="H77" s="44">
        <f>IFERROR(__xludf.DUMMYFUNCTION("GOOGLEFINANCE(A77,""low52"")"),22.85)</f>
        <v>22.85</v>
      </c>
      <c r="I77" s="45">
        <f>IFERROR(__xludf.DUMMYFUNCTION("to_date(index(sort(GOOGLEFINANCE(A77, ""low"", today()-52*7, today(), ""DAILY""),2,1),1,1))"),46043.64583333333)</f>
        <v>46043.64583</v>
      </c>
      <c r="J77" s="46" t="str">
        <f t="shared" si="1"/>
        <v>Do Not Buy Today</v>
      </c>
    </row>
    <row r="78">
      <c r="A78" s="73" t="s">
        <v>369</v>
      </c>
      <c r="B78" s="59">
        <f>IFERROR(__xludf.DUMMYFUNCTION("GOOGLEFINANCE(A78,""price"")"),5023.1)</f>
        <v>5023.1</v>
      </c>
      <c r="C78" s="60">
        <f>IFERROR(__xludf.DUMMYFUNCTION("GOOGLEFINANCE(A78,""closeyest"")"),4848.3)</f>
        <v>4848.3</v>
      </c>
      <c r="D78" s="61">
        <f>IFERROR(__xludf.DUMMYFUNCTION("MIN(index(GOOGLEFINANCE(A78,""ALL"",TODAY()-180,TODAY()),0,5))*1.2"),3069.36)</f>
        <v>3069.36</v>
      </c>
      <c r="E78" s="62">
        <f>IFERROR(__xludf.DUMMYFUNCTION("AVERAGE(QUERY(SORT(GOOGLEFINANCE(A78,""price"",TODAY()-320,TODAY()),1,0),""select Col2 limit 100""))"),3721.373000000001)</f>
        <v>3721.373</v>
      </c>
      <c r="F78" s="44">
        <f>IFERROR(__xludf.DUMMYFUNCTION("GOOGLEFINANCE(A78,""high52"")"),5080.9)</f>
        <v>5080.9</v>
      </c>
      <c r="G78" s="45">
        <f>IFERROR(__xludf.DUMMYFUNCTION("to_date(index(sort(GOOGLEFINANCE(A78, ""high"", today()-52*7, today(), ""DAILY""),2,0),2,1))"),46163.64583333333)</f>
        <v>46163.64583</v>
      </c>
      <c r="H78" s="44">
        <f>IFERROR(__xludf.DUMMYFUNCTION("GOOGLEFINANCE(A78,""low52"")"),2080.0)</f>
        <v>2080</v>
      </c>
      <c r="I78" s="45">
        <f>IFERROR(__xludf.DUMMYFUNCTION("to_date(index(sort(GOOGLEFINANCE(A78, ""low"", today()-52*7, today(), ""DAILY""),2,1),1,1))"),45805.64583333333)</f>
        <v>45805.64583</v>
      </c>
      <c r="J78" s="46" t="str">
        <f t="shared" si="1"/>
        <v>Do Not Buy Today</v>
      </c>
    </row>
    <row r="79">
      <c r="A79" s="73" t="s">
        <v>370</v>
      </c>
      <c r="B79" s="59">
        <f>IFERROR(__xludf.DUMMYFUNCTION("GOOGLEFINANCE(A79,""price"")"),1796.8)</f>
        <v>1796.8</v>
      </c>
      <c r="C79" s="60">
        <f>IFERROR(__xludf.DUMMYFUNCTION("GOOGLEFINANCE(A79,""closeyest"")"),1785.6)</f>
        <v>1785.6</v>
      </c>
      <c r="D79" s="61">
        <f>IFERROR(__xludf.DUMMYFUNCTION("MIN(index(GOOGLEFINANCE(A79,""ALL"",TODAY()-180,TODAY()),0,5))*1.2"),2048.16)</f>
        <v>2048.16</v>
      </c>
      <c r="E79" s="62">
        <f>IFERROR(__xludf.DUMMYFUNCTION("AVERAGE(QUERY(SORT(GOOGLEFINANCE(A79,""price"",TODAY()-320,TODAY()),1,0),""select Col2 limit 100""))"),1980.197)</f>
        <v>1980.197</v>
      </c>
      <c r="F79" s="44">
        <f>IFERROR(__xludf.DUMMYFUNCTION("GOOGLEFINANCE(A79,""high52"")"),2496.3)</f>
        <v>2496.3</v>
      </c>
      <c r="G79" s="45">
        <f>IFERROR(__xludf.DUMMYFUNCTION("to_date(index(sort(GOOGLEFINANCE(A79, ""high"", today()-52*7, today(), ""DAILY""),2,0),2,1))"),45917.64583333333)</f>
        <v>45917.64583</v>
      </c>
      <c r="H79" s="44">
        <f>IFERROR(__xludf.DUMMYFUNCTION("GOOGLEFINANCE(A79,""low52"")"),1675.1)</f>
        <v>1675.1</v>
      </c>
      <c r="I79" s="45">
        <f>IFERROR(__xludf.DUMMYFUNCTION("to_date(index(sort(GOOGLEFINANCE(A79, ""low"", today()-52*7, today(), ""DAILY""),2,1),1,1))"),46160.64583333333)</f>
        <v>46160.64583</v>
      </c>
      <c r="J79" s="46" t="str">
        <f t="shared" si="1"/>
        <v>Do Not Buy Today</v>
      </c>
    </row>
    <row r="80">
      <c r="A80" s="73" t="s">
        <v>145</v>
      </c>
      <c r="B80" s="59">
        <f>IFERROR(__xludf.DUMMYFUNCTION("GOOGLEFINANCE(A80,""price"")"),4340.4)</f>
        <v>4340.4</v>
      </c>
      <c r="C80" s="60">
        <f>IFERROR(__xludf.DUMMYFUNCTION("GOOGLEFINANCE(A80,""closeyest"")"),4335.6)</f>
        <v>4335.6</v>
      </c>
      <c r="D80" s="61">
        <f>IFERROR(__xludf.DUMMYFUNCTION("MIN(index(GOOGLEFINANCE(A80,""ALL"",TODAY()-180,TODAY()),0,5))*1.2"),4771.92)</f>
        <v>4771.92</v>
      </c>
      <c r="E80" s="62">
        <f>IFERROR(__xludf.DUMMYFUNCTION("AVERAGE(QUERY(SORT(GOOGLEFINANCE(A80,""price"",TODAY()-320,TODAY()),1,0),""select Col2 limit 100""))"),4698.102)</f>
        <v>4698.102</v>
      </c>
      <c r="F80" s="44">
        <f>IFERROR(__xludf.DUMMYFUNCTION("GOOGLEFINANCE(A80,""high52"")"),6735.0)</f>
        <v>6735</v>
      </c>
      <c r="G80" s="45">
        <f>IFERROR(__xludf.DUMMYFUNCTION("to_date(index(sort(GOOGLEFINANCE(A80, ""high"", today()-52*7, today(), ""DAILY""),2,0),2,1))"),45818.64583333333)</f>
        <v>45818.64583</v>
      </c>
      <c r="H80" s="44">
        <f>IFERROR(__xludf.DUMMYFUNCTION("GOOGLEFINANCE(A80,""low52"")"),3945.0)</f>
        <v>3945</v>
      </c>
      <c r="I80" s="45">
        <f>IFERROR(__xludf.DUMMYFUNCTION("to_date(index(sort(GOOGLEFINANCE(A80, ""low"", today()-52*7, today(), ""DAILY""),2,1),1,1))"),46156.64583333333)</f>
        <v>46156.64583</v>
      </c>
      <c r="J80" s="46" t="str">
        <f t="shared" si="1"/>
        <v>Do Not Buy Today</v>
      </c>
    </row>
    <row r="81">
      <c r="A81" s="73" t="s">
        <v>371</v>
      </c>
      <c r="B81" s="59">
        <f>IFERROR(__xludf.DUMMYFUNCTION("GOOGLEFINANCE(A81,""price"")"),1480.8)</f>
        <v>1480.8</v>
      </c>
      <c r="C81" s="60">
        <f>IFERROR(__xludf.DUMMYFUNCTION("GOOGLEFINANCE(A81,""closeyest"")"),1486.2)</f>
        <v>1486.2</v>
      </c>
      <c r="D81" s="61">
        <f>IFERROR(__xludf.DUMMYFUNCTION("MIN(index(GOOGLEFINANCE(A81,""ALL"",TODAY()-180,TODAY()),0,5))*1.2"),1522.44)</f>
        <v>1522.44</v>
      </c>
      <c r="E81" s="62">
        <f>IFERROR(__xludf.DUMMYFUNCTION("AVERAGE(QUERY(SORT(GOOGLEFINANCE(A81,""price"",TODAY()-320,TODAY()),1,0),""select Col2 limit 100""))"),1514.7459999999999)</f>
        <v>1514.746</v>
      </c>
      <c r="F81" s="44">
        <f>IFERROR(__xludf.DUMMYFUNCTION("GOOGLEFINANCE(A81,""high52"")"),2185.9)</f>
        <v>2185.9</v>
      </c>
      <c r="G81" s="45">
        <f>IFERROR(__xludf.DUMMYFUNCTION("to_date(index(sort(GOOGLEFINANCE(A81, ""high"", today()-52*7, today(), ""DAILY""),2,0),2,1))"),45922.64583333333)</f>
        <v>45922.64583</v>
      </c>
      <c r="H81" s="44">
        <f>IFERROR(__xludf.DUMMYFUNCTION("GOOGLEFINANCE(A81,""low52"")"),1251.3)</f>
        <v>1251.3</v>
      </c>
      <c r="I81" s="45">
        <f>IFERROR(__xludf.DUMMYFUNCTION("to_date(index(sort(GOOGLEFINANCE(A81, ""low"", today()-52*7, today(), ""DAILY""),2,1),1,1))"),46104.64583333333)</f>
        <v>46104.64583</v>
      </c>
      <c r="J81" s="46" t="str">
        <f t="shared" si="1"/>
        <v>Do Not Buy Today</v>
      </c>
    </row>
    <row r="82">
      <c r="A82" s="73" t="s">
        <v>147</v>
      </c>
      <c r="B82" s="59">
        <f>IFERROR(__xludf.DUMMYFUNCTION("GOOGLEFINANCE(A82,""price"")"),79.8)</f>
        <v>79.8</v>
      </c>
      <c r="C82" s="60">
        <f>IFERROR(__xludf.DUMMYFUNCTION("GOOGLEFINANCE(A82,""closeyest"")"),80.18)</f>
        <v>80.18</v>
      </c>
      <c r="D82" s="61">
        <f>IFERROR(__xludf.DUMMYFUNCTION("MIN(index(GOOGLEFINANCE(A82,""ALL"",TODAY()-180,TODAY()),0,5))*1.2"),67.464)</f>
        <v>67.464</v>
      </c>
      <c r="E82" s="62">
        <f>IFERROR(__xludf.DUMMYFUNCTION("AVERAGE(QUERY(SORT(GOOGLEFINANCE(A82,""price"",TODAY()-320,TODAY()),1,0),""select Col2 limit 100""))"),69.50410000000004)</f>
        <v>69.5041</v>
      </c>
      <c r="F82" s="44">
        <f>IFERROR(__xludf.DUMMYFUNCTION("GOOGLEFINANCE(A82,""high52"")"),85.9)</f>
        <v>85.9</v>
      </c>
      <c r="G82" s="45">
        <f>IFERROR(__xludf.DUMMYFUNCTION("to_date(index(sort(GOOGLEFINANCE(A82, ""high"", today()-52*7, today(), ""DAILY""),2,0),2,1))"),46149.64583333333)</f>
        <v>46149.64583</v>
      </c>
      <c r="H82" s="44">
        <f>IFERROR(__xludf.DUMMYFUNCTION("GOOGLEFINANCE(A82,""low52"")"),50.55)</f>
        <v>50.55</v>
      </c>
      <c r="I82" s="45">
        <f>IFERROR(__xludf.DUMMYFUNCTION("to_date(index(sort(GOOGLEFINANCE(A82, ""low"", today()-52*7, today(), ""DAILY""),2,1),1,1))"),45807.64583333333)</f>
        <v>45807.64583</v>
      </c>
      <c r="J82" s="46" t="str">
        <f t="shared" si="1"/>
        <v>Do Not Buy Today</v>
      </c>
    </row>
    <row r="83">
      <c r="A83" s="73" t="s">
        <v>372</v>
      </c>
      <c r="B83" s="59">
        <f>IFERROR(__xludf.DUMMYFUNCTION("GOOGLEFINANCE(A83,""price"")"),526.0)</f>
        <v>526</v>
      </c>
      <c r="C83" s="60">
        <f>IFERROR(__xludf.DUMMYFUNCTION("GOOGLEFINANCE(A83,""closeyest"")"),529.8)</f>
        <v>529.8</v>
      </c>
      <c r="D83" s="61">
        <f>IFERROR(__xludf.DUMMYFUNCTION("MIN(index(GOOGLEFINANCE(A83,""ALL"",TODAY()-180,TODAY()),0,5))*1.2"),452.94)</f>
        <v>452.94</v>
      </c>
      <c r="E83" s="62">
        <f>IFERROR(__xludf.DUMMYFUNCTION("AVERAGE(QUERY(SORT(GOOGLEFINANCE(A83,""price"",TODAY()-320,TODAY()),1,0),""select Col2 limit 100""))"),481.9315)</f>
        <v>481.9315</v>
      </c>
      <c r="F83" s="44">
        <f>IFERROR(__xludf.DUMMYFUNCTION("GOOGLEFINANCE(A83,""high52"")"),766.0)</f>
        <v>766</v>
      </c>
      <c r="G83" s="45">
        <f>IFERROR(__xludf.DUMMYFUNCTION("to_date(index(sort(GOOGLEFINANCE(A83, ""high"", today()-52*7, today(), ""DAILY""),2,0),2,1))"),45919.64583333333)</f>
        <v>45919.64583</v>
      </c>
      <c r="H83" s="44">
        <f>IFERROR(__xludf.DUMMYFUNCTION("GOOGLEFINANCE(A83,""low52"")"),365.9)</f>
        <v>365.9</v>
      </c>
      <c r="I83" s="45">
        <f>IFERROR(__xludf.DUMMYFUNCTION("to_date(index(sort(GOOGLEFINANCE(A83, ""low"", today()-52*7, today(), ""DAILY""),2,1),1,1))"),46111.64583333333)</f>
        <v>46111.64583</v>
      </c>
      <c r="J83" s="46" t="str">
        <f t="shared" si="1"/>
        <v>Do Not Buy Today</v>
      </c>
    </row>
    <row r="84">
      <c r="A84" s="73" t="s">
        <v>373</v>
      </c>
      <c r="B84" s="59">
        <f>IFERROR(__xludf.DUMMYFUNCTION("GOOGLEFINANCE(A84,""price"")"),39.24)</f>
        <v>39.24</v>
      </c>
      <c r="C84" s="60">
        <f>IFERROR(__xludf.DUMMYFUNCTION("GOOGLEFINANCE(A84,""closeyest"")"),39.23)</f>
        <v>39.23</v>
      </c>
      <c r="D84" s="61">
        <f>IFERROR(__xludf.DUMMYFUNCTION("MIN(index(GOOGLEFINANCE(A84,""ALL"",TODAY()-180,TODAY()),0,5))*1.2"),43.068)</f>
        <v>43.068</v>
      </c>
      <c r="E84" s="62">
        <f>IFERROR(__xludf.DUMMYFUNCTION("AVERAGE(QUERY(SORT(GOOGLEFINANCE(A84,""price"",TODAY()-320,TODAY()),1,0),""select Col2 limit 100""))"),42.030699999999996)</f>
        <v>42.0307</v>
      </c>
      <c r="F84" s="44">
        <f>IFERROR(__xludf.DUMMYFUNCTION("GOOGLEFINANCE(A84,""high52"")"),53.59)</f>
        <v>53.59</v>
      </c>
      <c r="G84" s="45">
        <f>IFERROR(__xludf.DUMMYFUNCTION("to_date(index(sort(GOOGLEFINANCE(A84, ""high"", today()-52*7, today(), ""DAILY""),2,0),2,1))"),46028.64583333333)</f>
        <v>46028.64583</v>
      </c>
      <c r="H84" s="44">
        <f>IFERROR(__xludf.DUMMYFUNCTION("GOOGLEFINANCE(A84,""low52"")"),35.7)</f>
        <v>35.7</v>
      </c>
      <c r="I84" s="45">
        <f>IFERROR(__xludf.DUMMYFUNCTION("to_date(index(sort(GOOGLEFINANCE(A84, ""low"", today()-52*7, today(), ""DAILY""),2,1),1,1))"),46104.64583333333)</f>
        <v>46104.64583</v>
      </c>
      <c r="J84" s="46" t="str">
        <f t="shared" si="1"/>
        <v>Do Not Buy Today</v>
      </c>
    </row>
    <row r="85">
      <c r="A85" s="73" t="s">
        <v>374</v>
      </c>
      <c r="B85" s="59">
        <f>IFERROR(__xludf.DUMMYFUNCTION("GOOGLEFINANCE(A85,""price"")"),3296.6)</f>
        <v>3296.6</v>
      </c>
      <c r="C85" s="60">
        <f>IFERROR(__xludf.DUMMYFUNCTION("GOOGLEFINANCE(A85,""closeyest"")"),3299.0)</f>
        <v>3299</v>
      </c>
      <c r="D85" s="61">
        <f>IFERROR(__xludf.DUMMYFUNCTION("MIN(index(GOOGLEFINANCE(A85,""ALL"",TODAY()-180,TODAY()),0,5))*1.2"),3601.2)</f>
        <v>3601.2</v>
      </c>
      <c r="E85" s="62">
        <f>IFERROR(__xludf.DUMMYFUNCTION("AVERAGE(QUERY(SORT(GOOGLEFINANCE(A85,""price"",TODAY()-320,TODAY()),1,0),""select Col2 limit 100""))"),3788.583)</f>
        <v>3788.583</v>
      </c>
      <c r="F85" s="44">
        <f>IFERROR(__xludf.DUMMYFUNCTION("GOOGLEFINANCE(A85,""high52"")"),7705.0)</f>
        <v>7705</v>
      </c>
      <c r="G85" s="45">
        <f>IFERROR(__xludf.DUMMYFUNCTION("to_date(index(sort(GOOGLEFINANCE(A85, ""high"", today()-52*7, today(), ""DAILY""),2,0),2,1))"),45937.64583333333)</f>
        <v>45937.64583</v>
      </c>
      <c r="H85" s="44">
        <f>IFERROR(__xludf.DUMMYFUNCTION("GOOGLEFINANCE(A85,""low52"")"),2995.0)</f>
        <v>2995</v>
      </c>
      <c r="I85" s="45">
        <f>IFERROR(__xludf.DUMMYFUNCTION("to_date(index(sort(GOOGLEFINANCE(A85, ""low"", today()-52*7, today(), ""DAILY""),2,1),1,1))"),46162.64583333333)</f>
        <v>46162.64583</v>
      </c>
      <c r="J85" s="46" t="str">
        <f t="shared" si="1"/>
        <v>Do Not Buy Today</v>
      </c>
    </row>
    <row r="86">
      <c r="A86" s="73" t="s">
        <v>149</v>
      </c>
      <c r="B86" s="59">
        <f>IFERROR(__xludf.DUMMYFUNCTION("GOOGLEFINANCE(A86,""price"")"),289.75)</f>
        <v>289.75</v>
      </c>
      <c r="C86" s="60">
        <f>IFERROR(__xludf.DUMMYFUNCTION("GOOGLEFINANCE(A86,""closeyest"")"),290.2)</f>
        <v>290.2</v>
      </c>
      <c r="D86" s="61">
        <f>IFERROR(__xludf.DUMMYFUNCTION("MIN(index(GOOGLEFINANCE(A86,""ALL"",TODAY()-180,TODAY()),0,5))*1.2"),296.21999999999997)</f>
        <v>296.22</v>
      </c>
      <c r="E86" s="62">
        <f>IFERROR(__xludf.DUMMYFUNCTION("AVERAGE(QUERY(SORT(GOOGLEFINANCE(A86,""price"",TODAY()-320,TODAY()),1,0),""select Col2 limit 100""))"),280.18899999999996)</f>
        <v>280.189</v>
      </c>
      <c r="F86" s="44">
        <f>IFERROR(__xludf.DUMMYFUNCTION("GOOGLEFINANCE(A86,""high52"")"),302.0)</f>
        <v>302</v>
      </c>
      <c r="G86" s="45">
        <f>IFERROR(__xludf.DUMMYFUNCTION("to_date(index(sort(GOOGLEFINANCE(A86, ""high"", today()-52*7, today(), ""DAILY""),2,0),2,1))"),46080.64583333333)</f>
        <v>46080.64583</v>
      </c>
      <c r="H86" s="44">
        <f>IFERROR(__xludf.DUMMYFUNCTION("GOOGLEFINANCE(A86,""low52"")"),185.11)</f>
        <v>185.11</v>
      </c>
      <c r="I86" s="45">
        <f>IFERROR(__xludf.DUMMYFUNCTION("to_date(index(sort(GOOGLEFINANCE(A86, ""low"", today()-52*7, today(), ""DAILY""),2,1),1,1))"),45873.64583333333)</f>
        <v>45873.64583</v>
      </c>
      <c r="J86" s="46" t="str">
        <f t="shared" si="1"/>
        <v>Do Not Buy Today</v>
      </c>
    </row>
    <row r="87">
      <c r="A87" s="73" t="s">
        <v>375</v>
      </c>
      <c r="B87" s="59">
        <f>IFERROR(__xludf.DUMMYFUNCTION("GOOGLEFINANCE(A87,""price"")"),731.45)</f>
        <v>731.45</v>
      </c>
      <c r="C87" s="60">
        <f>IFERROR(__xludf.DUMMYFUNCTION("GOOGLEFINANCE(A87,""closeyest"")"),727.75)</f>
        <v>727.75</v>
      </c>
      <c r="D87" s="61">
        <f>IFERROR(__xludf.DUMMYFUNCTION("MIN(index(GOOGLEFINANCE(A87,""ALL"",TODAY()-180,TODAY()),0,5))*1.2"),834.84)</f>
        <v>834.84</v>
      </c>
      <c r="E87" s="62">
        <f>IFERROR(__xludf.DUMMYFUNCTION("AVERAGE(QUERY(SORT(GOOGLEFINANCE(A87,""price"",TODAY()-320,TODAY()),1,0),""select Col2 limit 100""))"),768.3049999999998)</f>
        <v>768.305</v>
      </c>
      <c r="F87" s="44">
        <f>IFERROR(__xludf.DUMMYFUNCTION("GOOGLEFINANCE(A87,""high52"")"),884.0)</f>
        <v>884</v>
      </c>
      <c r="G87" s="45">
        <f>IFERROR(__xludf.DUMMYFUNCTION("to_date(index(sort(GOOGLEFINANCE(A87, ""high"", today()-52*7, today(), ""DAILY""),2,0),2,1))"),46029.64583333333)</f>
        <v>46029.64583</v>
      </c>
      <c r="H87" s="44">
        <f>IFERROR(__xludf.DUMMYFUNCTION("GOOGLEFINANCE(A87,""low52"")"),633.35)</f>
        <v>633.35</v>
      </c>
      <c r="I87" s="45">
        <f>IFERROR(__xludf.DUMMYFUNCTION("to_date(index(sort(GOOGLEFINANCE(A87, ""low"", today()-52*7, today(), ""DAILY""),2,1),1,1))"),45810.64583333333)</f>
        <v>45810.64583</v>
      </c>
      <c r="J87" s="46" t="str">
        <f t="shared" si="1"/>
        <v>Do Not Buy Today</v>
      </c>
    </row>
    <row r="88">
      <c r="A88" s="73" t="s">
        <v>376</v>
      </c>
      <c r="B88" s="59">
        <f>IFERROR(__xludf.DUMMYFUNCTION("GOOGLEFINANCE(A88,""price"")"),697.75)</f>
        <v>697.75</v>
      </c>
      <c r="C88" s="60">
        <f>IFERROR(__xludf.DUMMYFUNCTION("GOOGLEFINANCE(A88,""closeyest"")"),698.7)</f>
        <v>698.7</v>
      </c>
      <c r="D88" s="61">
        <f>IFERROR(__xludf.DUMMYFUNCTION("MIN(index(GOOGLEFINANCE(A88,""ALL"",TODAY()-180,TODAY()),0,5))*1.2"),729.0)</f>
        <v>729</v>
      </c>
      <c r="E88" s="62">
        <f>IFERROR(__xludf.DUMMYFUNCTION("AVERAGE(QUERY(SORT(GOOGLEFINANCE(A88,""price"",TODAY()-320,TODAY()),1,0),""select Col2 limit 100""))"),780.8509999999997)</f>
        <v>780.851</v>
      </c>
      <c r="F88" s="44">
        <f>IFERROR(__xludf.DUMMYFUNCTION("GOOGLEFINANCE(A88,""high52"")"),1294.2)</f>
        <v>1294.2</v>
      </c>
      <c r="G88" s="45">
        <f>IFERROR(__xludf.DUMMYFUNCTION("to_date(index(sort(GOOGLEFINANCE(A88, ""high"", today()-52*7, today(), ""DAILY""),2,0),2,1))"),45806.64583333333)</f>
        <v>45806.64583</v>
      </c>
      <c r="H88" s="44">
        <f>IFERROR(__xludf.DUMMYFUNCTION("GOOGLEFINANCE(A88,""low52"")"),605.0)</f>
        <v>605</v>
      </c>
      <c r="I88" s="45">
        <f>IFERROR(__xludf.DUMMYFUNCTION("to_date(index(sort(GOOGLEFINANCE(A88, ""low"", today()-52*7, today(), ""DAILY""),2,1),1,1))"),46111.64583333333)</f>
        <v>46111.64583</v>
      </c>
      <c r="J88" s="46" t="str">
        <f t="shared" si="1"/>
        <v>Do Not Buy Today</v>
      </c>
    </row>
    <row r="89">
      <c r="A89" s="73" t="s">
        <v>377</v>
      </c>
      <c r="B89" s="59">
        <f>IFERROR(__xludf.DUMMYFUNCTION("GOOGLEFINANCE(A89,""price"")"),155.7)</f>
        <v>155.7</v>
      </c>
      <c r="C89" s="60">
        <f>IFERROR(__xludf.DUMMYFUNCTION("GOOGLEFINANCE(A89,""closeyest"")"),159.59)</f>
        <v>159.59</v>
      </c>
      <c r="D89" s="61">
        <f>IFERROR(__xludf.DUMMYFUNCTION("MIN(index(GOOGLEFINANCE(A89,""ALL"",TODAY()-180,TODAY()),0,5))*1.2"),170.86799999999997)</f>
        <v>170.868</v>
      </c>
      <c r="E89" s="62">
        <f>IFERROR(__xludf.DUMMYFUNCTION("AVERAGE(QUERY(SORT(GOOGLEFINANCE(A89,""price"",TODAY()-320,TODAY()),1,0),""select Col2 limit 100""))"),164.5463)</f>
        <v>164.5463</v>
      </c>
      <c r="F89" s="44">
        <f>IFERROR(__xludf.DUMMYFUNCTION("GOOGLEFINANCE(A89,""high52"")"),200.09)</f>
        <v>200.09</v>
      </c>
      <c r="G89" s="45">
        <f>IFERROR(__xludf.DUMMYFUNCTION("to_date(index(sort(GOOGLEFINANCE(A89, ""high"", today()-52*7, today(), ""DAILY""),2,0),2,1))"),46030.64583333333)</f>
        <v>46030.64583</v>
      </c>
      <c r="H89" s="44">
        <f>IFERROR(__xludf.DUMMYFUNCTION("GOOGLEFINANCE(A89,""low52"")"),141.55)</f>
        <v>141.55</v>
      </c>
      <c r="I89" s="45">
        <f>IFERROR(__xludf.DUMMYFUNCTION("to_date(index(sort(GOOGLEFINANCE(A89, ""low"", today()-52*7, today(), ""DAILY""),2,1),1,1))"),46111.64583333333)</f>
        <v>46111.64583</v>
      </c>
      <c r="J89" s="46" t="str">
        <f t="shared" si="1"/>
        <v>Do Not Buy Today</v>
      </c>
    </row>
    <row r="90">
      <c r="A90" s="73" t="s">
        <v>378</v>
      </c>
      <c r="B90" s="59">
        <f>IFERROR(__xludf.DUMMYFUNCTION("GOOGLEFINANCE(A90,""price"")"),91.58)</f>
        <v>91.58</v>
      </c>
      <c r="C90" s="60">
        <f>IFERROR(__xludf.DUMMYFUNCTION("GOOGLEFINANCE(A90,""closeyest"")"),91.88)</f>
        <v>91.88</v>
      </c>
      <c r="D90" s="61">
        <f>IFERROR(__xludf.DUMMYFUNCTION("MIN(index(GOOGLEFINANCE(A90,""ALL"",TODAY()-180,TODAY()),0,5))*1.2"),97.14)</f>
        <v>97.14</v>
      </c>
      <c r="E90" s="62">
        <f>IFERROR(__xludf.DUMMYFUNCTION("AVERAGE(QUERY(SORT(GOOGLEFINANCE(A90,""price"",TODAY()-320,TODAY()),1,0),""select Col2 limit 100""))"),94.361)</f>
        <v>94.361</v>
      </c>
      <c r="F90" s="44">
        <f>IFERROR(__xludf.DUMMYFUNCTION("GOOGLEFINANCE(A90,""high52"")"),123.0)</f>
        <v>123</v>
      </c>
      <c r="G90" s="45">
        <f>IFERROR(__xludf.DUMMYFUNCTION("to_date(index(sort(GOOGLEFINANCE(A90, ""high"", today()-52*7, today(), ""DAILY""),2,0),2,1))"),45964.64583333333)</f>
        <v>45964.64583</v>
      </c>
      <c r="H90" s="44">
        <f>IFERROR(__xludf.DUMMYFUNCTION("GOOGLEFINANCE(A90,""low52"")"),79.6)</f>
        <v>79.6</v>
      </c>
      <c r="I90" s="45">
        <f>IFERROR(__xludf.DUMMYFUNCTION("to_date(index(sort(GOOGLEFINANCE(A90, ""low"", today()-52*7, today(), ""DAILY""),2,1),1,1))"),46111.64583333333)</f>
        <v>46111.64583</v>
      </c>
      <c r="J90" s="46" t="str">
        <f t="shared" si="1"/>
        <v>Do Not Buy Today</v>
      </c>
    </row>
    <row r="91">
      <c r="A91" s="73" t="s">
        <v>379</v>
      </c>
      <c r="B91" s="59">
        <f>IFERROR(__xludf.DUMMYFUNCTION("GOOGLEFINANCE(A91,""price"")"),12918.0)</f>
        <v>12918</v>
      </c>
      <c r="C91" s="60">
        <f>IFERROR(__xludf.DUMMYFUNCTION("GOOGLEFINANCE(A91,""closeyest"")"),12536.0)</f>
        <v>12536</v>
      </c>
      <c r="D91" s="61">
        <f>IFERROR(__xludf.DUMMYFUNCTION("MIN(index(GOOGLEFINANCE(A91,""ALL"",TODAY()-180,TODAY()),0,5))*1.2"),8359.199999999999)</f>
        <v>8359.2</v>
      </c>
      <c r="E91" s="62">
        <f>IFERROR(__xludf.DUMMYFUNCTION("AVERAGE(QUERY(SORT(GOOGLEFINANCE(A91,""price"",TODAY()-320,TODAY()),1,0),""select Col2 limit 100""))"),10089.81)</f>
        <v>10089.81</v>
      </c>
      <c r="F91" s="44">
        <f>IFERROR(__xludf.DUMMYFUNCTION("GOOGLEFINANCE(A91,""high52"")"),13149.0)</f>
        <v>13149</v>
      </c>
      <c r="G91" s="45">
        <f>IFERROR(__xludf.DUMMYFUNCTION("to_date(index(sort(GOOGLEFINANCE(A91, ""high"", today()-52*7, today(), ""DAILY""),2,0),2,1))"),46164.64583333333)</f>
        <v>46164.64583</v>
      </c>
      <c r="H91" s="44">
        <f>IFERROR(__xludf.DUMMYFUNCTION("GOOGLEFINANCE(A91,""low52"")"),6801.0)</f>
        <v>6801</v>
      </c>
      <c r="I91" s="45">
        <f>IFERROR(__xludf.DUMMYFUNCTION("to_date(index(sort(GOOGLEFINANCE(A91, ""low"", today()-52*7, today(), ""DAILY""),2,1),1,1))"),46043.64583333333)</f>
        <v>46043.64583</v>
      </c>
      <c r="J91" s="46" t="str">
        <f t="shared" si="1"/>
        <v>Do Not Buy Today</v>
      </c>
    </row>
    <row r="92">
      <c r="A92" s="73" t="s">
        <v>380</v>
      </c>
      <c r="B92" s="59">
        <f>IFERROR(__xludf.DUMMYFUNCTION("GOOGLEFINANCE(A92,""price"")"),1577.3)</f>
        <v>1577.3</v>
      </c>
      <c r="C92" s="60">
        <f>IFERROR(__xludf.DUMMYFUNCTION("GOOGLEFINANCE(A92,""closeyest"")"),1578.0)</f>
        <v>1578</v>
      </c>
      <c r="D92" s="61">
        <f>IFERROR(__xludf.DUMMYFUNCTION("MIN(index(GOOGLEFINANCE(A92,""ALL"",TODAY()-180,TODAY()),0,5))*1.2"),1663.44)</f>
        <v>1663.44</v>
      </c>
      <c r="E92" s="62">
        <f>IFERROR(__xludf.DUMMYFUNCTION("AVERAGE(QUERY(SORT(GOOGLEFINANCE(A92,""price"",TODAY()-320,TODAY()),1,0),""select Col2 limit 100""))"),1504.7809999999995)</f>
        <v>1504.781</v>
      </c>
      <c r="F92" s="44">
        <f>IFERROR(__xludf.DUMMYFUNCTION("GOOGLEFINANCE(A92,""high52"")"),1678.3)</f>
        <v>1678.3</v>
      </c>
      <c r="G92" s="45">
        <f>IFERROR(__xludf.DUMMYFUNCTION("to_date(index(sort(GOOGLEFINANCE(A92, ""high"", today()-52*7, today(), ""DAILY""),2,0),2,1))"),46162.64583333333)</f>
        <v>46162.64583</v>
      </c>
      <c r="H92" s="44">
        <f>IFERROR(__xludf.DUMMYFUNCTION("GOOGLEFINANCE(A92,""low52"")"),1251.6)</f>
        <v>1251.6</v>
      </c>
      <c r="I92" s="45">
        <f>IFERROR(__xludf.DUMMYFUNCTION("to_date(index(sort(GOOGLEFINANCE(A92, ""low"", today()-52*7, today(), ""DAILY""),2,1),1,1))"),45954.64583333333)</f>
        <v>45954.64583</v>
      </c>
      <c r="J92" s="46" t="str">
        <f t="shared" si="1"/>
        <v>Do Not Buy Today</v>
      </c>
    </row>
    <row r="93">
      <c r="A93" s="73" t="s">
        <v>381</v>
      </c>
      <c r="B93" s="59">
        <f>IFERROR(__xludf.DUMMYFUNCTION("GOOGLEFINANCE(A93,""price"")"),30.98)</f>
        <v>30.98</v>
      </c>
      <c r="C93" s="60">
        <f>IFERROR(__xludf.DUMMYFUNCTION("GOOGLEFINANCE(A93,""closeyest"")"),31.02)</f>
        <v>31.02</v>
      </c>
      <c r="D93" s="61">
        <f>IFERROR(__xludf.DUMMYFUNCTION("MIN(index(GOOGLEFINANCE(A93,""ALL"",TODAY()-180,TODAY()),0,5))*1.2"),37.224)</f>
        <v>37.224</v>
      </c>
      <c r="E93" s="62">
        <f>IFERROR(__xludf.DUMMYFUNCTION("AVERAGE(QUERY(SORT(GOOGLEFINANCE(A93,""price"",TODAY()-320,TODAY()),1,0),""select Col2 limit 100""))"),36.221)</f>
        <v>36.221</v>
      </c>
      <c r="F93" s="44">
        <f>IFERROR(__xludf.DUMMYFUNCTION("GOOGLEFINANCE(A93,""high52"")"),41.2)</f>
        <v>41.2</v>
      </c>
      <c r="G93" s="45">
        <f>IFERROR(__xludf.DUMMYFUNCTION("to_date(index(sort(GOOGLEFINANCE(A93, ""high"", today()-52*7, today(), ""DAILY""),2,0),2,1))"),45810.64583333333)</f>
        <v>45810.64583</v>
      </c>
      <c r="H93" s="44">
        <f>IFERROR(__xludf.DUMMYFUNCTION("GOOGLEFINANCE(A93,""low52"")"),30.52)</f>
        <v>30.52</v>
      </c>
      <c r="I93" s="45">
        <f>IFERROR(__xludf.DUMMYFUNCTION("to_date(index(sort(GOOGLEFINANCE(A93, ""low"", today()-52*7, today(), ""DAILY""),2,1),1,1))"),46168.64583333333)</f>
        <v>46168.64583</v>
      </c>
      <c r="J93" s="46" t="str">
        <f t="shared" si="1"/>
        <v>Do Not Buy Today</v>
      </c>
    </row>
    <row r="94">
      <c r="A94" s="73" t="s">
        <v>382</v>
      </c>
      <c r="B94" s="59">
        <f>IFERROR(__xludf.DUMMYFUNCTION("GOOGLEFINANCE(A94,""price"")"),686.75)</f>
        <v>686.75</v>
      </c>
      <c r="C94" s="60">
        <f>IFERROR(__xludf.DUMMYFUNCTION("GOOGLEFINANCE(A94,""closeyest"")"),694.6)</f>
        <v>694.6</v>
      </c>
      <c r="D94" s="61">
        <f>IFERROR(__xludf.DUMMYFUNCTION("MIN(index(GOOGLEFINANCE(A94,""ALL"",TODAY()-180,TODAY()),0,5))*1.2"),649.38)</f>
        <v>649.38</v>
      </c>
      <c r="E94" s="62">
        <f>IFERROR(__xludf.DUMMYFUNCTION("AVERAGE(QUERY(SORT(GOOGLEFINANCE(A94,""price"",TODAY()-320,TODAY()),1,0),""select Col2 limit 100""))"),658.2085000000001)</f>
        <v>658.2085</v>
      </c>
      <c r="F94" s="44">
        <f>IFERROR(__xludf.DUMMYFUNCTION("GOOGLEFINANCE(A94,""high52"")"),1184.7)</f>
        <v>1184.7</v>
      </c>
      <c r="G94" s="45">
        <f>IFERROR(__xludf.DUMMYFUNCTION("to_date(index(sort(GOOGLEFINANCE(A94, ""high"", today()-52*7, today(), ""DAILY""),2,0),2,1))"),45933.64583333333)</f>
        <v>45933.64583</v>
      </c>
      <c r="H94" s="44">
        <f>IFERROR(__xludf.DUMMYFUNCTION("GOOGLEFINANCE(A94,""low52"")"),538.85)</f>
        <v>538.85</v>
      </c>
      <c r="I94" s="45">
        <f>IFERROR(__xludf.DUMMYFUNCTION("to_date(index(sort(GOOGLEFINANCE(A94, ""low"", today()-52*7, today(), ""DAILY""),2,1),1,1))"),46111.64583333333)</f>
        <v>46111.64583</v>
      </c>
      <c r="J94" s="46" t="str">
        <f t="shared" si="1"/>
        <v>Do Not Buy Today</v>
      </c>
    </row>
    <row r="95">
      <c r="A95" s="73" t="s">
        <v>152</v>
      </c>
      <c r="B95" s="59">
        <f>IFERROR(__xludf.DUMMYFUNCTION("GOOGLEFINANCE(A95,""price"")"),627.85)</f>
        <v>627.85</v>
      </c>
      <c r="C95" s="60">
        <f>IFERROR(__xludf.DUMMYFUNCTION("GOOGLEFINANCE(A95,""closeyest"")"),628.7)</f>
        <v>628.7</v>
      </c>
      <c r="D95" s="61">
        <f>IFERROR(__xludf.DUMMYFUNCTION("MIN(index(GOOGLEFINANCE(A95,""ALL"",TODAY()-180,TODAY()),0,5))*1.2"),744.24)</f>
        <v>744.24</v>
      </c>
      <c r="E95" s="62">
        <f>IFERROR(__xludf.DUMMYFUNCTION("AVERAGE(QUERY(SORT(GOOGLEFINANCE(A95,""price"",TODAY()-320,TODAY()),1,0),""select Col2 limit 100""))"),728.2109999999999)</f>
        <v>728.211</v>
      </c>
      <c r="F95" s="44">
        <f>IFERROR(__xludf.DUMMYFUNCTION("GOOGLEFINANCE(A95,""high52"")"),1027.25)</f>
        <v>1027.25</v>
      </c>
      <c r="G95" s="45">
        <f>IFERROR(__xludf.DUMMYFUNCTION("to_date(index(sort(GOOGLEFINANCE(A95, ""high"", today()-52*7, today(), ""DAILY""),2,0),2,1))"),45818.64583333333)</f>
        <v>45818.64583</v>
      </c>
      <c r="H95" s="44">
        <f>IFERROR(__xludf.DUMMYFUNCTION("GOOGLEFINANCE(A95,""low52"")"),612.1)</f>
        <v>612.1</v>
      </c>
      <c r="I95" s="45">
        <f>IFERROR(__xludf.DUMMYFUNCTION("to_date(index(sort(GOOGLEFINANCE(A95, ""low"", today()-52*7, today(), ""DAILY""),2,1),1,1))"),46160.64583333333)</f>
        <v>46160.64583</v>
      </c>
      <c r="J95" s="46" t="str">
        <f t="shared" si="1"/>
        <v>Do Not Buy Today</v>
      </c>
    </row>
    <row r="96">
      <c r="A96" s="73" t="s">
        <v>383</v>
      </c>
      <c r="B96" s="59">
        <f>IFERROR(__xludf.DUMMYFUNCTION("GOOGLEFINANCE(A96,""price"")"),1345.7)</f>
        <v>1345.7</v>
      </c>
      <c r="C96" s="60">
        <f>IFERROR(__xludf.DUMMYFUNCTION("GOOGLEFINANCE(A96,""closeyest"")"),1343.7)</f>
        <v>1343.7</v>
      </c>
      <c r="D96" s="61">
        <f>IFERROR(__xludf.DUMMYFUNCTION("MIN(index(GOOGLEFINANCE(A96,""ALL"",TODAY()-180,TODAY()),0,5))*1.2"),1578.24)</f>
        <v>1578.24</v>
      </c>
      <c r="E96" s="62">
        <f>IFERROR(__xludf.DUMMYFUNCTION("AVERAGE(QUERY(SORT(GOOGLEFINANCE(A96,""price"",TODAY()-320,TODAY()),1,0),""select Col2 limit 100""))"),1522.761)</f>
        <v>1522.761</v>
      </c>
      <c r="F96" s="44">
        <f>IFERROR(__xludf.DUMMYFUNCTION("GOOGLEFINANCE(A96,""high52"")"),2134.7)</f>
        <v>2134.7</v>
      </c>
      <c r="G96" s="45">
        <f>IFERROR(__xludf.DUMMYFUNCTION("to_date(index(sort(GOOGLEFINANCE(A96, ""high"", today()-52*7, today(), ""DAILY""),2,0),2,1))"),45819.64583333333)</f>
        <v>45819.64583</v>
      </c>
      <c r="H96" s="44">
        <f>IFERROR(__xludf.DUMMYFUNCTION("GOOGLEFINANCE(A96,""low52"")"),1312.7)</f>
        <v>1312.7</v>
      </c>
      <c r="I96" s="45">
        <f>IFERROR(__xludf.DUMMYFUNCTION("to_date(index(sort(GOOGLEFINANCE(A96, ""low"", today()-52*7, today(), ""DAILY""),2,1),1,1))"),46164.64583333333)</f>
        <v>46164.64583</v>
      </c>
      <c r="J96" s="46" t="str">
        <f t="shared" si="1"/>
        <v>Do Not Buy Today</v>
      </c>
    </row>
    <row r="97">
      <c r="A97" s="73" t="s">
        <v>384</v>
      </c>
      <c r="B97" s="59">
        <f>IFERROR(__xludf.DUMMYFUNCTION("GOOGLEFINANCE(A97,""price"")"),1015.1)</f>
        <v>1015.1</v>
      </c>
      <c r="C97" s="60">
        <f>IFERROR(__xludf.DUMMYFUNCTION("GOOGLEFINANCE(A97,""closeyest"")"),1003.4)</f>
        <v>1003.4</v>
      </c>
      <c r="D97" s="61">
        <f>IFERROR(__xludf.DUMMYFUNCTION("MIN(index(GOOGLEFINANCE(A97,""ALL"",TODAY()-180,TODAY()),0,5))*1.2"),867.78)</f>
        <v>867.78</v>
      </c>
      <c r="E97" s="62">
        <f>IFERROR(__xludf.DUMMYFUNCTION("AVERAGE(QUERY(SORT(GOOGLEFINANCE(A97,""price"",TODAY()-320,TODAY()),1,0),""select Col2 limit 100""))"),919.0899999999998)</f>
        <v>919.09</v>
      </c>
      <c r="F97" s="44">
        <f>IFERROR(__xludf.DUMMYFUNCTION("GOOGLEFINANCE(A97,""high52"")"),1123.5)</f>
        <v>1123.5</v>
      </c>
      <c r="G97" s="45">
        <f>IFERROR(__xludf.DUMMYFUNCTION("to_date(index(sort(GOOGLEFINANCE(A97, ""high"", today()-52*7, today(), ""DAILY""),2,0),2,1))"),46149.64583333333)</f>
        <v>46149.64583</v>
      </c>
      <c r="H97" s="44">
        <f>IFERROR(__xludf.DUMMYFUNCTION("GOOGLEFINANCE(A97,""low52"")"),708.0)</f>
        <v>708</v>
      </c>
      <c r="I97" s="45">
        <f>IFERROR(__xludf.DUMMYFUNCTION("to_date(index(sort(GOOGLEFINANCE(A97, ""low"", today()-52*7, today(), ""DAILY""),2,1),1,1))"),45986.64583333333)</f>
        <v>45986.64583</v>
      </c>
      <c r="J97" s="46" t="str">
        <f t="shared" si="1"/>
        <v>Do Not Buy Today</v>
      </c>
    </row>
    <row r="98">
      <c r="A98" s="73" t="s">
        <v>385</v>
      </c>
      <c r="B98" s="59">
        <f>IFERROR(__xludf.DUMMYFUNCTION("GOOGLEFINANCE(A98,""price"")"),2177.0)</f>
        <v>2177</v>
      </c>
      <c r="C98" s="60">
        <f>IFERROR(__xludf.DUMMYFUNCTION("GOOGLEFINANCE(A98,""closeyest"")"),2190.0)</f>
        <v>2190</v>
      </c>
      <c r="D98" s="61">
        <f>IFERROR(__xludf.DUMMYFUNCTION("MIN(index(GOOGLEFINANCE(A98,""ALL"",TODAY()-180,TODAY()),0,5))*1.2"),2116.2)</f>
        <v>2116.2</v>
      </c>
      <c r="E98" s="62">
        <f>IFERROR(__xludf.DUMMYFUNCTION("AVERAGE(QUERY(SORT(GOOGLEFINANCE(A98,""price"",TODAY()-320,TODAY()),1,0),""select Col2 limit 100""))"),2001.5279999999998)</f>
        <v>2001.528</v>
      </c>
      <c r="F98" s="44">
        <f>IFERROR(__xludf.DUMMYFUNCTION("GOOGLEFINANCE(A98,""high52"")"),2285.3)</f>
        <v>2285.3</v>
      </c>
      <c r="G98" s="45">
        <f>IFERROR(__xludf.DUMMYFUNCTION("to_date(index(sort(GOOGLEFINANCE(A98, ""high"", today()-52*7, today(), ""DAILY""),2,0),2,1))"),46167.64583333333)</f>
        <v>46167.64583</v>
      </c>
      <c r="H98" s="44">
        <f>IFERROR(__xludf.DUMMYFUNCTION("GOOGLEFINANCE(A98,""low52"")"),1603.5)</f>
        <v>1603.5</v>
      </c>
      <c r="I98" s="45">
        <f>IFERROR(__xludf.DUMMYFUNCTION("to_date(index(sort(GOOGLEFINANCE(A98, ""low"", today()-52*7, today(), ""DAILY""),2,1),1,1))"),45849.64583333333)</f>
        <v>45849.64583</v>
      </c>
      <c r="J98" s="46" t="str">
        <f t="shared" si="1"/>
        <v>Do Not Buy Today</v>
      </c>
    </row>
    <row r="99">
      <c r="A99" s="73" t="s">
        <v>386</v>
      </c>
      <c r="B99" s="59">
        <f>IFERROR(__xludf.DUMMYFUNCTION("GOOGLEFINANCE(A99,""price"")"),1702.0)</f>
        <v>1702</v>
      </c>
      <c r="C99" s="60">
        <f>IFERROR(__xludf.DUMMYFUNCTION("GOOGLEFINANCE(A99,""closeyest"")"),1710.7)</f>
        <v>1710.7</v>
      </c>
      <c r="D99" s="61">
        <f>IFERROR(__xludf.DUMMYFUNCTION("MIN(index(GOOGLEFINANCE(A99,""ALL"",TODAY()-180,TODAY()),0,5))*1.2"),1696.44)</f>
        <v>1696.44</v>
      </c>
      <c r="E99" s="62">
        <f>IFERROR(__xludf.DUMMYFUNCTION("AVERAGE(QUERY(SORT(GOOGLEFINANCE(A99,""price"",TODAY()-320,TODAY()),1,0),""select Col2 limit 100""))"),1699.9620000000007)</f>
        <v>1699.962</v>
      </c>
      <c r="F99" s="44">
        <f>IFERROR(__xludf.DUMMYFUNCTION("GOOGLEFINANCE(A99,""high52"")"),2426.09)</f>
        <v>2426.09</v>
      </c>
      <c r="G99" s="45">
        <f>IFERROR(__xludf.DUMMYFUNCTION("to_date(index(sort(GOOGLEFINANCE(A99, ""high"", today()-52*7, today(), ""DAILY""),2,0),2,1))"),45944.64583333333)</f>
        <v>45944.64583</v>
      </c>
      <c r="H99" s="44">
        <f>IFERROR(__xludf.DUMMYFUNCTION("GOOGLEFINANCE(A99,""low52"")"),1404.0)</f>
        <v>1404</v>
      </c>
      <c r="I99" s="45">
        <f>IFERROR(__xludf.DUMMYFUNCTION("to_date(index(sort(GOOGLEFINANCE(A99, ""low"", today()-52*7, today(), ""DAILY""),2,1),1,1))"),46111.64583333333)</f>
        <v>46111.64583</v>
      </c>
      <c r="J99" s="46" t="str">
        <f t="shared" si="1"/>
        <v>Do Not Buy Today</v>
      </c>
    </row>
    <row r="100">
      <c r="A100" s="73" t="s">
        <v>387</v>
      </c>
      <c r="B100" s="59">
        <f>IFERROR(__xludf.DUMMYFUNCTION("GOOGLEFINANCE(A100,""price"")"),431.8)</f>
        <v>431.8</v>
      </c>
      <c r="C100" s="60">
        <f>IFERROR(__xludf.DUMMYFUNCTION("GOOGLEFINANCE(A100,""closeyest"")"),434.9)</f>
        <v>434.9</v>
      </c>
      <c r="D100" s="61">
        <f>IFERROR(__xludf.DUMMYFUNCTION("MIN(index(GOOGLEFINANCE(A100,""ALL"",TODAY()-180,TODAY()),0,5))*1.2"),335.87999999999994)</f>
        <v>335.88</v>
      </c>
      <c r="E100" s="62">
        <f>IFERROR(__xludf.DUMMYFUNCTION("AVERAGE(QUERY(SORT(GOOGLEFINANCE(A100,""price"",TODAY()-320,TODAY()),1,0),""select Col2 limit 100""))"),382.31699999999995)</f>
        <v>382.317</v>
      </c>
      <c r="F100" s="44">
        <f>IFERROR(__xludf.DUMMYFUNCTION("GOOGLEFINANCE(A100,""high52"")"),1121.15)</f>
        <v>1121.15</v>
      </c>
      <c r="G100" s="45">
        <f>IFERROR(__xludf.DUMMYFUNCTION("to_date(index(sort(GOOGLEFINANCE(A100, ""high"", today()-52*7, today(), ""DAILY""),2,0),2,1))"),45855.64583333333)</f>
        <v>45855.64583</v>
      </c>
      <c r="H100" s="44">
        <f>IFERROR(__xludf.DUMMYFUNCTION("GOOGLEFINANCE(A100,""low52"")"),266.7)</f>
        <v>266.7</v>
      </c>
      <c r="I100" s="45">
        <f>IFERROR(__xludf.DUMMYFUNCTION("to_date(index(sort(GOOGLEFINANCE(A100, ""low"", today()-52*7, today(), ""DAILY""),2,1),1,1))"),46090.64583333333)</f>
        <v>46090.64583</v>
      </c>
      <c r="J100" s="46" t="str">
        <f t="shared" si="1"/>
        <v>Do Not Buy Today</v>
      </c>
    </row>
    <row r="101">
      <c r="A101" s="73" t="s">
        <v>159</v>
      </c>
      <c r="B101" s="59">
        <f>IFERROR(__xludf.DUMMYFUNCTION("GOOGLEFINANCE(A101,""price"")"),1010.6)</f>
        <v>1010.6</v>
      </c>
      <c r="C101" s="60">
        <f>IFERROR(__xludf.DUMMYFUNCTION("GOOGLEFINANCE(A101,""closeyest"")"),1011.8)</f>
        <v>1011.8</v>
      </c>
      <c r="D101" s="61">
        <f>IFERROR(__xludf.DUMMYFUNCTION("MIN(index(GOOGLEFINANCE(A101,""ALL"",TODAY()-180,TODAY()),0,5))*1.2"),1011.24)</f>
        <v>1011.24</v>
      </c>
      <c r="E101" s="62">
        <f>IFERROR(__xludf.DUMMYFUNCTION("AVERAGE(QUERY(SORT(GOOGLEFINANCE(A101,""price"",TODAY()-320,TODAY()),1,0),""select Col2 limit 100""))"),976.6619999999999)</f>
        <v>976.662</v>
      </c>
      <c r="F101" s="44">
        <f>IFERROR(__xludf.DUMMYFUNCTION("GOOGLEFINANCE(A101,""high52"")"),1079.55)</f>
        <v>1079.55</v>
      </c>
      <c r="G101" s="45">
        <f>IFERROR(__xludf.DUMMYFUNCTION("to_date(index(sort(GOOGLEFINANCE(A101, ""high"", today()-52*7, today(), ""DAILY""),2,0),2,1))"),46136.64583333333)</f>
        <v>46136.64583</v>
      </c>
      <c r="H101" s="44">
        <f>IFERROR(__xludf.DUMMYFUNCTION("GOOGLEFINANCE(A101,""low52"")"),682.15)</f>
        <v>682.15</v>
      </c>
      <c r="I101" s="45">
        <f>IFERROR(__xludf.DUMMYFUNCTION("to_date(index(sort(GOOGLEFINANCE(A101, ""low"", today()-52*7, today(), ""DAILY""),2,1),1,1))"),45905.64583333333)</f>
        <v>45905.64583</v>
      </c>
      <c r="J101" s="46" t="str">
        <f t="shared" si="1"/>
        <v>Do Not Buy Today</v>
      </c>
    </row>
    <row r="102">
      <c r="A102" s="73" t="s">
        <v>388</v>
      </c>
      <c r="B102" s="59">
        <f>IFERROR(__xludf.DUMMYFUNCTION("GOOGLEFINANCE(A102,""price"")"),208.35)</f>
        <v>208.35</v>
      </c>
      <c r="C102" s="60">
        <f>IFERROR(__xludf.DUMMYFUNCTION("GOOGLEFINANCE(A102,""closeyest"")"),204.95)</f>
        <v>204.95</v>
      </c>
      <c r="D102" s="61">
        <f>IFERROR(__xludf.DUMMYFUNCTION("MIN(index(GOOGLEFINANCE(A102,""ALL"",TODAY()-180,TODAY()),0,5))*1.2"),236.7)</f>
        <v>236.7</v>
      </c>
      <c r="E102" s="62">
        <f>IFERROR(__xludf.DUMMYFUNCTION("AVERAGE(QUERY(SORT(GOOGLEFINANCE(A102,""price"",TODAY()-320,TODAY()),1,0),""select Col2 limit 100""))"),241.47150000000002)</f>
        <v>241.4715</v>
      </c>
      <c r="F102" s="44">
        <f>IFERROR(__xludf.DUMMYFUNCTION("GOOGLEFINANCE(A102,""high52"")"),364.8)</f>
        <v>364.8</v>
      </c>
      <c r="G102" s="45">
        <f>IFERROR(__xludf.DUMMYFUNCTION("to_date(index(sort(GOOGLEFINANCE(A102, ""high"", today()-52*7, today(), ""DAILY""),2,0),2,1))"),45845.64583333333)</f>
        <v>45845.64583</v>
      </c>
      <c r="H102" s="44">
        <f>IFERROR(__xludf.DUMMYFUNCTION("GOOGLEFINANCE(A102,""low52"")"),196.15)</f>
        <v>196.15</v>
      </c>
      <c r="I102" s="45">
        <f>IFERROR(__xludf.DUMMYFUNCTION("to_date(index(sort(GOOGLEFINANCE(A102, ""low"", today()-52*7, today(), ""DAILY""),2,1),1,1))"),46111.64583333333)</f>
        <v>46111.64583</v>
      </c>
      <c r="J102" s="46" t="str">
        <f t="shared" si="1"/>
        <v>Do Not Buy Today</v>
      </c>
    </row>
    <row r="103">
      <c r="A103" s="73" t="s">
        <v>389</v>
      </c>
      <c r="B103" s="59">
        <f>IFERROR(__xludf.DUMMYFUNCTION("GOOGLEFINANCE(A103,""price"")"),268.2)</f>
        <v>268.2</v>
      </c>
      <c r="C103" s="60">
        <f>IFERROR(__xludf.DUMMYFUNCTION("GOOGLEFINANCE(A103,""closeyest"")"),270.1)</f>
        <v>270.1</v>
      </c>
      <c r="D103" s="61">
        <f>IFERROR(__xludf.DUMMYFUNCTION("MIN(index(GOOGLEFINANCE(A103,""ALL"",TODAY()-180,TODAY()),0,5))*1.2"),251.51999999999998)</f>
        <v>251.52</v>
      </c>
      <c r="E103" s="62">
        <f>IFERROR(__xludf.DUMMYFUNCTION("AVERAGE(QUERY(SORT(GOOGLEFINANCE(A103,""price"",TODAY()-320,TODAY()),1,0),""select Col2 limit 100""))"),282.48550000000006)</f>
        <v>282.4855</v>
      </c>
      <c r="F103" s="44">
        <f>IFERROR(__xludf.DUMMYFUNCTION("GOOGLEFINANCE(A103,""high52"")"),452.8)</f>
        <v>452.8</v>
      </c>
      <c r="G103" s="45">
        <f>IFERROR(__xludf.DUMMYFUNCTION("to_date(index(sort(GOOGLEFINANCE(A103, ""high"", today()-52*7, today(), ""DAILY""),2,0),2,1))"),45846.64583333333)</f>
        <v>45846.64583</v>
      </c>
      <c r="H103" s="44">
        <f>IFERROR(__xludf.DUMMYFUNCTION("GOOGLEFINANCE(A103,""low52"")"),207.15)</f>
        <v>207.15</v>
      </c>
      <c r="I103" s="45">
        <f>IFERROR(__xludf.DUMMYFUNCTION("to_date(index(sort(GOOGLEFINANCE(A103, ""low"", today()-52*7, today(), ""DAILY""),2,1),1,1))"),46111.64583333333)</f>
        <v>46111.64583</v>
      </c>
      <c r="J103" s="46" t="str">
        <f t="shared" si="1"/>
        <v>Do Not Buy Today</v>
      </c>
    </row>
    <row r="104">
      <c r="A104" s="73" t="s">
        <v>165</v>
      </c>
      <c r="B104" s="59">
        <f>IFERROR(__xludf.DUMMYFUNCTION("GOOGLEFINANCE(A104,""price"")"),127315.0)</f>
        <v>127315</v>
      </c>
      <c r="C104" s="60">
        <f>IFERROR(__xludf.DUMMYFUNCTION("GOOGLEFINANCE(A104,""closeyest"")"),127160.0)</f>
        <v>127160</v>
      </c>
      <c r="D104" s="61">
        <f>IFERROR(__xludf.DUMMYFUNCTION("MIN(index(GOOGLEFINANCE(A104,""ALL"",TODAY()-180,TODAY()),0,5))*1.2"),149970.0)</f>
        <v>149970</v>
      </c>
      <c r="E104" s="62">
        <f>IFERROR(__xludf.DUMMYFUNCTION("AVERAGE(QUERY(SORT(GOOGLEFINANCE(A104,""price"",TODAY()-320,TODAY()),1,0),""select Col2 limit 100""))"),137465.8)</f>
        <v>137465.8</v>
      </c>
      <c r="F104" s="44">
        <f>IFERROR(__xludf.DUMMYFUNCTION("GOOGLEFINANCE(A104,""high52"")"),163600.0)</f>
        <v>163600</v>
      </c>
      <c r="G104" s="45">
        <f>IFERROR(__xludf.DUMMYFUNCTION("to_date(index(sort(GOOGLEFINANCE(A104, ""high"", today()-52*7, today(), ""DAILY""),2,0),2,1))"),45954.64583333333)</f>
        <v>45954.64583</v>
      </c>
      <c r="H104" s="44">
        <f>IFERROR(__xludf.DUMMYFUNCTION("GOOGLEFINANCE(A104,""low52"")"),123455.0)</f>
        <v>123455</v>
      </c>
      <c r="I104" s="45">
        <f>IFERROR(__xludf.DUMMYFUNCTION("to_date(index(sort(GOOGLEFINANCE(A104, ""low"", today()-52*7, today(), ""DAILY""),2,1),1,1))"),46104.64583333333)</f>
        <v>46104.64583</v>
      </c>
      <c r="J104" s="46" t="str">
        <f t="shared" si="1"/>
        <v>Do Not Buy Today</v>
      </c>
    </row>
    <row r="105">
      <c r="A105" s="73" t="s">
        <v>390</v>
      </c>
      <c r="B105" s="59">
        <f>IFERROR(__xludf.DUMMYFUNCTION("GOOGLEFINANCE(A105,""price"")"),484.0)</f>
        <v>484</v>
      </c>
      <c r="C105" s="60">
        <f>IFERROR(__xludf.DUMMYFUNCTION("GOOGLEFINANCE(A105,""closeyest"")"),494.85)</f>
        <v>494.85</v>
      </c>
      <c r="D105" s="61">
        <f>IFERROR(__xludf.DUMMYFUNCTION("MIN(index(GOOGLEFINANCE(A105,""ALL"",TODAY()-180,TODAY()),0,5))*1.2"),486.36)</f>
        <v>486.36</v>
      </c>
      <c r="E105" s="62">
        <f>IFERROR(__xludf.DUMMYFUNCTION("AVERAGE(QUERY(SORT(GOOGLEFINANCE(A105,""price"",TODAY()-320,TODAY()),1,0),""select Col2 limit 100""))"),505.8312000000001)</f>
        <v>505.8312</v>
      </c>
      <c r="F105" s="44">
        <f>IFERROR(__xludf.DUMMYFUNCTION("GOOGLEFINANCE(A105,""high52"")"),829.68)</f>
        <v>829.68</v>
      </c>
      <c r="G105" s="45">
        <f>IFERROR(__xludf.DUMMYFUNCTION("to_date(index(sort(GOOGLEFINANCE(A105, ""high"", today()-52*7, today(), ""DAILY""),2,0),2,1))"),46035.64583333333)</f>
        <v>46035.64583</v>
      </c>
      <c r="H105" s="44">
        <f>IFERROR(__xludf.DUMMYFUNCTION("GOOGLEFINANCE(A105,""low52"")"),400.0)</f>
        <v>400</v>
      </c>
      <c r="I105" s="45">
        <f>IFERROR(__xludf.DUMMYFUNCTION("to_date(index(sort(GOOGLEFINANCE(A105, ""low"", today()-52*7, today(), ""DAILY""),2,1),1,1))"),46090.64583333333)</f>
        <v>46090.64583</v>
      </c>
      <c r="J105" s="46" t="str">
        <f t="shared" si="1"/>
        <v>Do Not Buy Today</v>
      </c>
    </row>
    <row r="106">
      <c r="A106" s="73" t="s">
        <v>391</v>
      </c>
      <c r="B106" s="59">
        <f>IFERROR(__xludf.DUMMYFUNCTION("GOOGLEFINANCE(A106,""price"")"),1089.9)</f>
        <v>1089.9</v>
      </c>
      <c r="C106" s="60">
        <f>IFERROR(__xludf.DUMMYFUNCTION("GOOGLEFINANCE(A106,""closeyest"")"),1090.7)</f>
        <v>1090.7</v>
      </c>
      <c r="D106" s="61">
        <f>IFERROR(__xludf.DUMMYFUNCTION("MIN(index(GOOGLEFINANCE(A106,""ALL"",TODAY()-180,TODAY()),0,5))*1.2"),1032.06)</f>
        <v>1032.06</v>
      </c>
      <c r="E106" s="62">
        <f>IFERROR(__xludf.DUMMYFUNCTION("AVERAGE(QUERY(SORT(GOOGLEFINANCE(A106,""price"",TODAY()-320,TODAY()),1,0),""select Col2 limit 100""))"),969.2540000000002)</f>
        <v>969.254</v>
      </c>
      <c r="F106" s="44">
        <f>IFERROR(__xludf.DUMMYFUNCTION("GOOGLEFINANCE(A106,""high52"")"),1148.4)</f>
        <v>1148.4</v>
      </c>
      <c r="G106" s="45">
        <f>IFERROR(__xludf.DUMMYFUNCTION("to_date(index(sort(GOOGLEFINANCE(A106, ""high"", today()-52*7, today(), ""DAILY""),2,0),2,1))"),46153.64583333333)</f>
        <v>46153.64583</v>
      </c>
      <c r="H106" s="44">
        <f>IFERROR(__xludf.DUMMYFUNCTION("GOOGLEFINANCE(A106,""low52"")"),819.0)</f>
        <v>819</v>
      </c>
      <c r="I106" s="45">
        <f>IFERROR(__xludf.DUMMYFUNCTION("to_date(index(sort(GOOGLEFINANCE(A106, ""low"", today()-52*7, today(), ""DAILY""),2,1),1,1))"),46044.64583333333)</f>
        <v>46044.64583</v>
      </c>
      <c r="J106" s="46" t="str">
        <f t="shared" si="1"/>
        <v>Do Not Buy Today</v>
      </c>
    </row>
    <row r="107">
      <c r="A107" s="73" t="s">
        <v>392</v>
      </c>
      <c r="B107" s="59">
        <f>IFERROR(__xludf.DUMMYFUNCTION("GOOGLEFINANCE(A107,""price"")"),399.0)</f>
        <v>399</v>
      </c>
      <c r="C107" s="60">
        <f>IFERROR(__xludf.DUMMYFUNCTION("GOOGLEFINANCE(A107,""closeyest"")"),396.05)</f>
        <v>396.05</v>
      </c>
      <c r="D107" s="61">
        <f>IFERROR(__xludf.DUMMYFUNCTION("MIN(index(GOOGLEFINANCE(A107,""ALL"",TODAY()-180,TODAY()),0,5))*1.2"),373.32)</f>
        <v>373.32</v>
      </c>
      <c r="E107" s="62">
        <f>IFERROR(__xludf.DUMMYFUNCTION("AVERAGE(QUERY(SORT(GOOGLEFINANCE(A107,""price"",TODAY()-320,TODAY()),1,0),""select Col2 limit 100""))"),345.97)</f>
        <v>345.97</v>
      </c>
      <c r="F107" s="44">
        <f>IFERROR(__xludf.DUMMYFUNCTION("GOOGLEFINANCE(A107,""high52"")"),603.0)</f>
        <v>603</v>
      </c>
      <c r="G107" s="45">
        <f>IFERROR(__xludf.DUMMYFUNCTION("to_date(index(sort(GOOGLEFINANCE(A107, ""high"", today()-52*7, today(), ""DAILY""),2,0),2,1))"),45812.64583333333)</f>
        <v>45812.64583</v>
      </c>
      <c r="H107" s="44">
        <f>IFERROR(__xludf.DUMMYFUNCTION("GOOGLEFINANCE(A107,""low52"")"),307.05)</f>
        <v>307.05</v>
      </c>
      <c r="I107" s="45">
        <f>IFERROR(__xludf.DUMMYFUNCTION("to_date(index(sort(GOOGLEFINANCE(A107, ""low"", today()-52*7, today(), ""DAILY""),2,1),1,1))"),46090.64583333333)</f>
        <v>46090.64583</v>
      </c>
      <c r="J107" s="46" t="str">
        <f t="shared" si="1"/>
        <v>Do Not Buy Today</v>
      </c>
    </row>
    <row r="108">
      <c r="A108" s="73" t="s">
        <v>393</v>
      </c>
      <c r="B108" s="59">
        <f>IFERROR(__xludf.DUMMYFUNCTION("GOOGLEFINANCE(A108,""price"")"),813.0)</f>
        <v>813</v>
      </c>
      <c r="C108" s="60">
        <f>IFERROR(__xludf.DUMMYFUNCTION("GOOGLEFINANCE(A108,""closeyest"")"),799.45)</f>
        <v>799.45</v>
      </c>
      <c r="D108" s="61">
        <f>IFERROR(__xludf.DUMMYFUNCTION("MIN(index(GOOGLEFINANCE(A108,""ALL"",TODAY()-180,TODAY()),0,5))*1.2"),737.7599999999999)</f>
        <v>737.76</v>
      </c>
      <c r="E108" s="62">
        <f>IFERROR(__xludf.DUMMYFUNCTION("AVERAGE(QUERY(SORT(GOOGLEFINANCE(A108,""price"",TODAY()-320,TODAY()),1,0),""select Col2 limit 100""))"),763.1935000000001)</f>
        <v>763.1935</v>
      </c>
      <c r="F108" s="44">
        <f>IFERROR(__xludf.DUMMYFUNCTION("GOOGLEFINANCE(A108,""high52"")"),1122.0)</f>
        <v>1122</v>
      </c>
      <c r="G108" s="45">
        <f>IFERROR(__xludf.DUMMYFUNCTION("to_date(index(sort(GOOGLEFINANCE(A108, ""high"", today()-52*7, today(), ""DAILY""),2,0),2,1))"),45971.64583333333)</f>
        <v>45971.64583</v>
      </c>
      <c r="H108" s="44">
        <f>IFERROR(__xludf.DUMMYFUNCTION("GOOGLEFINANCE(A108,""low52"")"),551.6)</f>
        <v>551.6</v>
      </c>
      <c r="I108" s="45">
        <f>IFERROR(__xludf.DUMMYFUNCTION("to_date(index(sort(GOOGLEFINANCE(A108, ""low"", today()-52*7, today(), ""DAILY""),2,1),1,1))"),45867.64583333333)</f>
        <v>45867.64583</v>
      </c>
      <c r="J108" s="46" t="str">
        <f t="shared" si="1"/>
        <v>Do Not Buy Today</v>
      </c>
    </row>
    <row r="109">
      <c r="A109" s="73" t="s">
        <v>394</v>
      </c>
      <c r="B109" s="59">
        <f>IFERROR(__xludf.DUMMYFUNCTION("GOOGLEFINANCE(A109,""price"")"),904.65)</f>
        <v>904.65</v>
      </c>
      <c r="C109" s="60">
        <f>IFERROR(__xludf.DUMMYFUNCTION("GOOGLEFINANCE(A109,""closeyest"")"),889.3)</f>
        <v>889.3</v>
      </c>
      <c r="D109" s="61">
        <f>IFERROR(__xludf.DUMMYFUNCTION("MIN(index(GOOGLEFINANCE(A109,""ALL"",TODAY()-180,TODAY()),0,5))*1.2"),806.94)</f>
        <v>806.94</v>
      </c>
      <c r="E109" s="62">
        <f>IFERROR(__xludf.DUMMYFUNCTION("AVERAGE(QUERY(SORT(GOOGLEFINANCE(A109,""price"",TODAY()-320,TODAY()),1,0),""select Col2 limit 100""))"),833.9615000000001)</f>
        <v>833.9615</v>
      </c>
      <c r="F109" s="44">
        <f>IFERROR(__xludf.DUMMYFUNCTION("GOOGLEFINANCE(A109,""high52"")"),1094.0)</f>
        <v>1094</v>
      </c>
      <c r="G109" s="45">
        <f>IFERROR(__xludf.DUMMYFUNCTION("to_date(index(sort(GOOGLEFINANCE(A109, ""high"", today()-52*7, today(), ""DAILY""),2,0),2,1))"),45806.64583333333)</f>
        <v>45806.64583</v>
      </c>
      <c r="H109" s="44">
        <f>IFERROR(__xludf.DUMMYFUNCTION("GOOGLEFINANCE(A109,""low52"")"),670.0)</f>
        <v>670</v>
      </c>
      <c r="I109" s="45">
        <f>IFERROR(__xludf.DUMMYFUNCTION("to_date(index(sort(GOOGLEFINANCE(A109, ""low"", today()-52*7, today(), ""DAILY""),2,1),1,1))"),46111.64583333333)</f>
        <v>46111.64583</v>
      </c>
      <c r="J109" s="46" t="str">
        <f t="shared" si="1"/>
        <v>Do Not Buy Today</v>
      </c>
    </row>
    <row r="110">
      <c r="A110" s="73" t="s">
        <v>395</v>
      </c>
      <c r="B110" s="59">
        <f>IFERROR(__xludf.DUMMYFUNCTION("GOOGLEFINANCE(A110,""price"")"),405.0)</f>
        <v>405</v>
      </c>
      <c r="C110" s="60">
        <f>IFERROR(__xludf.DUMMYFUNCTION("GOOGLEFINANCE(A110,""closeyest"")"),404.6)</f>
        <v>404.6</v>
      </c>
      <c r="D110" s="61">
        <f>IFERROR(__xludf.DUMMYFUNCTION("MIN(index(GOOGLEFINANCE(A110,""ALL"",TODAY()-180,TODAY()),0,5))*1.2"),412.56)</f>
        <v>412.56</v>
      </c>
      <c r="E110" s="62">
        <f>IFERROR(__xludf.DUMMYFUNCTION("AVERAGE(QUERY(SORT(GOOGLEFINANCE(A110,""price"",TODAY()-320,TODAY()),1,0),""select Col2 limit 100""))"),414.16700000000003)</f>
        <v>414.167</v>
      </c>
      <c r="F110" s="44">
        <f>IFERROR(__xludf.DUMMYFUNCTION("GOOGLEFINANCE(A110,""high52"")"),485.8)</f>
        <v>485.8</v>
      </c>
      <c r="G110" s="45">
        <f>IFERROR(__xludf.DUMMYFUNCTION("to_date(index(sort(GOOGLEFINANCE(A110, ""high"", today()-52*7, today(), ""DAILY""),2,0),2,1))"),46030.64583333333)</f>
        <v>46030.64583</v>
      </c>
      <c r="H110" s="44">
        <f>IFERROR(__xludf.DUMMYFUNCTION("GOOGLEFINANCE(A110,""low52"")"),297.05)</f>
        <v>297.05</v>
      </c>
      <c r="I110" s="45">
        <f>IFERROR(__xludf.DUMMYFUNCTION("to_date(index(sort(GOOGLEFINANCE(A110, ""low"", today()-52*7, today(), ""DAILY""),2,1),1,1))"),45828.64583333333)</f>
        <v>45828.64583</v>
      </c>
      <c r="J110" s="46" t="str">
        <f t="shared" si="1"/>
        <v>Do Not Buy Today</v>
      </c>
    </row>
    <row r="111">
      <c r="A111" s="73" t="s">
        <v>396</v>
      </c>
      <c r="B111" s="59">
        <f>IFERROR(__xludf.DUMMYFUNCTION("GOOGLEFINANCE(A111,""price"")"),187.26)</f>
        <v>187.26</v>
      </c>
      <c r="C111" s="60">
        <f>IFERROR(__xludf.DUMMYFUNCTION("GOOGLEFINANCE(A111,""closeyest"")"),182.84)</f>
        <v>182.84</v>
      </c>
      <c r="D111" s="61">
        <f>IFERROR(__xludf.DUMMYFUNCTION("MIN(index(GOOGLEFINANCE(A111,""ALL"",TODAY()-180,TODAY()),0,5))*1.2"),168.516)</f>
        <v>168.516</v>
      </c>
      <c r="E111" s="62">
        <f>IFERROR(__xludf.DUMMYFUNCTION("AVERAGE(QUERY(SORT(GOOGLEFINANCE(A111,""price"",TODAY()-320,TODAY()),1,0),""select Col2 limit 100""))"),163.16910000000001)</f>
        <v>163.1691</v>
      </c>
      <c r="F111" s="44">
        <f>IFERROR(__xludf.DUMMYFUNCTION("GOOGLEFINANCE(A111,""high52"")"),204.5)</f>
        <v>204.5</v>
      </c>
      <c r="G111" s="45">
        <f>IFERROR(__xludf.DUMMYFUNCTION("to_date(index(sort(GOOGLEFINANCE(A111, ""high"", today()-52*7, today(), ""DAILY""),2,0),2,1))"),46146.64583333333)</f>
        <v>46146.64583</v>
      </c>
      <c r="H111" s="44">
        <f>IFERROR(__xludf.DUMMYFUNCTION("GOOGLEFINANCE(A111,""low52"")"),138.12)</f>
        <v>138.12</v>
      </c>
      <c r="I111" s="45">
        <f>IFERROR(__xludf.DUMMYFUNCTION("to_date(index(sort(GOOGLEFINANCE(A111, ""low"", today()-52*7, today(), ""DAILY""),2,1),1,1))"),46049.64583333333)</f>
        <v>46049.64583</v>
      </c>
      <c r="J111" s="46" t="str">
        <f t="shared" si="1"/>
        <v>Do Not Buy Today</v>
      </c>
    </row>
    <row r="112">
      <c r="A112" s="73" t="s">
        <v>175</v>
      </c>
      <c r="B112" s="59">
        <f>IFERROR(__xludf.DUMMYFUNCTION("GOOGLEFINANCE(A112,""price"")"),1592.1)</f>
        <v>1592.1</v>
      </c>
      <c r="C112" s="60">
        <f>IFERROR(__xludf.DUMMYFUNCTION("GOOGLEFINANCE(A112,""closeyest"")"),1578.8)</f>
        <v>1578.8</v>
      </c>
      <c r="D112" s="61">
        <f>IFERROR(__xludf.DUMMYFUNCTION("MIN(index(GOOGLEFINANCE(A112,""ALL"",TODAY()-180,TODAY()),0,5))*1.2"),1617.36)</f>
        <v>1617.36</v>
      </c>
      <c r="E112" s="62">
        <f>IFERROR(__xludf.DUMMYFUNCTION("AVERAGE(QUERY(SORT(GOOGLEFINANCE(A112,""price"",TODAY()-320,TODAY()),1,0),""select Col2 limit 100""))"),1549.5639999999996)</f>
        <v>1549.564</v>
      </c>
      <c r="F112" s="44">
        <f>IFERROR(__xludf.DUMMYFUNCTION("GOOGLEFINANCE(A112,""high52"")"),1768.7)</f>
        <v>1768.7</v>
      </c>
      <c r="G112" s="45">
        <f>IFERROR(__xludf.DUMMYFUNCTION("to_date(index(sort(GOOGLEFINANCE(A112, ""high"", today()-52*7, today(), ""DAILY""),2,0),2,1))"),46092.64583333333)</f>
        <v>46092.64583</v>
      </c>
      <c r="H112" s="44">
        <f>IFERROR(__xludf.DUMMYFUNCTION("GOOGLEFINANCE(A112,""low52"")"),1263.7)</f>
        <v>1263.7</v>
      </c>
      <c r="I112" s="45">
        <f>IFERROR(__xludf.DUMMYFUNCTION("to_date(index(sort(GOOGLEFINANCE(A112, ""low"", today()-52*7, today(), ""DAILY""),2,1),1,1))"),45881.64583333333)</f>
        <v>45881.64583</v>
      </c>
      <c r="J112" s="46" t="str">
        <f t="shared" si="1"/>
        <v>Do Not Buy Today</v>
      </c>
    </row>
    <row r="113">
      <c r="A113" s="73" t="s">
        <v>397</v>
      </c>
      <c r="B113" s="59">
        <f>IFERROR(__xludf.DUMMYFUNCTION("GOOGLEFINANCE(A113,""price"")"),1116.4)</f>
        <v>1116.4</v>
      </c>
      <c r="C113" s="60">
        <f>IFERROR(__xludf.DUMMYFUNCTION("GOOGLEFINANCE(A113,""closeyest"")"),1086.15)</f>
        <v>1086.15</v>
      </c>
      <c r="D113" s="61">
        <f>IFERROR(__xludf.DUMMYFUNCTION("MIN(index(GOOGLEFINANCE(A113,""ALL"",TODAY()-180,TODAY()),0,5))*1.2"),852.9599999999999)</f>
        <v>852.96</v>
      </c>
      <c r="E113" s="62">
        <f>IFERROR(__xludf.DUMMYFUNCTION("AVERAGE(QUERY(SORT(GOOGLEFINANCE(A113,""price"",TODAY()-320,TODAY()),1,0),""select Col2 limit 100""))"),867.0329999999993)</f>
        <v>867.033</v>
      </c>
      <c r="F113" s="44">
        <f>IFERROR(__xludf.DUMMYFUNCTION("GOOGLEFINANCE(A113,""high52"")"),1172.8)</f>
        <v>1172.8</v>
      </c>
      <c r="G113" s="45">
        <f>IFERROR(__xludf.DUMMYFUNCTION("to_date(index(sort(GOOGLEFINANCE(A113, ""high"", today()-52*7, today(), ""DAILY""),2,0),2,1))"),46150.64583333333)</f>
        <v>46150.64583</v>
      </c>
      <c r="H113" s="44">
        <f>IFERROR(__xludf.DUMMYFUNCTION("GOOGLEFINANCE(A113,""low52"")"),700.8)</f>
        <v>700.8</v>
      </c>
      <c r="I113" s="45">
        <f>IFERROR(__xludf.DUMMYFUNCTION("to_date(index(sort(GOOGLEFINANCE(A113, ""low"", today()-52*7, today(), ""DAILY""),2,1),1,1))"),46052.64583333333)</f>
        <v>46052.64583</v>
      </c>
      <c r="J113" s="46" t="str">
        <f t="shared" si="1"/>
        <v>Do Not Buy Today</v>
      </c>
    </row>
    <row r="114">
      <c r="A114" s="73" t="s">
        <v>398</v>
      </c>
      <c r="B114" s="59">
        <f>IFERROR(__xludf.DUMMYFUNCTION("GOOGLEFINANCE(A114,""price"")"),193.63)</f>
        <v>193.63</v>
      </c>
      <c r="C114" s="60">
        <f>IFERROR(__xludf.DUMMYFUNCTION("GOOGLEFINANCE(A114,""closeyest"")"),193.06)</f>
        <v>193.06</v>
      </c>
      <c r="D114" s="61">
        <f>IFERROR(__xludf.DUMMYFUNCTION("MIN(index(GOOGLEFINANCE(A114,""ALL"",TODAY()-180,TODAY()),0,5))*1.2"),206.76000000000002)</f>
        <v>206.76</v>
      </c>
      <c r="E114" s="62">
        <f>IFERROR(__xludf.DUMMYFUNCTION("AVERAGE(QUERY(SORT(GOOGLEFINANCE(A114,""price"",TODAY()-320,TODAY()),1,0),""select Col2 limit 100""))"),200.35679999999996)</f>
        <v>200.3568</v>
      </c>
      <c r="F114" s="44">
        <f>IFERROR(__xludf.DUMMYFUNCTION("GOOGLEFINANCE(A114,""high52"")"),286.0)</f>
        <v>286</v>
      </c>
      <c r="G114" s="45">
        <f>IFERROR(__xludf.DUMMYFUNCTION("to_date(index(sort(GOOGLEFINANCE(A114, ""high"", today()-52*7, today(), ""DAILY""),2,0),2,1))"),45856.64583333333)</f>
        <v>45856.64583</v>
      </c>
      <c r="H114" s="44">
        <f>IFERROR(__xludf.DUMMYFUNCTION("GOOGLEFINANCE(A114,""low52"")"),171.19)</f>
        <v>171.19</v>
      </c>
      <c r="I114" s="45">
        <f>IFERROR(__xludf.DUMMYFUNCTION("to_date(index(sort(GOOGLEFINANCE(A114, ""low"", today()-52*7, today(), ""DAILY""),2,1),1,1))"),46097.64583333333)</f>
        <v>46097.64583</v>
      </c>
      <c r="J114" s="46" t="str">
        <f t="shared" si="1"/>
        <v>Do Not Buy Today</v>
      </c>
    </row>
    <row r="115">
      <c r="A115" s="73" t="s">
        <v>177</v>
      </c>
      <c r="B115" s="59">
        <f>IFERROR(__xludf.DUMMYFUNCTION("GOOGLEFINANCE(A115,""price"")"),165.95)</f>
        <v>165.95</v>
      </c>
      <c r="C115" s="60">
        <f>IFERROR(__xludf.DUMMYFUNCTION("GOOGLEFINANCE(A115,""closeyest"")"),166.01)</f>
        <v>166.01</v>
      </c>
      <c r="D115" s="61">
        <f>IFERROR(__xludf.DUMMYFUNCTION("MIN(index(GOOGLEFINANCE(A115,""ALL"",TODAY()-180,TODAY()),0,5))*1.2"),174.744)</f>
        <v>174.744</v>
      </c>
      <c r="E115" s="62">
        <f>IFERROR(__xludf.DUMMYFUNCTION("AVERAGE(QUERY(SORT(GOOGLEFINANCE(A115,""price"",TODAY()-320,TODAY()),1,0),""select Col2 limit 100""))"),167.6327)</f>
        <v>167.6327</v>
      </c>
      <c r="F115" s="44">
        <f>IFERROR(__xludf.DUMMYFUNCTION("GOOGLEFINANCE(A115,""high52"")"),229.0)</f>
        <v>229</v>
      </c>
      <c r="G115" s="45">
        <f>IFERROR(__xludf.DUMMYFUNCTION("to_date(index(sort(GOOGLEFINANCE(A115, ""high"", today()-52*7, today(), ""DAILY""),2,0),2,1))"),45842.64583333333)</f>
        <v>45842.64583</v>
      </c>
      <c r="H115" s="44">
        <f>IFERROR(__xludf.DUMMYFUNCTION("GOOGLEFINANCE(A115,""low52"")"),141.74)</f>
        <v>141.74</v>
      </c>
      <c r="I115" s="45">
        <f>IFERROR(__xludf.DUMMYFUNCTION("to_date(index(sort(GOOGLEFINANCE(A115, ""low"", today()-52*7, today(), ""DAILY""),2,1),1,1))"),46114.64583333333)</f>
        <v>46114.64583</v>
      </c>
      <c r="J115" s="46" t="str">
        <f t="shared" si="1"/>
        <v>Do Not Buy Today</v>
      </c>
    </row>
    <row r="116">
      <c r="A116" s="73" t="s">
        <v>179</v>
      </c>
      <c r="B116" s="59">
        <f>IFERROR(__xludf.DUMMYFUNCTION("GOOGLEFINANCE(A116,""price"")"),657.5)</f>
        <v>657.5</v>
      </c>
      <c r="C116" s="60">
        <f>IFERROR(__xludf.DUMMYFUNCTION("GOOGLEFINANCE(A116,""closeyest"")"),647.4)</f>
        <v>647.4</v>
      </c>
      <c r="D116" s="61">
        <f>IFERROR(__xludf.DUMMYFUNCTION("MIN(index(GOOGLEFINANCE(A116,""ALL"",TODAY()-180,TODAY()),0,5))*1.2"),582.24)</f>
        <v>582.24</v>
      </c>
      <c r="E116" s="62">
        <f>IFERROR(__xludf.DUMMYFUNCTION("AVERAGE(QUERY(SORT(GOOGLEFINANCE(A116,""price"",TODAY()-320,TODAY()),1,0),""select Col2 limit 100""))"),605.3579999999997)</f>
        <v>605.358</v>
      </c>
      <c r="F116" s="44">
        <f>IFERROR(__xludf.DUMMYFUNCTION("GOOGLEFINANCE(A116,""high52"")"),733.0)</f>
        <v>733</v>
      </c>
      <c r="G116" s="45">
        <f>IFERROR(__xludf.DUMMYFUNCTION("to_date(index(sort(GOOGLEFINANCE(A116, ""high"", today()-52*7, today(), ""DAILY""),2,0),2,1))"),46049.64583333333)</f>
        <v>46049.64583</v>
      </c>
      <c r="H116" s="44">
        <f>IFERROR(__xludf.DUMMYFUNCTION("GOOGLEFINANCE(A116,""low52"")"),413.5)</f>
        <v>413.5</v>
      </c>
      <c r="I116" s="45">
        <f>IFERROR(__xludf.DUMMYFUNCTION("to_date(index(sort(GOOGLEFINANCE(A116, ""low"", today()-52*7, today(), ""DAILY""),2,1),1,1))"),45870.64583333333)</f>
        <v>45870.64583</v>
      </c>
      <c r="J116" s="46" t="str">
        <f t="shared" si="1"/>
        <v>Do Not Buy Today</v>
      </c>
    </row>
    <row r="117">
      <c r="A117" s="73" t="s">
        <v>180</v>
      </c>
      <c r="B117" s="59">
        <f>IFERROR(__xludf.DUMMYFUNCTION("GOOGLEFINANCE(A117,""price"")"),1410.9)</f>
        <v>1410.9</v>
      </c>
      <c r="C117" s="60">
        <f>IFERROR(__xludf.DUMMYFUNCTION("GOOGLEFINANCE(A117,""closeyest"")"),1402.2)</f>
        <v>1402.2</v>
      </c>
      <c r="D117" s="61">
        <f>IFERROR(__xludf.DUMMYFUNCTION("MIN(index(GOOGLEFINANCE(A117,""ALL"",TODAY()-180,TODAY()),0,5))*1.2"),1351.8)</f>
        <v>1351.8</v>
      </c>
      <c r="E117" s="62">
        <f>IFERROR(__xludf.DUMMYFUNCTION("AVERAGE(QUERY(SORT(GOOGLEFINANCE(A117,""price"",TODAY()-320,TODAY()),1,0),""select Col2 limit 100""))"),1414.6400000000006)</f>
        <v>1414.64</v>
      </c>
      <c r="F117" s="44">
        <f>IFERROR(__xludf.DUMMYFUNCTION("GOOGLEFINANCE(A117,""high52"")"),1814.0)</f>
        <v>1814</v>
      </c>
      <c r="G117" s="45">
        <f>IFERROR(__xludf.DUMMYFUNCTION("to_date(index(sort(GOOGLEFINANCE(A117, ""high"", today()-52*7, today(), ""DAILY""),2,0),2,1))"),45860.64583333333)</f>
        <v>45860.64583</v>
      </c>
      <c r="H117" s="44">
        <f>IFERROR(__xludf.DUMMYFUNCTION("GOOGLEFINANCE(A117,""low52"")"),1090.0)</f>
        <v>1090</v>
      </c>
      <c r="I117" s="45">
        <f>IFERROR(__xludf.DUMMYFUNCTION("to_date(index(sort(GOOGLEFINANCE(A117, ""low"", today()-52*7, today(), ""DAILY""),2,1),1,1))"),46114.64583333333)</f>
        <v>46114.64583</v>
      </c>
      <c r="J117" s="46" t="str">
        <f t="shared" si="1"/>
        <v>Do Not Buy Today</v>
      </c>
    </row>
    <row r="118">
      <c r="A118" s="73" t="s">
        <v>399</v>
      </c>
      <c r="B118" s="59" t="str">
        <f>IFERROR(__xludf.DUMMYFUNCTION("GOOGLEFINANCE(A118,""price"")"),"#N/A")</f>
        <v>#N/A</v>
      </c>
      <c r="C118" s="60" t="str">
        <f>IFERROR(__xludf.DUMMYFUNCTION("GOOGLEFINANCE(A118,""closeyest"")"),"#N/A")</f>
        <v>#N/A</v>
      </c>
      <c r="D118" s="61" t="str">
        <f>IFERROR(__xludf.DUMMYFUNCTION("MIN(index(GOOGLEFINANCE(A118,""ALL"",TODAY()-180,TODAY()),0,5))*1.2"),"#N/A")</f>
        <v>#N/A</v>
      </c>
      <c r="E118" s="62" t="str">
        <f>IFERROR(__xludf.DUMMYFUNCTION("AVERAGE(QUERY(SORT(GOOGLEFINANCE(A118,""price"",TODAY()-320,TODAY()),1,0),""select Col2 limit 100""))"),"#N/A")</f>
        <v>#N/A</v>
      </c>
      <c r="F118" s="44" t="str">
        <f>IFERROR(__xludf.DUMMYFUNCTION("GOOGLEFINANCE(A118,""high52"")"),"#N/A")</f>
        <v>#N/A</v>
      </c>
      <c r="G118" s="45" t="str">
        <f>IFERROR(__xludf.DUMMYFUNCTION("to_date(index(sort(GOOGLEFINANCE(A118, ""high"", today()-52*7, today(), ""DAILY""),2,0),2,1))"),"#N/A")</f>
        <v>#N/A</v>
      </c>
      <c r="H118" s="44" t="str">
        <f>IFERROR(__xludf.DUMMYFUNCTION("GOOGLEFINANCE(A118,""low52"")"),"#N/A")</f>
        <v>#N/A</v>
      </c>
      <c r="I118" s="45" t="str">
        <f>IFERROR(__xludf.DUMMYFUNCTION("to_date(index(sort(GOOGLEFINANCE(A118, ""low"", today()-52*7, today(), ""DAILY""),2,1),1,1))"),"#N/A")</f>
        <v>#N/A</v>
      </c>
      <c r="J118" s="46" t="str">
        <f t="shared" si="1"/>
        <v>#N/A</v>
      </c>
    </row>
    <row r="119">
      <c r="A119" s="73" t="s">
        <v>400</v>
      </c>
      <c r="B119" s="59">
        <f>IFERROR(__xludf.DUMMYFUNCTION("GOOGLEFINANCE(A119,""price"")"),83.53)</f>
        <v>83.53</v>
      </c>
      <c r="C119" s="60">
        <f>IFERROR(__xludf.DUMMYFUNCTION("GOOGLEFINANCE(A119,""closeyest"")"),84.08)</f>
        <v>84.08</v>
      </c>
      <c r="D119" s="61">
        <f>IFERROR(__xludf.DUMMYFUNCTION("MIN(index(GOOGLEFINANCE(A119,""ALL"",TODAY()-180,TODAY()),0,5))*1.2"),82.08)</f>
        <v>82.08</v>
      </c>
      <c r="E119" s="62">
        <f>IFERROR(__xludf.DUMMYFUNCTION("AVERAGE(QUERY(SORT(GOOGLEFINANCE(A119,""price"",TODAY()-320,TODAY()),1,0),""select Col2 limit 100""))"),76.51910000000001)</f>
        <v>76.5191</v>
      </c>
      <c r="F119" s="44">
        <f>IFERROR(__xludf.DUMMYFUNCTION("GOOGLEFINANCE(A119,""high52"")"),94.0)</f>
        <v>94</v>
      </c>
      <c r="G119" s="45">
        <f>IFERROR(__xludf.DUMMYFUNCTION("to_date(index(sort(GOOGLEFINANCE(A119, ""high"", today()-52*7, today(), ""DAILY""),2,0),2,1))"),45807.64583333333)</f>
        <v>45807.64583</v>
      </c>
      <c r="H119" s="44">
        <f>IFERROR(__xludf.DUMMYFUNCTION("GOOGLEFINANCE(A119,""low52"")"),67.5)</f>
        <v>67.5</v>
      </c>
      <c r="I119" s="45">
        <f>IFERROR(__xludf.DUMMYFUNCTION("to_date(index(sort(GOOGLEFINANCE(A119, ""low"", today()-52*7, today(), ""DAILY""),2,1),1,1))"),46105.64583333333)</f>
        <v>46105.64583</v>
      </c>
      <c r="J119" s="46" t="str">
        <f t="shared" si="1"/>
        <v>Do Not Buy Today</v>
      </c>
    </row>
    <row r="120">
      <c r="A120" s="73" t="s">
        <v>401</v>
      </c>
      <c r="B120" s="59">
        <f>IFERROR(__xludf.DUMMYFUNCTION("GOOGLEFINANCE(A120,""price"")"),4859.0)</f>
        <v>4859</v>
      </c>
      <c r="C120" s="60">
        <f>IFERROR(__xludf.DUMMYFUNCTION("GOOGLEFINANCE(A120,""closeyest"")"),4871.5)</f>
        <v>4871.5</v>
      </c>
      <c r="D120" s="61">
        <f>IFERROR(__xludf.DUMMYFUNCTION("MIN(index(GOOGLEFINANCE(A120,""ALL"",TODAY()-180,TODAY()),0,5))*1.2"),5696.4)</f>
        <v>5696.4</v>
      </c>
      <c r="E120" s="62">
        <f>IFERROR(__xludf.DUMMYFUNCTION("AVERAGE(QUERY(SORT(GOOGLEFINANCE(A120,""price"",TODAY()-320,TODAY()),1,0),""select Col2 limit 100""))"),5364.351)</f>
        <v>5364.351</v>
      </c>
      <c r="F120" s="44">
        <f>IFERROR(__xludf.DUMMYFUNCTION("GOOGLEFINANCE(A120,""high52"")"),7080.0)</f>
        <v>7080</v>
      </c>
      <c r="G120" s="45">
        <f>IFERROR(__xludf.DUMMYFUNCTION("to_date(index(sort(GOOGLEFINANCE(A120, ""high"", today()-52*7, today(), ""DAILY""),2,0),2,1))"),45840.64583333333)</f>
        <v>45840.64583</v>
      </c>
      <c r="H120" s="44">
        <f>IFERROR(__xludf.DUMMYFUNCTION("GOOGLEFINANCE(A120,""low52"")"),4683.0)</f>
        <v>4683</v>
      </c>
      <c r="I120" s="45">
        <f>IFERROR(__xludf.DUMMYFUNCTION("to_date(index(sort(GOOGLEFINANCE(A120, ""low"", today()-52*7, today(), ""DAILY""),2,1),1,1))"),46111.64583333333)</f>
        <v>46111.64583</v>
      </c>
      <c r="J120" s="46" t="str">
        <f t="shared" si="1"/>
        <v>Do Not Buy Today</v>
      </c>
    </row>
    <row r="121">
      <c r="A121" s="73" t="s">
        <v>402</v>
      </c>
      <c r="B121" s="59">
        <f>IFERROR(__xludf.DUMMYFUNCTION("GOOGLEFINANCE(A121,""price"")"),462.25)</f>
        <v>462.25</v>
      </c>
      <c r="C121" s="60">
        <f>IFERROR(__xludf.DUMMYFUNCTION("GOOGLEFINANCE(A121,""closeyest"")"),463.5)</f>
        <v>463.5</v>
      </c>
      <c r="D121" s="61">
        <f>IFERROR(__xludf.DUMMYFUNCTION("MIN(index(GOOGLEFINANCE(A121,""ALL"",TODAY()-180,TODAY()),0,5))*1.2"),454.2)</f>
        <v>454.2</v>
      </c>
      <c r="E121" s="62">
        <f>IFERROR(__xludf.DUMMYFUNCTION("AVERAGE(QUERY(SORT(GOOGLEFINANCE(A121,""price"",TODAY()-320,TODAY()),1,0),""select Col2 limit 100""))"),432.9064999999997)</f>
        <v>432.9065</v>
      </c>
      <c r="F121" s="44">
        <f>IFERROR(__xludf.DUMMYFUNCTION("GOOGLEFINANCE(A121,""high52"")"),490.0)</f>
        <v>490</v>
      </c>
      <c r="G121" s="45">
        <f>IFERROR(__xludf.DUMMYFUNCTION("to_date(index(sort(GOOGLEFINANCE(A121, ""high"", today()-52*7, today(), ""DAILY""),2,0),2,1))"),45965.64583333333)</f>
        <v>45965.64583</v>
      </c>
      <c r="H121" s="44">
        <f>IFERROR(__xludf.DUMMYFUNCTION("GOOGLEFINANCE(A121,""low52"")"),342.85)</f>
        <v>342.85</v>
      </c>
      <c r="I121" s="45">
        <f>IFERROR(__xludf.DUMMYFUNCTION("to_date(index(sort(GOOGLEFINANCE(A121, ""low"", today()-52*7, today(), ""DAILY""),2,1),1,1))"),45828.64583333333)</f>
        <v>45828.64583</v>
      </c>
      <c r="J121" s="46" t="str">
        <f t="shared" si="1"/>
        <v>Do Not Buy Today</v>
      </c>
    </row>
    <row r="122">
      <c r="A122" s="73" t="s">
        <v>403</v>
      </c>
      <c r="B122" s="59">
        <f>IFERROR(__xludf.DUMMYFUNCTION("GOOGLEFINANCE(A122,""price"")"),324.8)</f>
        <v>324.8</v>
      </c>
      <c r="C122" s="60">
        <f>IFERROR(__xludf.DUMMYFUNCTION("GOOGLEFINANCE(A122,""closeyest"")"),321.0)</f>
        <v>321</v>
      </c>
      <c r="D122" s="61">
        <f>IFERROR(__xludf.DUMMYFUNCTION("MIN(index(GOOGLEFINANCE(A122,""ALL"",TODAY()-180,TODAY()),0,5))*1.2"),275.496)</f>
        <v>275.496</v>
      </c>
      <c r="E122" s="62">
        <f>IFERROR(__xludf.DUMMYFUNCTION("AVERAGE(QUERY(SORT(GOOGLEFINANCE(A122,""price"",TODAY()-320,TODAY()),1,0),""select Col2 limit 100""))"),289.3915000000001)</f>
        <v>289.3915</v>
      </c>
      <c r="F122" s="44">
        <f>IFERROR(__xludf.DUMMYFUNCTION("GOOGLEFINANCE(A122,""high52"")"),578.5)</f>
        <v>578.5</v>
      </c>
      <c r="G122" s="45">
        <f>IFERROR(__xludf.DUMMYFUNCTION("to_date(index(sort(GOOGLEFINANCE(A122, ""high"", today()-52*7, today(), ""DAILY""),2,0),2,1))"),45874.64583333333)</f>
        <v>45874.64583</v>
      </c>
      <c r="H122" s="44">
        <f>IFERROR(__xludf.DUMMYFUNCTION("GOOGLEFINANCE(A122,""low52"")"),224.05)</f>
        <v>224.05</v>
      </c>
      <c r="I122" s="45">
        <f>IFERROR(__xludf.DUMMYFUNCTION("to_date(index(sort(GOOGLEFINANCE(A122, ""low"", today()-52*7, today(), ""DAILY""),2,1),1,1))"),46055.64583333333)</f>
        <v>46055.64583</v>
      </c>
      <c r="J122" s="46" t="str">
        <f t="shared" si="1"/>
        <v>Do Not Buy Today</v>
      </c>
    </row>
    <row r="123">
      <c r="A123" s="73" t="s">
        <v>181</v>
      </c>
      <c r="B123" s="59">
        <f>IFERROR(__xludf.DUMMYFUNCTION("GOOGLEFINANCE(A123,""price"")"),2845.7)</f>
        <v>2845.7</v>
      </c>
      <c r="C123" s="60">
        <f>IFERROR(__xludf.DUMMYFUNCTION("GOOGLEFINANCE(A123,""closeyest"")"),2837.9)</f>
        <v>2837.9</v>
      </c>
      <c r="D123" s="61">
        <f>IFERROR(__xludf.DUMMYFUNCTION("MIN(index(GOOGLEFINANCE(A123,""ALL"",TODAY()-180,TODAY()),0,5))*1.2"),3262.56)</f>
        <v>3262.56</v>
      </c>
      <c r="E123" s="62">
        <f>IFERROR(__xludf.DUMMYFUNCTION("AVERAGE(QUERY(SORT(GOOGLEFINANCE(A123,""price"",TODAY()-320,TODAY()),1,0),""select Col2 limit 100""))"),3065.311)</f>
        <v>3065.311</v>
      </c>
      <c r="F123" s="44">
        <f>IFERROR(__xludf.DUMMYFUNCTION("GOOGLEFINANCE(A123,""high52"")"),4330.0)</f>
        <v>4330</v>
      </c>
      <c r="G123" s="45">
        <f>IFERROR(__xludf.DUMMYFUNCTION("to_date(index(sort(GOOGLEFINANCE(A123, ""high"", today()-52*7, today(), ""DAILY""),2,0),2,1))"),45868.64583333333)</f>
        <v>45868.64583</v>
      </c>
      <c r="H123" s="44">
        <f>IFERROR(__xludf.DUMMYFUNCTION("GOOGLEFINANCE(A123,""low52"")"),2700.0)</f>
        <v>2700</v>
      </c>
      <c r="I123" s="45">
        <f>IFERROR(__xludf.DUMMYFUNCTION("to_date(index(sort(GOOGLEFINANCE(A123, ""low"", today()-52*7, today(), ""DAILY""),2,1),1,1))"),46111.64583333333)</f>
        <v>46111.64583</v>
      </c>
      <c r="J123" s="46" t="str">
        <f t="shared" si="1"/>
        <v>Do Not Buy Today</v>
      </c>
    </row>
    <row r="124">
      <c r="A124" s="73" t="s">
        <v>404</v>
      </c>
      <c r="B124" s="59">
        <f>IFERROR(__xludf.DUMMYFUNCTION("GOOGLEFINANCE(A124,""price"")"),252.85)</f>
        <v>252.85</v>
      </c>
      <c r="C124" s="60">
        <f>IFERROR(__xludf.DUMMYFUNCTION("GOOGLEFINANCE(A124,""closeyest"")"),254.1)</f>
        <v>254.1</v>
      </c>
      <c r="D124" s="61">
        <f>IFERROR(__xludf.DUMMYFUNCTION("MIN(index(GOOGLEFINANCE(A124,""ALL"",TODAY()-180,TODAY()),0,5))*1.2"),277.8)</f>
        <v>277.8</v>
      </c>
      <c r="E124" s="62">
        <f>IFERROR(__xludf.DUMMYFUNCTION("AVERAGE(QUERY(SORT(GOOGLEFINANCE(A124,""price"",TODAY()-320,TODAY()),1,0),""select Col2 limit 100""))"),268.24559999999997)</f>
        <v>268.2456</v>
      </c>
      <c r="F124" s="44">
        <f>IFERROR(__xludf.DUMMYFUNCTION("GOOGLEFINANCE(A124,""high52"")"),324.1)</f>
        <v>324.1</v>
      </c>
      <c r="G124" s="45">
        <f>IFERROR(__xludf.DUMMYFUNCTION("to_date(index(sort(GOOGLEFINANCE(A124, ""high"", today()-52*7, today(), ""DAILY""),2,0),2,1))"),46056.64583333333)</f>
        <v>46056.64583</v>
      </c>
      <c r="H124" s="44">
        <f>IFERROR(__xludf.DUMMYFUNCTION("GOOGLEFINANCE(A124,""low52"")"),187.05)</f>
        <v>187.05</v>
      </c>
      <c r="I124" s="45">
        <f>IFERROR(__xludf.DUMMYFUNCTION("to_date(index(sort(GOOGLEFINANCE(A124, ""low"", today()-52*7, today(), ""DAILY""),2,1),1,1))"),45831.64583333333)</f>
        <v>45831.64583</v>
      </c>
      <c r="J124" s="46" t="str">
        <f t="shared" si="1"/>
        <v>Do Not Buy Today</v>
      </c>
    </row>
    <row r="125">
      <c r="A125" s="73" t="s">
        <v>405</v>
      </c>
      <c r="B125" s="59">
        <f>IFERROR(__xludf.DUMMYFUNCTION("GOOGLEFINANCE(A125,""price"")"),174.6)</f>
        <v>174.6</v>
      </c>
      <c r="C125" s="60">
        <f>IFERROR(__xludf.DUMMYFUNCTION("GOOGLEFINANCE(A125,""closeyest"")"),167.71)</f>
        <v>167.71</v>
      </c>
      <c r="D125" s="61">
        <f>IFERROR(__xludf.DUMMYFUNCTION("MIN(index(GOOGLEFINANCE(A125,""ALL"",TODAY()-180,TODAY()),0,5))*1.2"),156.0)</f>
        <v>156</v>
      </c>
      <c r="E125" s="62">
        <f>IFERROR(__xludf.DUMMYFUNCTION("AVERAGE(QUERY(SORT(GOOGLEFINANCE(A125,""price"",TODAY()-320,TODAY()),1,0),""select Col2 limit 100""))"),146.3252)</f>
        <v>146.3252</v>
      </c>
      <c r="F125" s="44">
        <f>IFERROR(__xludf.DUMMYFUNCTION("GOOGLEFINANCE(A125,""high52"")"),192.95)</f>
        <v>192.95</v>
      </c>
      <c r="G125" s="45">
        <f>IFERROR(__xludf.DUMMYFUNCTION("to_date(index(sort(GOOGLEFINANCE(A125, ""high"", today()-52*7, today(), ""DAILY""),2,0),2,1))"),45964.64583333333)</f>
        <v>45964.64583</v>
      </c>
      <c r="H125" s="44">
        <f>IFERROR(__xludf.DUMMYFUNCTION("GOOGLEFINANCE(A125,""low52"")"),114.1)</f>
        <v>114.1</v>
      </c>
      <c r="I125" s="45">
        <f>IFERROR(__xludf.DUMMYFUNCTION("to_date(index(sort(GOOGLEFINANCE(A125, ""low"", today()-52*7, today(), ""DAILY""),2,1),1,1))"),45880.64583333333)</f>
        <v>45880.64583</v>
      </c>
      <c r="J125" s="46" t="str">
        <f t="shared" si="1"/>
        <v>Do Not Buy Today</v>
      </c>
    </row>
    <row r="126">
      <c r="A126" s="73" t="s">
        <v>182</v>
      </c>
      <c r="B126" s="59">
        <f>IFERROR(__xludf.DUMMYFUNCTION("GOOGLEFINANCE(A126,""price"")"),264.95)</f>
        <v>264.95</v>
      </c>
      <c r="C126" s="60">
        <f>IFERROR(__xludf.DUMMYFUNCTION("GOOGLEFINANCE(A126,""closeyest"")"),266.35)</f>
        <v>266.35</v>
      </c>
      <c r="D126" s="61">
        <f>IFERROR(__xludf.DUMMYFUNCTION("MIN(index(GOOGLEFINANCE(A126,""ALL"",TODAY()-180,TODAY()),0,5))*1.2"),281.64)</f>
        <v>281.64</v>
      </c>
      <c r="E126" s="62">
        <f>IFERROR(__xludf.DUMMYFUNCTION("AVERAGE(QUERY(SORT(GOOGLEFINANCE(A126,""price"",TODAY()-320,TODAY()),1,0),""select Col2 limit 100""))"),258.5784)</f>
        <v>258.5784</v>
      </c>
      <c r="F126" s="44">
        <f>IFERROR(__xludf.DUMMYFUNCTION("GOOGLEFINANCE(A126,""high52"")"),285.6)</f>
        <v>285.6</v>
      </c>
      <c r="G126" s="45">
        <f>IFERROR(__xludf.DUMMYFUNCTION("to_date(index(sort(GOOGLEFINANCE(A126, ""high"", today()-52*7, today(), ""DAILY""),2,0),2,1))"),46064.64583333333)</f>
        <v>46064.64583</v>
      </c>
      <c r="H126" s="44">
        <f>IFERROR(__xludf.DUMMYFUNCTION("GOOGLEFINANCE(A126,""low52"")"),191.16)</f>
        <v>191.16</v>
      </c>
      <c r="I126" s="45">
        <f>IFERROR(__xludf.DUMMYFUNCTION("to_date(index(sort(GOOGLEFINANCE(A126, ""low"", today()-52*7, today(), ""DAILY""),2,1),1,1))"),45821.64583333333)</f>
        <v>45821.64583</v>
      </c>
      <c r="J126" s="46" t="str">
        <f t="shared" si="1"/>
        <v>Do Not Buy Today</v>
      </c>
    </row>
    <row r="127">
      <c r="A127" s="73" t="s">
        <v>406</v>
      </c>
      <c r="B127" s="59">
        <f>IFERROR(__xludf.DUMMYFUNCTION("GOOGLEFINANCE(A127,""price"")"),2231.1)</f>
        <v>2231.1</v>
      </c>
      <c r="C127" s="60">
        <f>IFERROR(__xludf.DUMMYFUNCTION("GOOGLEFINANCE(A127,""closeyest"")"),2202.7)</f>
        <v>2202.7</v>
      </c>
      <c r="D127" s="61">
        <f>IFERROR(__xludf.DUMMYFUNCTION("MIN(index(GOOGLEFINANCE(A127,""ALL"",TODAY()-180,TODAY()),0,5))*1.2"),2448.24)</f>
        <v>2448.24</v>
      </c>
      <c r="E127" s="62">
        <f>IFERROR(__xludf.DUMMYFUNCTION("AVERAGE(QUERY(SORT(GOOGLEFINANCE(A127,""price"",TODAY()-320,TODAY()),1,0),""select Col2 limit 100""))"),2315.8269999999993)</f>
        <v>2315.827</v>
      </c>
      <c r="F127" s="44">
        <f>IFERROR(__xludf.DUMMYFUNCTION("GOOGLEFINANCE(A127,""high52"")"),2801.3)</f>
        <v>2801.3</v>
      </c>
      <c r="G127" s="45">
        <f>IFERROR(__xludf.DUMMYFUNCTION("to_date(index(sort(GOOGLEFINANCE(A127, ""high"", today()-52*7, today(), ""DAILY""),2,0),2,1))"),45860.64583333333)</f>
        <v>45860.64583</v>
      </c>
      <c r="H127" s="44">
        <f>IFERROR(__xludf.DUMMYFUNCTION("GOOGLEFINANCE(A127,""low52"")"),2015.4)</f>
        <v>2015.4</v>
      </c>
      <c r="I127" s="45">
        <f>IFERROR(__xludf.DUMMYFUNCTION("to_date(index(sort(GOOGLEFINANCE(A127, ""low"", today()-52*7, today(), ""DAILY""),2,1),1,1))"),46105.64583333333)</f>
        <v>46105.64583</v>
      </c>
      <c r="J127" s="46" t="str">
        <f t="shared" si="1"/>
        <v>Do Not Buy Today</v>
      </c>
    </row>
    <row r="128">
      <c r="A128" s="73" t="s">
        <v>407</v>
      </c>
      <c r="B128" s="59">
        <f>IFERROR(__xludf.DUMMYFUNCTION("GOOGLEFINANCE(A128,""price"")"),768.2)</f>
        <v>768.2</v>
      </c>
      <c r="C128" s="60">
        <f>IFERROR(__xludf.DUMMYFUNCTION("GOOGLEFINANCE(A128,""closeyest"")"),767.75)</f>
        <v>767.75</v>
      </c>
      <c r="D128" s="61">
        <f>IFERROR(__xludf.DUMMYFUNCTION("MIN(index(GOOGLEFINANCE(A128,""ALL"",TODAY()-180,TODAY()),0,5))*1.2"),698.52)</f>
        <v>698.52</v>
      </c>
      <c r="E128" s="62">
        <f>IFERROR(__xludf.DUMMYFUNCTION("AVERAGE(QUERY(SORT(GOOGLEFINANCE(A128,""price"",TODAY()-320,TODAY()),1,0),""select Col2 limit 100""))"),667.3645000000001)</f>
        <v>667.3645</v>
      </c>
      <c r="F128" s="44">
        <f>IFERROR(__xludf.DUMMYFUNCTION("GOOGLEFINANCE(A128,""high52"")"),798.4)</f>
        <v>798.4</v>
      </c>
      <c r="G128" s="45">
        <f>IFERROR(__xludf.DUMMYFUNCTION("to_date(index(sort(GOOGLEFINANCE(A128, ""high"", today()-52*7, today(), ""DAILY""),2,0),2,1))"),45862.64583333333)</f>
        <v>45862.64583</v>
      </c>
      <c r="H128" s="44">
        <f>IFERROR(__xludf.DUMMYFUNCTION("GOOGLEFINANCE(A128,""low52"")"),575.8)</f>
        <v>575.8</v>
      </c>
      <c r="I128" s="45">
        <f>IFERROR(__xludf.DUMMYFUNCTION("to_date(index(sort(GOOGLEFINANCE(A128, ""low"", today()-52*7, today(), ""DAILY""),2,1),1,1))"),46049.64583333333)</f>
        <v>46049.64583</v>
      </c>
      <c r="J128" s="46" t="str">
        <f t="shared" si="1"/>
        <v>Do Not Buy Today</v>
      </c>
    </row>
    <row r="129">
      <c r="A129" s="73" t="s">
        <v>408</v>
      </c>
      <c r="B129" s="59">
        <f>IFERROR(__xludf.DUMMYFUNCTION("GOOGLEFINANCE(A129,""price"")"),182.85)</f>
        <v>182.85</v>
      </c>
      <c r="C129" s="60">
        <f>IFERROR(__xludf.DUMMYFUNCTION("GOOGLEFINANCE(A129,""closeyest"")"),185.04)</f>
        <v>185.04</v>
      </c>
      <c r="D129" s="61">
        <f>IFERROR(__xludf.DUMMYFUNCTION("MIN(index(GOOGLEFINANCE(A129,""ALL"",TODAY()-180,TODAY()),0,5))*1.2"),180.504)</f>
        <v>180.504</v>
      </c>
      <c r="E129" s="62">
        <f>IFERROR(__xludf.DUMMYFUNCTION("AVERAGE(QUERY(SORT(GOOGLEFINANCE(A129,""price"",TODAY()-320,TODAY()),1,0),""select Col2 limit 100""))"),193.33179999999993)</f>
        <v>193.3318</v>
      </c>
      <c r="F129" s="44">
        <f>IFERROR(__xludf.DUMMYFUNCTION("GOOGLEFINANCE(A129,""high52"")"),368.0)</f>
        <v>368</v>
      </c>
      <c r="G129" s="45">
        <f>IFERROR(__xludf.DUMMYFUNCTION("to_date(index(sort(GOOGLEFINANCE(A129, ""high"", today()-52*7, today(), ""DAILY""),2,0),2,1))"),45856.64583333333)</f>
        <v>45856.64583</v>
      </c>
      <c r="H129" s="44">
        <f>IFERROR(__xludf.DUMMYFUNCTION("GOOGLEFINANCE(A129,""low52"")"),139.91)</f>
        <v>139.91</v>
      </c>
      <c r="I129" s="45">
        <f>IFERROR(__xludf.DUMMYFUNCTION("to_date(index(sort(GOOGLEFINANCE(A129, ""low"", today()-52*7, today(), ""DAILY""),2,1),1,1))"),46114.64583333333)</f>
        <v>46114.64583</v>
      </c>
      <c r="J129" s="46" t="str">
        <f t="shared" si="1"/>
        <v>Do Not Buy Today</v>
      </c>
    </row>
    <row r="130">
      <c r="A130" s="73" t="s">
        <v>183</v>
      </c>
      <c r="B130" s="59">
        <f>IFERROR(__xludf.DUMMYFUNCTION("GOOGLEFINANCE(A130,""price"")"),1417.5)</f>
        <v>1417.5</v>
      </c>
      <c r="C130" s="60">
        <f>IFERROR(__xludf.DUMMYFUNCTION("GOOGLEFINANCE(A130,""closeyest"")"),1422.8)</f>
        <v>1422.8</v>
      </c>
      <c r="D130" s="61">
        <f>IFERROR(__xludf.DUMMYFUNCTION("MIN(index(GOOGLEFINANCE(A130,""ALL"",TODAY()-180,TODAY()),0,5))*1.2"),1288.68)</f>
        <v>1288.68</v>
      </c>
      <c r="E130" s="62">
        <f>IFERROR(__xludf.DUMMYFUNCTION("AVERAGE(QUERY(SORT(GOOGLEFINANCE(A130,""price"",TODAY()-320,TODAY()),1,0),""select Col2 limit 100""))"),1377.729)</f>
        <v>1377.729</v>
      </c>
      <c r="F130" s="44">
        <f>IFERROR(__xludf.DUMMYFUNCTION("GOOGLEFINANCE(A130,""high52"")"),1994.0)</f>
        <v>1994</v>
      </c>
      <c r="G130" s="45">
        <f>IFERROR(__xludf.DUMMYFUNCTION("to_date(index(sort(GOOGLEFINANCE(A130, ""high"", today()-52*7, today(), ""DAILY""),2,0),2,1))"),45846.64583333333)</f>
        <v>45846.64583</v>
      </c>
      <c r="H130" s="44">
        <f>IFERROR(__xludf.DUMMYFUNCTION("GOOGLEFINANCE(A130,""low52"")"),1008.1)</f>
        <v>1008.1</v>
      </c>
      <c r="I130" s="45">
        <f>IFERROR(__xludf.DUMMYFUNCTION("to_date(index(sort(GOOGLEFINANCE(A130, ""low"", today()-52*7, today(), ""DAILY""),2,1),1,1))"),46085.64583333333)</f>
        <v>46085.64583</v>
      </c>
      <c r="J130" s="46" t="str">
        <f t="shared" si="1"/>
        <v>Do Not Buy Today</v>
      </c>
    </row>
    <row r="131">
      <c r="A131" s="73" t="s">
        <v>409</v>
      </c>
      <c r="B131" s="59">
        <f>IFERROR(__xludf.DUMMYFUNCTION("GOOGLEFINANCE(A131,""price"")"),478.15)</f>
        <v>478.15</v>
      </c>
      <c r="C131" s="60">
        <f>IFERROR(__xludf.DUMMYFUNCTION("GOOGLEFINANCE(A131,""closeyest"")"),477.95)</f>
        <v>477.95</v>
      </c>
      <c r="D131" s="61">
        <f>IFERROR(__xludf.DUMMYFUNCTION("MIN(index(GOOGLEFINANCE(A131,""ALL"",TODAY()-180,TODAY()),0,5))*1.2"),494.7)</f>
        <v>494.7</v>
      </c>
      <c r="E131" s="62">
        <f>IFERROR(__xludf.DUMMYFUNCTION("AVERAGE(QUERY(SORT(GOOGLEFINANCE(A131,""price"",TODAY()-320,TODAY()),1,0),""select Col2 limit 100""))"),446.3310000000002)</f>
        <v>446.331</v>
      </c>
      <c r="F131" s="44">
        <f>IFERROR(__xludf.DUMMYFUNCTION("GOOGLEFINANCE(A131,""high52"")"),602.4)</f>
        <v>602.4</v>
      </c>
      <c r="G131" s="45">
        <f>IFERROR(__xludf.DUMMYFUNCTION("to_date(index(sort(GOOGLEFINANCE(A131, ""high"", today()-52*7, today(), ""DAILY""),2,0),2,1))"),45805.64583333333)</f>
        <v>45805.64583</v>
      </c>
      <c r="H131" s="44">
        <f>IFERROR(__xludf.DUMMYFUNCTION("GOOGLEFINANCE(A131,""low52"")"),399.75)</f>
        <v>399.75</v>
      </c>
      <c r="I131" s="45">
        <f>IFERROR(__xludf.DUMMYFUNCTION("to_date(index(sort(GOOGLEFINANCE(A131, ""low"", today()-52*7, today(), ""DAILY""),2,1),1,1))"),46097.64583333333)</f>
        <v>46097.64583</v>
      </c>
      <c r="J131" s="46" t="str">
        <f t="shared" si="1"/>
        <v>Do Not Buy Today</v>
      </c>
    </row>
    <row r="132">
      <c r="A132" s="73" t="s">
        <v>410</v>
      </c>
      <c r="B132" s="59">
        <f>IFERROR(__xludf.DUMMYFUNCTION("GOOGLEFINANCE(A132,""price"")"),7313.0)</f>
        <v>7313</v>
      </c>
      <c r="C132" s="60">
        <f>IFERROR(__xludf.DUMMYFUNCTION("GOOGLEFINANCE(A132,""closeyest"")"),7248.5)</f>
        <v>7248.5</v>
      </c>
      <c r="D132" s="61">
        <f>IFERROR(__xludf.DUMMYFUNCTION("MIN(index(GOOGLEFINANCE(A132,""ALL"",TODAY()-180,TODAY()),0,5))*1.2"),6925.2)</f>
        <v>6925.2</v>
      </c>
      <c r="E132" s="62">
        <f>IFERROR(__xludf.DUMMYFUNCTION("AVERAGE(QUERY(SORT(GOOGLEFINANCE(A132,""price"",TODAY()-320,TODAY()),1,0),""select Col2 limit 100""))"),6737.755)</f>
        <v>6737.755</v>
      </c>
      <c r="F132" s="44">
        <f>IFERROR(__xludf.DUMMYFUNCTION("GOOGLEFINANCE(A132,""high52"")"),8049.0)</f>
        <v>8049</v>
      </c>
      <c r="G132" s="45">
        <f>IFERROR(__xludf.DUMMYFUNCTION("to_date(index(sort(GOOGLEFINANCE(A132, ""high"", today()-52*7, today(), ""DAILY""),2,0),2,1))"),46149.64583333333)</f>
        <v>46149.64583</v>
      </c>
      <c r="H132" s="44">
        <f>IFERROR(__xludf.DUMMYFUNCTION("GOOGLEFINANCE(A132,""low52"")"),5673.0)</f>
        <v>5673</v>
      </c>
      <c r="I132" s="45">
        <f>IFERROR(__xludf.DUMMYFUNCTION("to_date(index(sort(GOOGLEFINANCE(A132, ""low"", today()-52*7, today(), ""DAILY""),2,1),1,1))"),45979.64583333333)</f>
        <v>45979.64583</v>
      </c>
      <c r="J132" s="46" t="str">
        <f t="shared" si="1"/>
        <v>Do Not Buy Today</v>
      </c>
    </row>
    <row r="133">
      <c r="A133" s="73" t="s">
        <v>185</v>
      </c>
      <c r="B133" s="59">
        <f>IFERROR(__xludf.DUMMYFUNCTION("GOOGLEFINANCE(A133,""price"")"),10296.0)</f>
        <v>10296</v>
      </c>
      <c r="C133" s="60">
        <f>IFERROR(__xludf.DUMMYFUNCTION("GOOGLEFINANCE(A133,""closeyest"")"),9882.0)</f>
        <v>9882</v>
      </c>
      <c r="D133" s="61">
        <f>IFERROR(__xludf.DUMMYFUNCTION("MIN(index(GOOGLEFINANCE(A133,""ALL"",TODAY()-180,TODAY()),0,5))*1.2"),7562.4)</f>
        <v>7562.4</v>
      </c>
      <c r="E133" s="62">
        <f>IFERROR(__xludf.DUMMYFUNCTION("AVERAGE(QUERY(SORT(GOOGLEFINANCE(A133,""price"",TODAY()-320,TODAY()),1,0),""select Col2 limit 100""))"),7737.47)</f>
        <v>7737.47</v>
      </c>
      <c r="F133" s="44">
        <f>IFERROR(__xludf.DUMMYFUNCTION("GOOGLEFINANCE(A133,""high52"")"),10357.0)</f>
        <v>10357</v>
      </c>
      <c r="G133" s="45">
        <f>IFERROR(__xludf.DUMMYFUNCTION("to_date(index(sort(GOOGLEFINANCE(A133, ""high"", today()-52*7, today(), ""DAILY""),2,0),2,1))"),46161.64583333333)</f>
        <v>46161.64583</v>
      </c>
      <c r="H133" s="44">
        <f>IFERROR(__xludf.DUMMYFUNCTION("GOOGLEFINANCE(A133,""low52"")"),6234.5)</f>
        <v>6234.5</v>
      </c>
      <c r="I133" s="45">
        <f>IFERROR(__xludf.DUMMYFUNCTION("to_date(index(sort(GOOGLEFINANCE(A133, ""low"", today()-52*7, today(), ""DAILY""),2,1),1,1))"),46098.64583333333)</f>
        <v>46098.64583</v>
      </c>
      <c r="J133" s="46" t="str">
        <f t="shared" si="1"/>
        <v>Do Not Buy Today</v>
      </c>
    </row>
    <row r="134">
      <c r="A134" s="73" t="s">
        <v>411</v>
      </c>
      <c r="B134" s="59">
        <f>IFERROR(__xludf.DUMMYFUNCTION("GOOGLEFINANCE(A134,""price"")"),580.95)</f>
        <v>580.95</v>
      </c>
      <c r="C134" s="60">
        <f>IFERROR(__xludf.DUMMYFUNCTION("GOOGLEFINANCE(A134,""closeyest"")"),563.0)</f>
        <v>563</v>
      </c>
      <c r="D134" s="61">
        <f>IFERROR(__xludf.DUMMYFUNCTION("MIN(index(GOOGLEFINANCE(A134,""ALL"",TODAY()-180,TODAY()),0,5))*1.2"),498.65999999999997)</f>
        <v>498.66</v>
      </c>
      <c r="E134" s="62">
        <f>IFERROR(__xludf.DUMMYFUNCTION("AVERAGE(QUERY(SORT(GOOGLEFINANCE(A134,""price"",TODAY()-320,TODAY()),1,0),""select Col2 limit 100""))"),500.9605)</f>
        <v>500.9605</v>
      </c>
      <c r="F134" s="44">
        <f>IFERROR(__xludf.DUMMYFUNCTION("GOOGLEFINANCE(A134,""high52"")"),608.4)</f>
        <v>608.4</v>
      </c>
      <c r="G134" s="45">
        <f>IFERROR(__xludf.DUMMYFUNCTION("to_date(index(sort(GOOGLEFINANCE(A134, ""high"", today()-52*7, today(), ""DAILY""),2,0),2,1))"),45862.64583333333)</f>
        <v>45862.64583</v>
      </c>
      <c r="H134" s="44">
        <f>IFERROR(__xludf.DUMMYFUNCTION("GOOGLEFINANCE(A134,""low52"")"),408.25)</f>
        <v>408.25</v>
      </c>
      <c r="I134" s="45">
        <f>IFERROR(__xludf.DUMMYFUNCTION("to_date(index(sort(GOOGLEFINANCE(A134, ""low"", today()-52*7, today(), ""DAILY""),2,1),1,1))"),46043.64583333333)</f>
        <v>46043.64583</v>
      </c>
      <c r="J134" s="46" t="str">
        <f t="shared" si="1"/>
        <v>Do Not Buy Today</v>
      </c>
    </row>
    <row r="135">
      <c r="A135" s="73" t="s">
        <v>412</v>
      </c>
      <c r="B135" s="59">
        <f>IFERROR(__xludf.DUMMYFUNCTION("GOOGLEFINANCE(A135,""price"")"),379.45)</f>
        <v>379.45</v>
      </c>
      <c r="C135" s="60">
        <f>IFERROR(__xludf.DUMMYFUNCTION("GOOGLEFINANCE(A135,""closeyest"")"),381.25)</f>
        <v>381.25</v>
      </c>
      <c r="D135" s="61">
        <f>IFERROR(__xludf.DUMMYFUNCTION("MIN(index(GOOGLEFINANCE(A135,""ALL"",TODAY()-180,TODAY()),0,5))*1.2"),349.2)</f>
        <v>349.2</v>
      </c>
      <c r="E135" s="62">
        <f>IFERROR(__xludf.DUMMYFUNCTION("AVERAGE(QUERY(SORT(GOOGLEFINANCE(A135,""price"",TODAY()-320,TODAY()),1,0),""select Col2 limit 100""))"),331.788)</f>
        <v>331.788</v>
      </c>
      <c r="F135" s="44">
        <f>IFERROR(__xludf.DUMMYFUNCTION("GOOGLEFINANCE(A135,""high52"")"),442.0)</f>
        <v>442</v>
      </c>
      <c r="G135" s="45">
        <f>IFERROR(__xludf.DUMMYFUNCTION("to_date(index(sort(GOOGLEFINANCE(A135, ""high"", today()-52*7, today(), ""DAILY""),2,0),2,1))"),45868.64583333333)</f>
        <v>45868.64583</v>
      </c>
      <c r="H135" s="44">
        <f>IFERROR(__xludf.DUMMYFUNCTION("GOOGLEFINANCE(A135,""low52"")"),287.0)</f>
        <v>287</v>
      </c>
      <c r="I135" s="45">
        <f>IFERROR(__xludf.DUMMYFUNCTION("to_date(index(sort(GOOGLEFINANCE(A135, ""low"", today()-52*7, today(), ""DAILY""),2,1),1,1))"),46049.64583333333)</f>
        <v>46049.64583</v>
      </c>
      <c r="J135" s="46" t="str">
        <f t="shared" si="1"/>
        <v>Do Not Buy Today</v>
      </c>
    </row>
    <row r="136">
      <c r="A136" s="73" t="s">
        <v>187</v>
      </c>
      <c r="B136" s="59">
        <f>IFERROR(__xludf.DUMMYFUNCTION("GOOGLEFINANCE(A136,""price"")"),22.87)</f>
        <v>22.87</v>
      </c>
      <c r="C136" s="60">
        <f>IFERROR(__xludf.DUMMYFUNCTION("GOOGLEFINANCE(A136,""closeyest"")"),22.83)</f>
        <v>22.83</v>
      </c>
      <c r="D136" s="61">
        <f>IFERROR(__xludf.DUMMYFUNCTION("MIN(index(GOOGLEFINANCE(A136,""ALL"",TODAY()-180,TODAY()),0,5))*1.2"),20.7)</f>
        <v>20.7</v>
      </c>
      <c r="E136" s="62">
        <f>IFERROR(__xludf.DUMMYFUNCTION("AVERAGE(QUERY(SORT(GOOGLEFINANCE(A136,""price"",TODAY()-320,TODAY()),1,0),""select Col2 limit 100""))"),20.739799999999995)</f>
        <v>20.7398</v>
      </c>
      <c r="F136" s="44">
        <f>IFERROR(__xludf.DUMMYFUNCTION("GOOGLEFINANCE(A136,""high52"")"),24.3)</f>
        <v>24.3</v>
      </c>
      <c r="G136" s="45">
        <f>IFERROR(__xludf.DUMMYFUNCTION("to_date(index(sort(GOOGLEFINANCE(A136, ""high"", today()-52*7, today(), ""DAILY""),2,0),2,1))"),45940.64583333333)</f>
        <v>45940.64583</v>
      </c>
      <c r="H136" s="44">
        <f>IFERROR(__xludf.DUMMYFUNCTION("GOOGLEFINANCE(A136,""low52"")"),17.2)</f>
        <v>17.2</v>
      </c>
      <c r="I136" s="45">
        <f>IFERROR(__xludf.DUMMYFUNCTION("to_date(index(sort(GOOGLEFINANCE(A136, ""low"", today()-52*7, today(), ""DAILY""),2,1),1,1))"),46111.64583333333)</f>
        <v>46111.64583</v>
      </c>
      <c r="J136" s="46" t="str">
        <f t="shared" si="1"/>
        <v>Do Not Buy Today</v>
      </c>
    </row>
    <row r="137">
      <c r="A137" s="73" t="s">
        <v>188</v>
      </c>
      <c r="B137" s="59">
        <f>IFERROR(__xludf.DUMMYFUNCTION("GOOGLEFINANCE(A137,""price"")"),1796.0)</f>
        <v>1796</v>
      </c>
      <c r="C137" s="60">
        <f>IFERROR(__xludf.DUMMYFUNCTION("GOOGLEFINANCE(A137,""closeyest"")"),1760.2)</f>
        <v>1760.2</v>
      </c>
      <c r="D137" s="61">
        <f>IFERROR(__xludf.DUMMYFUNCTION("MIN(index(GOOGLEFINANCE(A137,""ALL"",TODAY()-180,TODAY()),0,5))*1.2"),1765.56)</f>
        <v>1765.56</v>
      </c>
      <c r="E137" s="62">
        <f>IFERROR(__xludf.DUMMYFUNCTION("AVERAGE(QUERY(SORT(GOOGLEFINANCE(A137,""price"",TODAY()-320,TODAY()),1,0),""select Col2 limit 100""))"),1753.9749999999997)</f>
        <v>1753.975</v>
      </c>
      <c r="F137" s="44">
        <f>IFERROR(__xludf.DUMMYFUNCTION("GOOGLEFINANCE(A137,""high52"")"),2506.5)</f>
        <v>2506.5</v>
      </c>
      <c r="G137" s="45">
        <f>IFERROR(__xludf.DUMMYFUNCTION("to_date(index(sort(GOOGLEFINANCE(A137, ""high"", today()-52*7, today(), ""DAILY""),2,0),2,1))"),45818.64583333333)</f>
        <v>45818.64583</v>
      </c>
      <c r="H137" s="44">
        <f>IFERROR(__xludf.DUMMYFUNCTION("GOOGLEFINANCE(A137,""low52"")"),1434.0)</f>
        <v>1434</v>
      </c>
      <c r="I137" s="45">
        <f>IFERROR(__xludf.DUMMYFUNCTION("to_date(index(sort(GOOGLEFINANCE(A137, ""low"", today()-52*7, today(), ""DAILY""),2,1),1,1))"),46114.64583333333)</f>
        <v>46114.64583</v>
      </c>
      <c r="J137" s="46" t="str">
        <f t="shared" si="1"/>
        <v>Do Not Buy Today</v>
      </c>
    </row>
    <row r="138">
      <c r="A138" s="73" t="s">
        <v>413</v>
      </c>
      <c r="B138" s="59">
        <f>IFERROR(__xludf.DUMMYFUNCTION("GOOGLEFINANCE(A138,""price"")"),327.95)</f>
        <v>327.95</v>
      </c>
      <c r="C138" s="60">
        <f>IFERROR(__xludf.DUMMYFUNCTION("GOOGLEFINANCE(A138,""closeyest"")"),324.4)</f>
        <v>324.4</v>
      </c>
      <c r="D138" s="61">
        <f>IFERROR(__xludf.DUMMYFUNCTION("MIN(index(GOOGLEFINANCE(A138,""ALL"",TODAY()-180,TODAY()),0,5))*1.2"),371.52000000000004)</f>
        <v>371.52</v>
      </c>
      <c r="E138" s="62">
        <f>IFERROR(__xludf.DUMMYFUNCTION("AVERAGE(QUERY(SORT(GOOGLEFINANCE(A138,""price"",TODAY()-320,TODAY()),1,0),""select Col2 limit 100""))"),384.496)</f>
        <v>384.496</v>
      </c>
      <c r="F138" s="44">
        <f>IFERROR(__xludf.DUMMYFUNCTION("GOOGLEFINANCE(A138,""high52"")"),474.0)</f>
        <v>474</v>
      </c>
      <c r="G138" s="45">
        <f>IFERROR(__xludf.DUMMYFUNCTION("to_date(index(sort(GOOGLEFINANCE(A138, ""high"", today()-52*7, today(), ""DAILY""),2,0),2,1))"),46064.64583333333)</f>
        <v>46064.64583</v>
      </c>
      <c r="H138" s="44">
        <f>IFERROR(__xludf.DUMMYFUNCTION("GOOGLEFINANCE(A138,""low52"")"),306.4)</f>
        <v>306.4</v>
      </c>
      <c r="I138" s="45">
        <f>IFERROR(__xludf.DUMMYFUNCTION("to_date(index(sort(GOOGLEFINANCE(A138, ""low"", today()-52*7, today(), ""DAILY""),2,1),1,1))"),46160.64583333333)</f>
        <v>46160.64583</v>
      </c>
      <c r="J138" s="46" t="str">
        <f t="shared" si="1"/>
        <v>Do Not Buy Today</v>
      </c>
    </row>
    <row r="139">
      <c r="A139" s="73" t="s">
        <v>414</v>
      </c>
      <c r="B139" s="59">
        <f>IFERROR(__xludf.DUMMYFUNCTION("GOOGLEFINANCE(A139,""price"")"),1522.5)</f>
        <v>1522.5</v>
      </c>
      <c r="C139" s="60">
        <f>IFERROR(__xludf.DUMMYFUNCTION("GOOGLEFINANCE(A139,""closeyest"")"),1513.4)</f>
        <v>1513.4</v>
      </c>
      <c r="D139" s="61">
        <f>IFERROR(__xludf.DUMMYFUNCTION("MIN(index(GOOGLEFINANCE(A139,""ALL"",TODAY()-180,TODAY()),0,5))*1.2"),1332.7199999999998)</f>
        <v>1332.72</v>
      </c>
      <c r="E139" s="62">
        <f>IFERROR(__xludf.DUMMYFUNCTION("AVERAGE(QUERY(SORT(GOOGLEFINANCE(A139,""price"",TODAY()-320,TODAY()),1,0),""select Col2 limit 100""))"),1342.59)</f>
        <v>1342.59</v>
      </c>
      <c r="F139" s="44">
        <f>IFERROR(__xludf.DUMMYFUNCTION("GOOGLEFINANCE(A139,""high52"")"),1701.7)</f>
        <v>1701.7</v>
      </c>
      <c r="G139" s="45">
        <f>IFERROR(__xludf.DUMMYFUNCTION("to_date(index(sort(GOOGLEFINANCE(A139, ""high"", today()-52*7, today(), ""DAILY""),2,0),2,1))"),45838.64583333333)</f>
        <v>45838.64583</v>
      </c>
      <c r="H139" s="44">
        <f>IFERROR(__xludf.DUMMYFUNCTION("GOOGLEFINANCE(A139,""low52"")"),1096.9)</f>
        <v>1096.9</v>
      </c>
      <c r="I139" s="45">
        <f>IFERROR(__xludf.DUMMYFUNCTION("to_date(index(sort(GOOGLEFINANCE(A139, ""low"", today()-52*7, today(), ""DAILY""),2,1),1,1))"),46104.64583333333)</f>
        <v>46104.64583</v>
      </c>
      <c r="J139" s="46" t="str">
        <f t="shared" si="1"/>
        <v>Do Not Buy Today</v>
      </c>
    </row>
    <row r="140">
      <c r="A140" s="73" t="s">
        <v>415</v>
      </c>
      <c r="B140" s="59">
        <f>IFERROR(__xludf.DUMMYFUNCTION("GOOGLEFINANCE(A140,""price"")"),528.8)</f>
        <v>528.8</v>
      </c>
      <c r="C140" s="60">
        <f>IFERROR(__xludf.DUMMYFUNCTION("GOOGLEFINANCE(A140,""closeyest"")"),532.4)</f>
        <v>532.4</v>
      </c>
      <c r="D140" s="61">
        <f>IFERROR(__xludf.DUMMYFUNCTION("MIN(index(GOOGLEFINANCE(A140,""ALL"",TODAY()-180,TODAY()),0,5))*1.2"),588.8399999999999)</f>
        <v>588.84</v>
      </c>
      <c r="E140" s="62">
        <f>IFERROR(__xludf.DUMMYFUNCTION("AVERAGE(QUERY(SORT(GOOGLEFINANCE(A140,""price"",TODAY()-320,TODAY()),1,0),""select Col2 limit 100""))"),594.4809999999999)</f>
        <v>594.481</v>
      </c>
      <c r="F140" s="44">
        <f>IFERROR(__xludf.DUMMYFUNCTION("GOOGLEFINANCE(A140,""high52"")"),957.9)</f>
        <v>957.9</v>
      </c>
      <c r="G140" s="45">
        <f>IFERROR(__xludf.DUMMYFUNCTION("to_date(index(sort(GOOGLEFINANCE(A140, ""high"", today()-52*7, today(), ""DAILY""),2,0),2,1))"),45853.64583333333)</f>
        <v>45853.64583</v>
      </c>
      <c r="H140" s="44">
        <f>IFERROR(__xludf.DUMMYFUNCTION("GOOGLEFINANCE(A140,""low52"")"),480.5)</f>
        <v>480.5</v>
      </c>
      <c r="I140" s="45">
        <f>IFERROR(__xludf.DUMMYFUNCTION("to_date(index(sort(GOOGLEFINANCE(A140, ""low"", today()-52*7, today(), ""DAILY""),2,1),1,1))"),46111.64583333333)</f>
        <v>46111.64583</v>
      </c>
      <c r="J140" s="46" t="str">
        <f t="shared" si="1"/>
        <v>Do Not Buy Today</v>
      </c>
    </row>
    <row r="141">
      <c r="A141" s="73" t="s">
        <v>416</v>
      </c>
      <c r="B141" s="59">
        <f>IFERROR(__xludf.DUMMYFUNCTION("GOOGLEFINANCE(A141,""price"")"),772.15)</f>
        <v>772.15</v>
      </c>
      <c r="C141" s="60">
        <f>IFERROR(__xludf.DUMMYFUNCTION("GOOGLEFINANCE(A141,""closeyest"")"),769.75)</f>
        <v>769.75</v>
      </c>
      <c r="D141" s="61">
        <f>IFERROR(__xludf.DUMMYFUNCTION("MIN(index(GOOGLEFINANCE(A141,""ALL"",TODAY()-180,TODAY()),0,5))*1.2"),774.9)</f>
        <v>774.9</v>
      </c>
      <c r="E141" s="62">
        <f>IFERROR(__xludf.DUMMYFUNCTION("AVERAGE(QUERY(SORT(GOOGLEFINANCE(A141,""price"",TODAY()-320,TODAY()),1,0),""select Col2 limit 100""))"),755.8184999999999)</f>
        <v>755.8185</v>
      </c>
      <c r="F141" s="44">
        <f>IFERROR(__xludf.DUMMYFUNCTION("GOOGLEFINANCE(A141,""high52"")"),859.0)</f>
        <v>859</v>
      </c>
      <c r="G141" s="45">
        <f>IFERROR(__xludf.DUMMYFUNCTION("to_date(index(sort(GOOGLEFINANCE(A141, ""high"", today()-52*7, today(), ""DAILY""),2,0),2,1))"),46056.64583333333)</f>
        <v>46056.64583</v>
      </c>
      <c r="H141" s="44">
        <f>IFERROR(__xludf.DUMMYFUNCTION("GOOGLEFINANCE(A141,""low52"")"),618.5)</f>
        <v>618.5</v>
      </c>
      <c r="I141" s="45">
        <f>IFERROR(__xludf.DUMMYFUNCTION("to_date(index(sort(GOOGLEFINANCE(A141, ""low"", today()-52*7, today(), ""DAILY""),2,1),1,1))"),46104.64583333333)</f>
        <v>46104.64583</v>
      </c>
      <c r="J141" s="46" t="str">
        <f t="shared" si="1"/>
        <v>Do Not Buy Today</v>
      </c>
    </row>
    <row r="142">
      <c r="A142" s="73" t="s">
        <v>417</v>
      </c>
      <c r="B142" s="59">
        <f>IFERROR(__xludf.DUMMYFUNCTION("GOOGLEFINANCE(A142,""price"")"),33.66)</f>
        <v>33.66</v>
      </c>
      <c r="C142" s="60">
        <f>IFERROR(__xludf.DUMMYFUNCTION("GOOGLEFINANCE(A142,""closeyest"")"),33.63)</f>
        <v>33.63</v>
      </c>
      <c r="D142" s="61">
        <f>IFERROR(__xludf.DUMMYFUNCTION("MIN(index(GOOGLEFINANCE(A142,""ALL"",TODAY()-180,TODAY()),0,5))*1.2"),37.656)</f>
        <v>37.656</v>
      </c>
      <c r="E142" s="62">
        <f>IFERROR(__xludf.DUMMYFUNCTION("AVERAGE(QUERY(SORT(GOOGLEFINANCE(A142,""price"",TODAY()-320,TODAY()),1,0),""select Col2 limit 100""))"),34.60230000000001)</f>
        <v>34.6023</v>
      </c>
      <c r="F142" s="44">
        <f>IFERROR(__xludf.DUMMYFUNCTION("GOOGLEFINANCE(A142,""high52"")"),42.8)</f>
        <v>42.8</v>
      </c>
      <c r="G142" s="45">
        <f>IFERROR(__xludf.DUMMYFUNCTION("to_date(index(sort(GOOGLEFINANCE(A142, ""high"", today()-52*7, today(), ""DAILY""),2,0),2,1))"),45811.64583333333)</f>
        <v>45811.64583</v>
      </c>
      <c r="H142" s="44">
        <f>IFERROR(__xludf.DUMMYFUNCTION("GOOGLEFINANCE(A142,""low52"")"),31.2)</f>
        <v>31.2</v>
      </c>
      <c r="I142" s="45">
        <f>IFERROR(__xludf.DUMMYFUNCTION("to_date(index(sort(GOOGLEFINANCE(A142, ""low"", today()-52*7, today(), ""DAILY""),2,1),1,1))"),46111.64583333333)</f>
        <v>46111.64583</v>
      </c>
      <c r="J142" s="46" t="str">
        <f t="shared" si="1"/>
        <v>Do Not Buy Today</v>
      </c>
    </row>
    <row r="143">
      <c r="A143" s="73" t="s">
        <v>191</v>
      </c>
      <c r="B143" s="59">
        <f>IFERROR(__xludf.DUMMYFUNCTION("GOOGLEFINANCE(A143,""price"")"),1424.1)</f>
        <v>1424.1</v>
      </c>
      <c r="C143" s="60">
        <f>IFERROR(__xludf.DUMMYFUNCTION("GOOGLEFINANCE(A143,""closeyest"")"),1412.6)</f>
        <v>1412.6</v>
      </c>
      <c r="D143" s="61">
        <f>IFERROR(__xludf.DUMMYFUNCTION("MIN(index(GOOGLEFINANCE(A143,""ALL"",TODAY()-180,TODAY()),0,5))*1.2"),1505.5199999999998)</f>
        <v>1505.52</v>
      </c>
      <c r="E143" s="62">
        <f>IFERROR(__xludf.DUMMYFUNCTION("AVERAGE(QUERY(SORT(GOOGLEFINANCE(A143,""price"",TODAY()-320,TODAY()),1,0),""select Col2 limit 100""))"),1526.0480000000002)</f>
        <v>1526.048</v>
      </c>
      <c r="F143" s="44">
        <f>IFERROR(__xludf.DUMMYFUNCTION("GOOGLEFINANCE(A143,""high52"")"),2028.8)</f>
        <v>2028.8</v>
      </c>
      <c r="G143" s="45">
        <f>IFERROR(__xludf.DUMMYFUNCTION("to_date(index(sort(GOOGLEFINANCE(A143, ""high"", today()-52*7, today(), ""DAILY""),2,0),2,1))"),45849.64583333333)</f>
        <v>45849.64583</v>
      </c>
      <c r="H143" s="44">
        <f>IFERROR(__xludf.DUMMYFUNCTION("GOOGLEFINANCE(A143,""low52"")"),1251.7)</f>
        <v>1251.7</v>
      </c>
      <c r="I143" s="45">
        <f>IFERROR(__xludf.DUMMYFUNCTION("to_date(index(sort(GOOGLEFINANCE(A143, ""low"", today()-52*7, today(), ""DAILY""),2,1),1,1))"),46111.64583333333)</f>
        <v>46111.64583</v>
      </c>
      <c r="J143" s="46" t="str">
        <f t="shared" si="1"/>
        <v>Do Not Buy Today</v>
      </c>
    </row>
    <row r="144">
      <c r="A144" s="73" t="s">
        <v>418</v>
      </c>
      <c r="B144" s="59">
        <f>IFERROR(__xludf.DUMMYFUNCTION("GOOGLEFINANCE(A144,""price"")"),1610.0)</f>
        <v>1610</v>
      </c>
      <c r="C144" s="60">
        <f>IFERROR(__xludf.DUMMYFUNCTION("GOOGLEFINANCE(A144,""closeyest"")"),1604.0)</f>
        <v>1604</v>
      </c>
      <c r="D144" s="61">
        <f>IFERROR(__xludf.DUMMYFUNCTION("MIN(index(GOOGLEFINANCE(A144,""ALL"",TODAY()-180,TODAY()),0,5))*1.2"),1569.12)</f>
        <v>1569.12</v>
      </c>
      <c r="E144" s="62">
        <f>IFERROR(__xludf.DUMMYFUNCTION("AVERAGE(QUERY(SORT(GOOGLEFINANCE(A144,""price"",TODAY()-320,TODAY()),1,0),""select Col2 limit 100""))"),1436.3009999999992)</f>
        <v>1436.301</v>
      </c>
      <c r="F144" s="44">
        <f>IFERROR(__xludf.DUMMYFUNCTION("GOOGLEFINANCE(A144,""high52"")"),1770.0)</f>
        <v>1770</v>
      </c>
      <c r="G144" s="45">
        <f>IFERROR(__xludf.DUMMYFUNCTION("to_date(index(sort(GOOGLEFINANCE(A144, ""high"", today()-52*7, today(), ""DAILY""),2,0),2,1))"),45919.64583333333)</f>
        <v>45919.64583</v>
      </c>
      <c r="H144" s="44">
        <f>IFERROR(__xludf.DUMMYFUNCTION("GOOGLEFINANCE(A144,""low52"")"),1272.6)</f>
        <v>1272.6</v>
      </c>
      <c r="I144" s="45">
        <f>IFERROR(__xludf.DUMMYFUNCTION("to_date(index(sort(GOOGLEFINANCE(A144, ""low"", today()-52*7, today(), ""DAILY""),2,1),1,1))"),46104.64583333333)</f>
        <v>46104.64583</v>
      </c>
      <c r="J144" s="46" t="str">
        <f t="shared" si="1"/>
        <v>Do Not Buy Today</v>
      </c>
    </row>
    <row r="145">
      <c r="A145" s="73" t="s">
        <v>193</v>
      </c>
      <c r="B145" s="59">
        <f>IFERROR(__xludf.DUMMYFUNCTION("GOOGLEFINANCE(A145,""price"")"),1692.2)</f>
        <v>1692.2</v>
      </c>
      <c r="C145" s="60">
        <f>IFERROR(__xludf.DUMMYFUNCTION("GOOGLEFINANCE(A145,""closeyest"")"),1693.7)</f>
        <v>1693.7</v>
      </c>
      <c r="D145" s="61">
        <f>IFERROR(__xludf.DUMMYFUNCTION("MIN(index(GOOGLEFINANCE(A145,""ALL"",TODAY()-180,TODAY()),0,5))*1.2"),1693.8)</f>
        <v>1693.8</v>
      </c>
      <c r="E145" s="62">
        <f>IFERROR(__xludf.DUMMYFUNCTION("AVERAGE(QUERY(SORT(GOOGLEFINANCE(A145,""price"",TODAY()-320,TODAY()),1,0),""select Col2 limit 100""))"),1586.3170000000007)</f>
        <v>1586.317</v>
      </c>
      <c r="F145" s="44">
        <f>IFERROR(__xludf.DUMMYFUNCTION("GOOGLEFINANCE(A145,""high52"")"),2005.0)</f>
        <v>2005</v>
      </c>
      <c r="G145" s="45">
        <f>IFERROR(__xludf.DUMMYFUNCTION("to_date(index(sort(GOOGLEFINANCE(A145, ""high"", today()-52*7, today(), ""DAILY""),2,0),2,1))"),45833.64583333333)</f>
        <v>45833.64583</v>
      </c>
      <c r="H145" s="44">
        <f>IFERROR(__xludf.DUMMYFUNCTION("GOOGLEFINANCE(A145,""low52"")"),1391.2)</f>
        <v>1391.2</v>
      </c>
      <c r="I145" s="45">
        <f>IFERROR(__xludf.DUMMYFUNCTION("to_date(index(sort(GOOGLEFINANCE(A145, ""low"", today()-52*7, today(), ""DAILY""),2,1),1,1))"),46104.64583333333)</f>
        <v>46104.64583</v>
      </c>
      <c r="J145" s="46" t="str">
        <f t="shared" si="1"/>
        <v>Do Not Buy Today</v>
      </c>
    </row>
    <row r="146">
      <c r="A146" s="73" t="s">
        <v>197</v>
      </c>
      <c r="B146" s="59">
        <f>IFERROR(__xludf.DUMMYFUNCTION("GOOGLEFINANCE(A146,""price"")"),1789.2)</f>
        <v>1789.2</v>
      </c>
      <c r="C146" s="60">
        <f>IFERROR(__xludf.DUMMYFUNCTION("GOOGLEFINANCE(A146,""closeyest"")"),1789.0)</f>
        <v>1789</v>
      </c>
      <c r="D146" s="61">
        <f>IFERROR(__xludf.DUMMYFUNCTION("MIN(index(GOOGLEFINANCE(A146,""ALL"",TODAY()-180,TODAY()),0,5))*1.2"),1712.28)</f>
        <v>1712.28</v>
      </c>
      <c r="E146" s="62">
        <f>IFERROR(__xludf.DUMMYFUNCTION("AVERAGE(QUERY(SORT(GOOGLEFINANCE(A146,""price"",TODAY()-320,TODAY()),1,0),""select Col2 limit 100""))"),1601.2699999999995)</f>
        <v>1601.27</v>
      </c>
      <c r="F146" s="44">
        <f>IFERROR(__xludf.DUMMYFUNCTION("GOOGLEFINANCE(A146,""high52"")"),1978.0)</f>
        <v>1978</v>
      </c>
      <c r="G146" s="45">
        <f>IFERROR(__xludf.DUMMYFUNCTION("to_date(index(sort(GOOGLEFINANCE(A146, ""high"", today()-52*7, today(), ""DAILY""),2,0),2,1))"),45825.64583333333)</f>
        <v>45825.64583</v>
      </c>
      <c r="H146" s="44">
        <f>IFERROR(__xludf.DUMMYFUNCTION("GOOGLEFINANCE(A146,""low52"")"),1364.0)</f>
        <v>1364</v>
      </c>
      <c r="I146" s="45">
        <f>IFERROR(__xludf.DUMMYFUNCTION("to_date(index(sort(GOOGLEFINANCE(A146, ""low"", today()-52*7, today(), ""DAILY""),2,1),1,1))"),46090.64583333333)</f>
        <v>46090.64583</v>
      </c>
      <c r="J146" s="46" t="str">
        <f t="shared" si="1"/>
        <v>Do Not Buy Today</v>
      </c>
    </row>
    <row r="147">
      <c r="A147" s="73" t="s">
        <v>199</v>
      </c>
      <c r="B147" s="59">
        <f>IFERROR(__xludf.DUMMYFUNCTION("GOOGLEFINANCE(A147,""price"")"),835.0)</f>
        <v>835</v>
      </c>
      <c r="C147" s="60">
        <f>IFERROR(__xludf.DUMMYFUNCTION("GOOGLEFINANCE(A147,""closeyest"")"),833.55)</f>
        <v>833.55</v>
      </c>
      <c r="D147" s="61">
        <f>IFERROR(__xludf.DUMMYFUNCTION("MIN(index(GOOGLEFINANCE(A147,""ALL"",TODAY()-180,TODAY()),0,5))*1.2"),927.78)</f>
        <v>927.78</v>
      </c>
      <c r="E147" s="62">
        <f>IFERROR(__xludf.DUMMYFUNCTION("AVERAGE(QUERY(SORT(GOOGLEFINANCE(A147,""price"",TODAY()-320,TODAY()),1,0),""select Col2 limit 100""))"),883.2409999999999)</f>
        <v>883.241</v>
      </c>
      <c r="F147" s="44">
        <f>IFERROR(__xludf.DUMMYFUNCTION("GOOGLEFINANCE(A147,""high52"")"),1000.9)</f>
        <v>1000.9</v>
      </c>
      <c r="G147" s="45">
        <f>IFERROR(__xludf.DUMMYFUNCTION("to_date(index(sort(GOOGLEFINANCE(A147, ""high"", today()-52*7, today(), ""DAILY""),2,0),2,1))"),46127.64583333333)</f>
        <v>46127.64583</v>
      </c>
      <c r="H147" s="44">
        <f>IFERROR(__xludf.DUMMYFUNCTION("GOOGLEFINANCE(A147,""low52"")"),586.25)</f>
        <v>586.25</v>
      </c>
      <c r="I147" s="45">
        <f>IFERROR(__xludf.DUMMYFUNCTION("to_date(index(sort(GOOGLEFINANCE(A147, ""low"", today()-52*7, today(), ""DAILY""),2,1),1,1))"),45805.64583333333)</f>
        <v>45805.64583</v>
      </c>
      <c r="J147" s="46" t="str">
        <f t="shared" si="1"/>
        <v>Do Not Buy Today</v>
      </c>
    </row>
    <row r="148">
      <c r="A148" s="73" t="s">
        <v>419</v>
      </c>
      <c r="B148" s="59">
        <f>IFERROR(__xludf.DUMMYFUNCTION("GOOGLEFINANCE(A148,""price"")"),1436.2)</f>
        <v>1436.2</v>
      </c>
      <c r="C148" s="60">
        <f>IFERROR(__xludf.DUMMYFUNCTION("GOOGLEFINANCE(A148,""closeyest"")"),1419.0)</f>
        <v>1419</v>
      </c>
      <c r="D148" s="61">
        <f>IFERROR(__xludf.DUMMYFUNCTION("MIN(index(GOOGLEFINANCE(A148,""ALL"",TODAY()-180,TODAY()),0,5))*1.2"),1388.1599999999999)</f>
        <v>1388.16</v>
      </c>
      <c r="E148" s="62">
        <f>IFERROR(__xludf.DUMMYFUNCTION("AVERAGE(QUERY(SORT(GOOGLEFINANCE(A148,""price"",TODAY()-320,TODAY()),1,0),""select Col2 limit 100""))"),1402.915)</f>
        <v>1402.915</v>
      </c>
      <c r="F148" s="44">
        <f>IFERROR(__xludf.DUMMYFUNCTION("GOOGLEFINANCE(A148,""high52"")"),1732.5)</f>
        <v>1732.5</v>
      </c>
      <c r="G148" s="45">
        <f>IFERROR(__xludf.DUMMYFUNCTION("to_date(index(sort(GOOGLEFINANCE(A148, ""high"", today()-52*7, today(), ""DAILY""),2,0),2,1))"),45860.64583333333)</f>
        <v>45860.64583</v>
      </c>
      <c r="H148" s="44">
        <f>IFERROR(__xludf.DUMMYFUNCTION("GOOGLEFINANCE(A148,""low52"")"),1130.0)</f>
        <v>1130</v>
      </c>
      <c r="I148" s="45">
        <f>IFERROR(__xludf.DUMMYFUNCTION("to_date(index(sort(GOOGLEFINANCE(A148, ""low"", today()-52*7, today(), ""DAILY""),2,1),1,1))"),46114.64583333333)</f>
        <v>46114.64583</v>
      </c>
      <c r="J148" s="46" t="str">
        <f t="shared" si="1"/>
        <v>Do Not Buy Today</v>
      </c>
    </row>
    <row r="149">
      <c r="A149" s="73" t="s">
        <v>420</v>
      </c>
      <c r="B149" s="59">
        <f>IFERROR(__xludf.DUMMYFUNCTION("GOOGLEFINANCE(A149,""price"")"),1642.5)</f>
        <v>1642.5</v>
      </c>
      <c r="C149" s="60">
        <f>IFERROR(__xludf.DUMMYFUNCTION("GOOGLEFINANCE(A149,""closeyest"")"),1632.2)</f>
        <v>1632.2</v>
      </c>
      <c r="D149" s="61">
        <f>IFERROR(__xludf.DUMMYFUNCTION("MIN(index(GOOGLEFINANCE(A149,""ALL"",TODAY()-180,TODAY()),0,5))*1.2"),1610.64)</f>
        <v>1610.64</v>
      </c>
      <c r="E149" s="62">
        <f>IFERROR(__xludf.DUMMYFUNCTION("AVERAGE(QUERY(SORT(GOOGLEFINANCE(A149,""price"",TODAY()-320,TODAY()),1,0),""select Col2 limit 100""))"),1758.2219999999998)</f>
        <v>1758.222</v>
      </c>
      <c r="F149" s="44">
        <f>IFERROR(__xludf.DUMMYFUNCTION("GOOGLEFINANCE(A149,""high52"")"),2818.0)</f>
        <v>2818</v>
      </c>
      <c r="G149" s="45">
        <f>IFERROR(__xludf.DUMMYFUNCTION("to_date(index(sort(GOOGLEFINANCE(A149, ""high"", today()-52*7, today(), ""DAILY""),2,0),2,1))"),45859.64583333333)</f>
        <v>45859.64583</v>
      </c>
      <c r="H149" s="44">
        <f>IFERROR(__xludf.DUMMYFUNCTION("GOOGLEFINANCE(A149,""low52"")"),1334.2)</f>
        <v>1334.2</v>
      </c>
      <c r="I149" s="45">
        <f>IFERROR(__xludf.DUMMYFUNCTION("to_date(index(sort(GOOGLEFINANCE(A149, ""low"", today()-52*7, today(), ""DAILY""),2,1),1,1))"),46111.64583333333)</f>
        <v>46111.64583</v>
      </c>
      <c r="J149" s="46" t="str">
        <f t="shared" si="1"/>
        <v>Do Not Buy Today</v>
      </c>
    </row>
    <row r="150">
      <c r="A150" s="73" t="s">
        <v>421</v>
      </c>
      <c r="B150" s="59">
        <f>IFERROR(__xludf.DUMMYFUNCTION("GOOGLEFINANCE(A150,""price"")"),1528.3)</f>
        <v>1528.3</v>
      </c>
      <c r="C150" s="60">
        <f>IFERROR(__xludf.DUMMYFUNCTION("GOOGLEFINANCE(A150,""closeyest"")"),1488.1)</f>
        <v>1488.1</v>
      </c>
      <c r="D150" s="61">
        <f>IFERROR(__xludf.DUMMYFUNCTION("MIN(index(GOOGLEFINANCE(A150,""ALL"",TODAY()-180,TODAY()),0,5))*1.2"),1288.0800000000002)</f>
        <v>1288.08</v>
      </c>
      <c r="E150" s="62">
        <f>IFERROR(__xludf.DUMMYFUNCTION("AVERAGE(QUERY(SORT(GOOGLEFINANCE(A150,""price"",TODAY()-320,TODAY()),1,0),""select Col2 limit 100""))"),1246.33)</f>
        <v>1246.33</v>
      </c>
      <c r="F150" s="44">
        <f>IFERROR(__xludf.DUMMYFUNCTION("GOOGLEFINANCE(A150,""high52"")"),1615.9)</f>
        <v>1615.9</v>
      </c>
      <c r="G150" s="45">
        <f>IFERROR(__xludf.DUMMYFUNCTION("to_date(index(sort(GOOGLEFINANCE(A150, ""high"", today()-52*7, today(), ""DAILY""),2,0),2,1))"),46135.64583333333)</f>
        <v>46135.64583</v>
      </c>
      <c r="H150" s="44">
        <f>IFERROR(__xludf.DUMMYFUNCTION("GOOGLEFINANCE(A150,""low52"")"),1065.0)</f>
        <v>1065</v>
      </c>
      <c r="I150" s="45">
        <f>IFERROR(__xludf.DUMMYFUNCTION("to_date(index(sort(GOOGLEFINANCE(A150, ""low"", today()-52*7, today(), ""DAILY""),2,1),1,1))"),45887.64583333333)</f>
        <v>45887.64583</v>
      </c>
      <c r="J150" s="46" t="str">
        <f t="shared" si="1"/>
        <v>Do Not Buy Today</v>
      </c>
    </row>
    <row r="151">
      <c r="A151" s="73" t="s">
        <v>422</v>
      </c>
      <c r="B151" s="59">
        <f>IFERROR(__xludf.DUMMYFUNCTION("GOOGLEFINANCE(A151,""price"")"),1095.0)</f>
        <v>1095</v>
      </c>
      <c r="C151" s="60">
        <f>IFERROR(__xludf.DUMMYFUNCTION("GOOGLEFINANCE(A151,""closeyest"")"),1095.7)</f>
        <v>1095.7</v>
      </c>
      <c r="D151" s="61">
        <f>IFERROR(__xludf.DUMMYFUNCTION("MIN(index(GOOGLEFINANCE(A151,""ALL"",TODAY()-180,TODAY()),0,5))*1.2"),958.74)</f>
        <v>958.74</v>
      </c>
      <c r="E151" s="62">
        <f>IFERROR(__xludf.DUMMYFUNCTION("AVERAGE(QUERY(SORT(GOOGLEFINANCE(A151,""price"",TODAY()-320,TODAY()),1,0),""select Col2 limit 100""))"),932.6264999999999)</f>
        <v>932.6265</v>
      </c>
      <c r="F151" s="44">
        <f>IFERROR(__xludf.DUMMYFUNCTION("GOOGLEFINANCE(A151,""high52"")"),1125.0)</f>
        <v>1125</v>
      </c>
      <c r="G151" s="45">
        <f>IFERROR(__xludf.DUMMYFUNCTION("to_date(index(sort(GOOGLEFINANCE(A151, ""high"", today()-52*7, today(), ""DAILY""),2,0),2,1))"),46163.64583333333)</f>
        <v>46163.64583</v>
      </c>
      <c r="H151" s="44">
        <f>IFERROR(__xludf.DUMMYFUNCTION("GOOGLEFINANCE(A151,""low52"")"),714.05)</f>
        <v>714.05</v>
      </c>
      <c r="I151" s="45">
        <f>IFERROR(__xludf.DUMMYFUNCTION("to_date(index(sort(GOOGLEFINANCE(A151, ""low"", today()-52*7, today(), ""DAILY""),2,1),1,1))"),45821.64583333333)</f>
        <v>45821.64583</v>
      </c>
      <c r="J151" s="46" t="str">
        <f t="shared" si="1"/>
        <v>Do Not Buy Today</v>
      </c>
    </row>
    <row r="152">
      <c r="A152" s="73" t="s">
        <v>201</v>
      </c>
      <c r="B152" s="59">
        <f>IFERROR(__xludf.DUMMYFUNCTION("GOOGLEFINANCE(A152,""price"")"),394.0)</f>
        <v>394</v>
      </c>
      <c r="C152" s="60">
        <f>IFERROR(__xludf.DUMMYFUNCTION("GOOGLEFINANCE(A152,""closeyest"")"),393.25)</f>
        <v>393.25</v>
      </c>
      <c r="D152" s="61">
        <f>IFERROR(__xludf.DUMMYFUNCTION("MIN(index(GOOGLEFINANCE(A152,""ALL"",TODAY()-180,TODAY()),0,5))*1.2"),446.16)</f>
        <v>446.16</v>
      </c>
      <c r="E152" s="62">
        <f>IFERROR(__xludf.DUMMYFUNCTION("AVERAGE(QUERY(SORT(GOOGLEFINANCE(A152,""price"",TODAY()-320,TODAY()),1,0),""select Col2 limit 100""))"),451.5004999999999)</f>
        <v>451.5005</v>
      </c>
      <c r="F152" s="44">
        <f>IFERROR(__xludf.DUMMYFUNCTION("GOOGLEFINANCE(A152,""high52"")"),540.5)</f>
        <v>540.5</v>
      </c>
      <c r="G152" s="45">
        <f>IFERROR(__xludf.DUMMYFUNCTION("to_date(index(sort(GOOGLEFINANCE(A152, ""high"", today()-52*7, today(), ""DAILY""),2,0),2,1))"),45975.64583333333)</f>
        <v>45975.64583</v>
      </c>
      <c r="H152" s="44">
        <f>IFERROR(__xludf.DUMMYFUNCTION("GOOGLEFINANCE(A152,""low52"")"),365.3)</f>
        <v>365.3</v>
      </c>
      <c r="I152" s="45">
        <f>IFERROR(__xludf.DUMMYFUNCTION("to_date(index(sort(GOOGLEFINANCE(A152, ""low"", today()-52*7, today(), ""DAILY""),2,1),1,1))"),46162.64583333333)</f>
        <v>46162.64583</v>
      </c>
      <c r="J152" s="46" t="str">
        <f t="shared" si="1"/>
        <v>Do Not Buy Today</v>
      </c>
    </row>
    <row r="153">
      <c r="A153" s="73" t="s">
        <v>423</v>
      </c>
      <c r="B153" s="59">
        <f>IFERROR(__xludf.DUMMYFUNCTION("GOOGLEFINANCE(A153,""price"")"),453.65)</f>
        <v>453.65</v>
      </c>
      <c r="C153" s="60">
        <f>IFERROR(__xludf.DUMMYFUNCTION("GOOGLEFINANCE(A153,""closeyest"")"),455.15)</f>
        <v>455.15</v>
      </c>
      <c r="D153" s="61">
        <f>IFERROR(__xludf.DUMMYFUNCTION("MIN(index(GOOGLEFINANCE(A153,""ALL"",TODAY()-180,TODAY()),0,5))*1.2"),416.76)</f>
        <v>416.76</v>
      </c>
      <c r="E153" s="62">
        <f>IFERROR(__xludf.DUMMYFUNCTION("AVERAGE(QUERY(SORT(GOOGLEFINANCE(A153,""price"",TODAY()-320,TODAY()),1,0),""select Col2 limit 100""))"),453.6574999999997)</f>
        <v>453.6575</v>
      </c>
      <c r="F153" s="44">
        <f>IFERROR(__xludf.DUMMYFUNCTION("GOOGLEFINANCE(A153,""high52"")"),828.0)</f>
        <v>828</v>
      </c>
      <c r="G153" s="45">
        <f>IFERROR(__xludf.DUMMYFUNCTION("to_date(index(sort(GOOGLEFINANCE(A153, ""high"", today()-52*7, today(), ""DAILY""),2,0),2,1))"),45819.64583333333)</f>
        <v>45819.64583</v>
      </c>
      <c r="H153" s="44">
        <f>IFERROR(__xludf.DUMMYFUNCTION("GOOGLEFINANCE(A153,""low52"")"),338.15)</f>
        <v>338.15</v>
      </c>
      <c r="I153" s="45">
        <f>IFERROR(__xludf.DUMMYFUNCTION("to_date(index(sort(GOOGLEFINANCE(A153, ""low"", today()-52*7, today(), ""DAILY""),2,1),1,1))"),46104.64583333333)</f>
        <v>46104.64583</v>
      </c>
      <c r="J153" s="46" t="str">
        <f t="shared" si="1"/>
        <v>Do Not Buy Today</v>
      </c>
    </row>
    <row r="154">
      <c r="A154" s="73" t="s">
        <v>203</v>
      </c>
      <c r="B154" s="59">
        <f>IFERROR(__xludf.DUMMYFUNCTION("GOOGLEFINANCE(A154,""price"")"),129.69)</f>
        <v>129.69</v>
      </c>
      <c r="C154" s="60">
        <f>IFERROR(__xludf.DUMMYFUNCTION("GOOGLEFINANCE(A154,""closeyest"")"),129.54)</f>
        <v>129.54</v>
      </c>
      <c r="D154" s="61">
        <f>IFERROR(__xludf.DUMMYFUNCTION("MIN(index(GOOGLEFINANCE(A154,""ALL"",TODAY()-180,TODAY()),0,5))*1.2"),130.776)</f>
        <v>130.776</v>
      </c>
      <c r="E154" s="62">
        <f>IFERROR(__xludf.DUMMYFUNCTION("AVERAGE(QUERY(SORT(GOOGLEFINANCE(A154,""price"",TODAY()-320,TODAY()),1,0),""select Col2 limit 100""))"),127.9509)</f>
        <v>127.9509</v>
      </c>
      <c r="F154" s="44">
        <f>IFERROR(__xludf.DUMMYFUNCTION("GOOGLEFINANCE(A154,""high52"")"),186.58)</f>
        <v>186.58</v>
      </c>
      <c r="G154" s="45">
        <f>IFERROR(__xludf.DUMMYFUNCTION("to_date(index(sort(GOOGLEFINANCE(A154, ""high"", today()-52*7, today(), ""DAILY""),2,0),2,1))"),45817.64583333333)</f>
        <v>45817.64583</v>
      </c>
      <c r="H154" s="44">
        <f>IFERROR(__xludf.DUMMYFUNCTION("GOOGLEFINANCE(A154,""low52"")"),108.65)</f>
        <v>108.65</v>
      </c>
      <c r="I154" s="45">
        <f>IFERROR(__xludf.DUMMYFUNCTION("to_date(index(sort(GOOGLEFINANCE(A154, ""low"", today()-52*7, today(), ""DAILY""),2,1),1,1))"),46111.64583333333)</f>
        <v>46111.64583</v>
      </c>
      <c r="J154" s="46" t="str">
        <f t="shared" si="1"/>
        <v>Do Not Buy Today</v>
      </c>
    </row>
    <row r="155">
      <c r="A155" s="73" t="s">
        <v>424</v>
      </c>
      <c r="B155" s="59">
        <f>IFERROR(__xludf.DUMMYFUNCTION("GOOGLEFINANCE(A155,""price"")"),1859.4)</f>
        <v>1859.4</v>
      </c>
      <c r="C155" s="60">
        <f>IFERROR(__xludf.DUMMYFUNCTION("GOOGLEFINANCE(A155,""closeyest"")"),1853.7)</f>
        <v>1853.7</v>
      </c>
      <c r="D155" s="61">
        <f>IFERROR(__xludf.DUMMYFUNCTION("MIN(index(GOOGLEFINANCE(A155,""ALL"",TODAY()-180,TODAY()),0,5))*1.2"),1317.84)</f>
        <v>1317.84</v>
      </c>
      <c r="E155" s="62">
        <f>IFERROR(__xludf.DUMMYFUNCTION("AVERAGE(QUERY(SORT(GOOGLEFINANCE(A155,""price"",TODAY()-320,TODAY()),1,0),""select Col2 limit 100""))"),1382.305)</f>
        <v>1382.305</v>
      </c>
      <c r="F155" s="44">
        <f>IFERROR(__xludf.DUMMYFUNCTION("GOOGLEFINANCE(A155,""high52"")"),1888.6)</f>
        <v>1888.6</v>
      </c>
      <c r="G155" s="45">
        <f>IFERROR(__xludf.DUMMYFUNCTION("to_date(index(sort(GOOGLEFINANCE(A155, ""high"", today()-52*7, today(), ""DAILY""),2,0),2,1))"),46168.64583333333)</f>
        <v>46168.64583</v>
      </c>
      <c r="H155" s="44">
        <f>IFERROR(__xludf.DUMMYFUNCTION("GOOGLEFINANCE(A155,""low52"")"),1042.9)</f>
        <v>1042.9</v>
      </c>
      <c r="I155" s="45">
        <f>IFERROR(__xludf.DUMMYFUNCTION("to_date(index(sort(GOOGLEFINANCE(A155, ""low"", today()-52*7, today(), ""DAILY""),2,1),1,1))"),46055.64583333333)</f>
        <v>46055.64583</v>
      </c>
      <c r="J155" s="46" t="str">
        <f t="shared" si="1"/>
        <v>Do Not Buy Today</v>
      </c>
    </row>
    <row r="156">
      <c r="A156" s="73" t="s">
        <v>425</v>
      </c>
      <c r="B156" s="59">
        <f>IFERROR(__xludf.DUMMYFUNCTION("GOOGLEFINANCE(A156,""price"")"),521.55)</f>
        <v>521.55</v>
      </c>
      <c r="C156" s="60">
        <f>IFERROR(__xludf.DUMMYFUNCTION("GOOGLEFINANCE(A156,""closeyest"")"),517.25)</f>
        <v>517.25</v>
      </c>
      <c r="D156" s="61">
        <f>IFERROR(__xludf.DUMMYFUNCTION("MIN(index(GOOGLEFINANCE(A156,""ALL"",TODAY()-180,TODAY()),0,5))*1.2"),439.73999999999995)</f>
        <v>439.74</v>
      </c>
      <c r="E156" s="62">
        <f>IFERROR(__xludf.DUMMYFUNCTION("AVERAGE(QUERY(SORT(GOOGLEFINANCE(A156,""price"",TODAY()-320,TODAY()),1,0),""select Col2 limit 100""))"),462.117)</f>
        <v>462.117</v>
      </c>
      <c r="F156" s="44">
        <f>IFERROR(__xludf.DUMMYFUNCTION("GOOGLEFINANCE(A156,""high52"")"),573.75)</f>
        <v>573.75</v>
      </c>
      <c r="G156" s="45">
        <f>IFERROR(__xludf.DUMMYFUNCTION("to_date(index(sort(GOOGLEFINANCE(A156, ""high"", today()-52*7, today(), ""DAILY""),2,0),2,1))"),45840.64583333333)</f>
        <v>45840.64583</v>
      </c>
      <c r="H156" s="44">
        <f>IFERROR(__xludf.DUMMYFUNCTION("GOOGLEFINANCE(A156,""low52"")"),365.0)</f>
        <v>365</v>
      </c>
      <c r="I156" s="45">
        <f>IFERROR(__xludf.DUMMYFUNCTION("to_date(index(sort(GOOGLEFINANCE(A156, ""low"", today()-52*7, today(), ""DAILY""),2,1),1,1))"),46111.64583333333)</f>
        <v>46111.64583</v>
      </c>
      <c r="J156" s="46" t="str">
        <f t="shared" si="1"/>
        <v>Do Not Buy Today</v>
      </c>
    </row>
    <row r="157">
      <c r="A157" s="73" t="s">
        <v>426</v>
      </c>
      <c r="B157" s="59">
        <f>IFERROR(__xludf.DUMMYFUNCTION("GOOGLEFINANCE(A157,""price"")"),698.75)</f>
        <v>698.75</v>
      </c>
      <c r="C157" s="60">
        <f>IFERROR(__xludf.DUMMYFUNCTION("GOOGLEFINANCE(A157,""closeyest"")"),697.05)</f>
        <v>697.05</v>
      </c>
      <c r="D157" s="61">
        <f>IFERROR(__xludf.DUMMYFUNCTION("MIN(index(GOOGLEFINANCE(A157,""ALL"",TODAY()-180,TODAY()),0,5))*1.2"),649.56)</f>
        <v>649.56</v>
      </c>
      <c r="E157" s="62">
        <f>IFERROR(__xludf.DUMMYFUNCTION("AVERAGE(QUERY(SORT(GOOGLEFINANCE(A157,""price"",TODAY()-320,TODAY()),1,0),""select Col2 limit 100""))"),654.2815000000003)</f>
        <v>654.2815</v>
      </c>
      <c r="F157" s="44">
        <f>IFERROR(__xludf.DUMMYFUNCTION("GOOGLEFINANCE(A157,""high52"")"),851.8)</f>
        <v>851.8</v>
      </c>
      <c r="G157" s="45">
        <f>IFERROR(__xludf.DUMMYFUNCTION("to_date(index(sort(GOOGLEFINANCE(A157, ""high"", today()-52*7, today(), ""DAILY""),2,0),2,1))"),45855.64583333333)</f>
        <v>45855.64583</v>
      </c>
      <c r="H157" s="44">
        <f>IFERROR(__xludf.DUMMYFUNCTION("GOOGLEFINANCE(A157,""low52"")"),537.3)</f>
        <v>537.3</v>
      </c>
      <c r="I157" s="45">
        <f>IFERROR(__xludf.DUMMYFUNCTION("to_date(index(sort(GOOGLEFINANCE(A157, ""low"", today()-52*7, today(), ""DAILY""),2,1),1,1))"),46090.64583333333)</f>
        <v>46090.64583</v>
      </c>
      <c r="J157" s="46" t="str">
        <f t="shared" si="1"/>
        <v>Do Not Buy Today</v>
      </c>
    </row>
    <row r="158">
      <c r="A158" s="73" t="s">
        <v>205</v>
      </c>
      <c r="B158" s="59">
        <f>IFERROR(__xludf.DUMMYFUNCTION("GOOGLEFINANCE(A158,""price"")"),525.75)</f>
        <v>525.75</v>
      </c>
      <c r="C158" s="60">
        <f>IFERROR(__xludf.DUMMYFUNCTION("GOOGLEFINANCE(A158,""closeyest"")"),537.2)</f>
        <v>537.2</v>
      </c>
      <c r="D158" s="61">
        <f>IFERROR(__xludf.DUMMYFUNCTION("MIN(index(GOOGLEFINANCE(A158,""ALL"",TODAY()-180,TODAY()),0,5))*1.2"),593.4)</f>
        <v>593.4</v>
      </c>
      <c r="E158" s="62">
        <f>IFERROR(__xludf.DUMMYFUNCTION("AVERAGE(QUERY(SORT(GOOGLEFINANCE(A158,""price"",TODAY()-320,TODAY()),1,0),""select Col2 limit 100""))"),581.391)</f>
        <v>581.391</v>
      </c>
      <c r="F158" s="44">
        <f>IFERROR(__xludf.DUMMYFUNCTION("GOOGLEFINANCE(A158,""high52"")"),800.0)</f>
        <v>800</v>
      </c>
      <c r="G158" s="45">
        <f>IFERROR(__xludf.DUMMYFUNCTION("to_date(index(sort(GOOGLEFINANCE(A158, ""high"", today()-52*7, today(), ""DAILY""),2,0),2,1))"),45806.64583333333)</f>
        <v>45806.64583</v>
      </c>
      <c r="H158" s="44">
        <f>IFERROR(__xludf.DUMMYFUNCTION("GOOGLEFINANCE(A158,""low52"")"),492.65)</f>
        <v>492.65</v>
      </c>
      <c r="I158" s="45">
        <f>IFERROR(__xludf.DUMMYFUNCTION("to_date(index(sort(GOOGLEFINANCE(A158, ""low"", today()-52*7, today(), ""DAILY""),2,1),1,1))"),46111.64583333333)</f>
        <v>46111.64583</v>
      </c>
      <c r="J158" s="46" t="str">
        <f t="shared" si="1"/>
        <v>Do Not Buy Today</v>
      </c>
    </row>
    <row r="159">
      <c r="A159" s="73" t="s">
        <v>206</v>
      </c>
      <c r="B159" s="59">
        <f>IFERROR(__xludf.DUMMYFUNCTION("GOOGLEFINANCE(A159,""price"")"),283.05)</f>
        <v>283.05</v>
      </c>
      <c r="C159" s="60">
        <f>IFERROR(__xludf.DUMMYFUNCTION("GOOGLEFINANCE(A159,""closeyest"")"),282.7)</f>
        <v>282.7</v>
      </c>
      <c r="D159" s="61">
        <f>IFERROR(__xludf.DUMMYFUNCTION("MIN(index(GOOGLEFINANCE(A159,""ALL"",TODAY()-180,TODAY()),0,5))*1.2"),288.23999999999995)</f>
        <v>288.24</v>
      </c>
      <c r="E159" s="62">
        <f>IFERROR(__xludf.DUMMYFUNCTION("AVERAGE(QUERY(SORT(GOOGLEFINANCE(A159,""price"",TODAY()-320,TODAY()),1,0),""select Col2 limit 100""))"),284.0696)</f>
        <v>284.0696</v>
      </c>
      <c r="F159" s="44">
        <f>IFERROR(__xludf.DUMMYFUNCTION("GOOGLEFINANCE(A159,""high52"")"),329.45)</f>
        <v>329.45</v>
      </c>
      <c r="G159" s="45">
        <f>IFERROR(__xludf.DUMMYFUNCTION("to_date(index(sort(GOOGLEFINANCE(A159, ""high"", today()-52*7, today(), ""DAILY""),2,0),2,1))"),46028.64583333333)</f>
        <v>46028.64583</v>
      </c>
      <c r="H159" s="44">
        <f>IFERROR(__xludf.DUMMYFUNCTION("GOOGLEFINANCE(A159,""low52"")"),169.25)</f>
        <v>169.25</v>
      </c>
      <c r="I159" s="45">
        <f>IFERROR(__xludf.DUMMYFUNCTION("to_date(index(sort(GOOGLEFINANCE(A159, ""low"", today()-52*7, today(), ""DAILY""),2,1),1,1))"),45807.64583333333)</f>
        <v>45807.64583</v>
      </c>
      <c r="J159" s="46" t="str">
        <f t="shared" si="1"/>
        <v>Do Not Buy Today</v>
      </c>
    </row>
    <row r="160">
      <c r="A160" s="73" t="s">
        <v>427</v>
      </c>
      <c r="B160" s="59">
        <f>IFERROR(__xludf.DUMMYFUNCTION("GOOGLEFINANCE(A160,""price"")"),142.95)</f>
        <v>142.95</v>
      </c>
      <c r="C160" s="60">
        <f>IFERROR(__xludf.DUMMYFUNCTION("GOOGLEFINANCE(A160,""closeyest"")"),140.16)</f>
        <v>140.16</v>
      </c>
      <c r="D160" s="61">
        <f>IFERROR(__xludf.DUMMYFUNCTION("MIN(index(GOOGLEFINANCE(A160,""ALL"",TODAY()-180,TODAY()),0,5))*1.2"),117.708)</f>
        <v>117.708</v>
      </c>
      <c r="E160" s="62">
        <f>IFERROR(__xludf.DUMMYFUNCTION("AVERAGE(QUERY(SORT(GOOGLEFINANCE(A160,""price"",TODAY()-320,TODAY()),1,0),""select Col2 limit 100""))"),116.5659000000001)</f>
        <v>116.5659</v>
      </c>
      <c r="F160" s="44">
        <f>IFERROR(__xludf.DUMMYFUNCTION("GOOGLEFINANCE(A160,""high52"")"),145.0)</f>
        <v>145</v>
      </c>
      <c r="G160" s="45">
        <f>IFERROR(__xludf.DUMMYFUNCTION("to_date(index(sort(GOOGLEFINANCE(A160, ""high"", today()-52*7, today(), ""DAILY""),2,0),2,1))"),46149.64583333333)</f>
        <v>46149.64583</v>
      </c>
      <c r="H160" s="44">
        <f>IFERROR(__xludf.DUMMYFUNCTION("GOOGLEFINANCE(A160,""low52"")"),97.35)</f>
        <v>97.35</v>
      </c>
      <c r="I160" s="45">
        <f>IFERROR(__xludf.DUMMYFUNCTION("to_date(index(sort(GOOGLEFINANCE(A160, ""low"", today()-52*7, today(), ""DAILY""),2,1),1,1))"),46021.64583333333)</f>
        <v>46021.64583</v>
      </c>
      <c r="J160" s="46" t="str">
        <f t="shared" si="1"/>
        <v>Do Not Buy Today</v>
      </c>
    </row>
    <row r="161">
      <c r="A161" s="73" t="s">
        <v>207</v>
      </c>
      <c r="B161" s="59">
        <f>IFERROR(__xludf.DUMMYFUNCTION("GOOGLEFINANCE(A161,""price"")"),2712.4)</f>
        <v>2712.4</v>
      </c>
      <c r="C161" s="60">
        <f>IFERROR(__xludf.DUMMYFUNCTION("GOOGLEFINANCE(A161,""closeyest"")"),2739.8)</f>
        <v>2739.8</v>
      </c>
      <c r="D161" s="61">
        <f>IFERROR(__xludf.DUMMYFUNCTION("MIN(index(GOOGLEFINANCE(A161,""ALL"",TODAY()-180,TODAY()),0,5))*1.2"),2659.68)</f>
        <v>2659.68</v>
      </c>
      <c r="E161" s="62">
        <f>IFERROR(__xludf.DUMMYFUNCTION("AVERAGE(QUERY(SORT(GOOGLEFINANCE(A161,""price"",TODAY()-320,TODAY()),1,0),""select Col2 limit 100""))"),2616.0190000000007)</f>
        <v>2616.019</v>
      </c>
      <c r="F161" s="44">
        <f>IFERROR(__xludf.DUMMYFUNCTION("GOOGLEFINANCE(A161,""high52"")"),2967.25)</f>
        <v>2967.25</v>
      </c>
      <c r="G161" s="45">
        <f>IFERROR(__xludf.DUMMYFUNCTION("to_date(index(sort(GOOGLEFINANCE(A161, ""high"", today()-52*7, today(), ""DAILY""),2,0),2,1))"),45946.64583333333)</f>
        <v>45946.64583</v>
      </c>
      <c r="H161" s="44">
        <f>IFERROR(__xludf.DUMMYFUNCTION("GOOGLEFINANCE(A161,""low52"")"),2205.6)</f>
        <v>2205.6</v>
      </c>
      <c r="I161" s="45">
        <f>IFERROR(__xludf.DUMMYFUNCTION("to_date(index(sort(GOOGLEFINANCE(A161, ""low"", today()-52*7, today(), ""DAILY""),2,1),1,1))"),46111.64583333333)</f>
        <v>46111.64583</v>
      </c>
      <c r="J161" s="46" t="str">
        <f t="shared" si="1"/>
        <v>Do Not Buy Today</v>
      </c>
    </row>
    <row r="162">
      <c r="A162" s="73" t="s">
        <v>208</v>
      </c>
      <c r="B162" s="59">
        <f>IFERROR(__xludf.DUMMYFUNCTION("GOOGLEFINANCE(A162,""price"")"),145.85)</f>
        <v>145.85</v>
      </c>
      <c r="C162" s="60">
        <f>IFERROR(__xludf.DUMMYFUNCTION("GOOGLEFINANCE(A162,""closeyest"")"),144.99)</f>
        <v>144.99</v>
      </c>
      <c r="D162" s="61">
        <f>IFERROR(__xludf.DUMMYFUNCTION("MIN(index(GOOGLEFINANCE(A162,""ALL"",TODAY()-180,TODAY()),0,5))*1.2"),164.388)</f>
        <v>164.388</v>
      </c>
      <c r="E162" s="62">
        <f>IFERROR(__xludf.DUMMYFUNCTION("AVERAGE(QUERY(SORT(GOOGLEFINANCE(A162,""price"",TODAY()-320,TODAY()),1,0),""select Col2 limit 100""))"),152.40969999999996)</f>
        <v>152.4097</v>
      </c>
      <c r="F162" s="44">
        <f>IFERROR(__xludf.DUMMYFUNCTION("GOOGLEFINANCE(A162,""high52"")"),178.36)</f>
        <v>178.36</v>
      </c>
      <c r="G162" s="45">
        <f>IFERROR(__xludf.DUMMYFUNCTION("to_date(index(sort(GOOGLEFINANCE(A162, ""high"", today()-52*7, today(), ""DAILY""),2,0),2,1))"),46080.64583333333)</f>
        <v>46080.64583</v>
      </c>
      <c r="H162" s="44">
        <f>IFERROR(__xludf.DUMMYFUNCTION("GOOGLEFINANCE(A162,""low52"")"),108.81)</f>
        <v>108.81</v>
      </c>
      <c r="I162" s="45">
        <f>IFERROR(__xludf.DUMMYFUNCTION("to_date(index(sort(GOOGLEFINANCE(A162, ""low"", today()-52*7, today(), ""DAILY""),2,1),1,1))"),45870.64583333333)</f>
        <v>45870.64583</v>
      </c>
      <c r="J162" s="46" t="str">
        <f t="shared" si="1"/>
        <v>Do Not Buy Today</v>
      </c>
    </row>
    <row r="163">
      <c r="A163" s="73" t="s">
        <v>428</v>
      </c>
      <c r="B163" s="59">
        <f>IFERROR(__xludf.DUMMYFUNCTION("GOOGLEFINANCE(A163,""price"")"),345.6)</f>
        <v>345.6</v>
      </c>
      <c r="C163" s="60">
        <f>IFERROR(__xludf.DUMMYFUNCTION("GOOGLEFINANCE(A163,""closeyest"")"),344.25)</f>
        <v>344.25</v>
      </c>
      <c r="D163" s="61">
        <f>IFERROR(__xludf.DUMMYFUNCTION("MIN(index(GOOGLEFINANCE(A163,""ALL"",TODAY()-180,TODAY()),0,5))*1.2"),346.32)</f>
        <v>346.32</v>
      </c>
      <c r="E163" s="62">
        <f>IFERROR(__xludf.DUMMYFUNCTION("AVERAGE(QUERY(SORT(GOOGLEFINANCE(A163,""price"",TODAY()-320,TODAY()),1,0),""select Col2 limit 100""))"),313.9555)</f>
        <v>313.9555</v>
      </c>
      <c r="F163" s="44">
        <f>IFERROR(__xludf.DUMMYFUNCTION("GOOGLEFINANCE(A163,""high52"")"),349.9)</f>
        <v>349.9</v>
      </c>
      <c r="G163" s="45">
        <f>IFERROR(__xludf.DUMMYFUNCTION("to_date(index(sort(GOOGLEFINANCE(A163, ""high"", today()-52*7, today(), ""DAILY""),2,0),2,1))"),46149.64583333333)</f>
        <v>46149.64583</v>
      </c>
      <c r="H163" s="44">
        <f>IFERROR(__xludf.DUMMYFUNCTION("GOOGLEFINANCE(A163,""low52"")"),204.01)</f>
        <v>204.01</v>
      </c>
      <c r="I163" s="45">
        <f>IFERROR(__xludf.DUMMYFUNCTION("to_date(index(sort(GOOGLEFINANCE(A163, ""low"", today()-52*7, today(), ""DAILY""),2,1),1,1))"),45814.64583333333)</f>
        <v>45814.64583</v>
      </c>
      <c r="J163" s="46" t="str">
        <f t="shared" si="1"/>
        <v>Do Not Buy Today</v>
      </c>
    </row>
    <row r="164">
      <c r="A164" s="73" t="s">
        <v>429</v>
      </c>
      <c r="B164" s="59">
        <f>IFERROR(__xludf.DUMMYFUNCTION("GOOGLEFINANCE(A164,""price"")"),987.9)</f>
        <v>987.9</v>
      </c>
      <c r="C164" s="60">
        <f>IFERROR(__xludf.DUMMYFUNCTION("GOOGLEFINANCE(A164,""closeyest"")"),985.2)</f>
        <v>985.2</v>
      </c>
      <c r="D164" s="61">
        <f>IFERROR(__xludf.DUMMYFUNCTION("MIN(index(GOOGLEFINANCE(A164,""ALL"",TODAY()-180,TODAY()),0,5))*1.2"),969.18)</f>
        <v>969.18</v>
      </c>
      <c r="E164" s="62">
        <f>IFERROR(__xludf.DUMMYFUNCTION("AVERAGE(QUERY(SORT(GOOGLEFINANCE(A164,""price"",TODAY()-320,TODAY()),1,0),""select Col2 limit 100""))"),936.3515000000003)</f>
        <v>936.3515</v>
      </c>
      <c r="F164" s="44">
        <f>IFERROR(__xludf.DUMMYFUNCTION("GOOGLEFINANCE(A164,""high52"")"),1248.0)</f>
        <v>1248</v>
      </c>
      <c r="G164" s="45">
        <f>IFERROR(__xludf.DUMMYFUNCTION("to_date(index(sort(GOOGLEFINANCE(A164, ""high"", today()-52*7, today(), ""DAILY""),2,0),2,1))"),45868.64583333333)</f>
        <v>45868.64583</v>
      </c>
      <c r="H164" s="44">
        <f>IFERROR(__xludf.DUMMYFUNCTION("GOOGLEFINANCE(A164,""low52"")"),786.05)</f>
        <v>786.05</v>
      </c>
      <c r="I164" s="45">
        <f>IFERROR(__xludf.DUMMYFUNCTION("to_date(index(sort(GOOGLEFINANCE(A164, ""low"", today()-52*7, today(), ""DAILY""),2,1),1,1))"),46090.64583333333)</f>
        <v>46090.64583</v>
      </c>
      <c r="J164" s="46" t="str">
        <f t="shared" si="1"/>
        <v>Do Not Buy Today</v>
      </c>
    </row>
    <row r="165">
      <c r="A165" s="73" t="s">
        <v>430</v>
      </c>
      <c r="B165" s="59">
        <f>IFERROR(__xludf.DUMMYFUNCTION("GOOGLEFINANCE(A165,""price"")"),537.0)</f>
        <v>537</v>
      </c>
      <c r="C165" s="60">
        <f>IFERROR(__xludf.DUMMYFUNCTION("GOOGLEFINANCE(A165,""closeyest"")"),525.15)</f>
        <v>525.15</v>
      </c>
      <c r="D165" s="61">
        <f>IFERROR(__xludf.DUMMYFUNCTION("MIN(index(GOOGLEFINANCE(A165,""ALL"",TODAY()-180,TODAY()),0,5))*1.2"),425.7)</f>
        <v>425.7</v>
      </c>
      <c r="E165" s="62">
        <f>IFERROR(__xludf.DUMMYFUNCTION("AVERAGE(QUERY(SORT(GOOGLEFINANCE(A165,""price"",TODAY()-320,TODAY()),1,0),""select Col2 limit 100""))"),443.6064999999998)</f>
        <v>443.6065</v>
      </c>
      <c r="F165" s="44">
        <f>IFERROR(__xludf.DUMMYFUNCTION("GOOGLEFINANCE(A165,""high52"")"),716.25)</f>
        <v>716.25</v>
      </c>
      <c r="G165" s="45">
        <f>IFERROR(__xludf.DUMMYFUNCTION("to_date(index(sort(GOOGLEFINANCE(A165, ""high"", today()-52*7, today(), ""DAILY""),2,0),2,1))"),45811.64583333333)</f>
        <v>45811.64583</v>
      </c>
      <c r="H165" s="44">
        <f>IFERROR(__xludf.DUMMYFUNCTION("GOOGLEFINANCE(A165,""low52"")"),352.0)</f>
        <v>352</v>
      </c>
      <c r="I165" s="45">
        <f>IFERROR(__xludf.DUMMYFUNCTION("to_date(index(sort(GOOGLEFINANCE(A165, ""low"", today()-52*7, today(), ""DAILY""),2,1),1,1))"),46111.64583333333)</f>
        <v>46111.64583</v>
      </c>
      <c r="J165" s="46" t="str">
        <f t="shared" si="1"/>
        <v>Do Not Buy Today</v>
      </c>
    </row>
    <row r="166">
      <c r="A166" s="73" t="s">
        <v>210</v>
      </c>
      <c r="B166" s="59">
        <f>IFERROR(__xludf.DUMMYFUNCTION("GOOGLEFINANCE(A166,""price"")"),838.7)</f>
        <v>838.7</v>
      </c>
      <c r="C166" s="60">
        <f>IFERROR(__xludf.DUMMYFUNCTION("GOOGLEFINANCE(A166,""closeyest"")"),830.0)</f>
        <v>830</v>
      </c>
      <c r="D166" s="61">
        <f>IFERROR(__xludf.DUMMYFUNCTION("MIN(index(GOOGLEFINANCE(A166,""ALL"",TODAY()-180,TODAY()),0,5))*1.2"),852.78)</f>
        <v>852.78</v>
      </c>
      <c r="E166" s="62">
        <f>IFERROR(__xludf.DUMMYFUNCTION("AVERAGE(QUERY(SORT(GOOGLEFINANCE(A166,""price"",TODAY()-320,TODAY()),1,0),""select Col2 limit 100""))"),772.0955000000001)</f>
        <v>772.0955</v>
      </c>
      <c r="F166" s="44">
        <f>IFERROR(__xludf.DUMMYFUNCTION("GOOGLEFINANCE(A166,""high52"")"),848.8)</f>
        <v>848.8</v>
      </c>
      <c r="G166" s="45">
        <f>IFERROR(__xludf.DUMMYFUNCTION("to_date(index(sort(GOOGLEFINANCE(A166, ""high"", today()-52*7, today(), ""DAILY""),2,0),2,1))"),46153.64583333333)</f>
        <v>46153.64583</v>
      </c>
      <c r="H166" s="44">
        <f>IFERROR(__xludf.DUMMYFUNCTION("GOOGLEFINANCE(A166,""low52"")"),680.3)</f>
        <v>680.3</v>
      </c>
      <c r="I166" s="45">
        <f>IFERROR(__xludf.DUMMYFUNCTION("to_date(index(sort(GOOGLEFINANCE(A166, ""low"", today()-52*7, today(), ""DAILY""),2,1),1,1))"),45824.64583333333)</f>
        <v>45824.64583</v>
      </c>
      <c r="J166" s="46" t="str">
        <f t="shared" si="1"/>
        <v>Do Not Buy Today</v>
      </c>
    </row>
    <row r="167">
      <c r="A167" s="73" t="s">
        <v>431</v>
      </c>
      <c r="B167" s="59">
        <f>IFERROR(__xludf.DUMMYFUNCTION("GOOGLEFINANCE(A167,""price"")"),602.5)</f>
        <v>602.5</v>
      </c>
      <c r="C167" s="60">
        <f>IFERROR(__xludf.DUMMYFUNCTION("GOOGLEFINANCE(A167,""closeyest"")"),594.95)</f>
        <v>594.95</v>
      </c>
      <c r="D167" s="61">
        <f>IFERROR(__xludf.DUMMYFUNCTION("MIN(index(GOOGLEFINANCE(A167,""ALL"",TODAY()-180,TODAY()),0,5))*1.2"),577.02)</f>
        <v>577.02</v>
      </c>
      <c r="E167" s="62">
        <f>IFERROR(__xludf.DUMMYFUNCTION("AVERAGE(QUERY(SORT(GOOGLEFINANCE(A167,""price"",TODAY()-320,TODAY()),1,0),""select Col2 limit 100""))"),544.2950000000003)</f>
        <v>544.295</v>
      </c>
      <c r="F167" s="44">
        <f>IFERROR(__xludf.DUMMYFUNCTION("GOOGLEFINANCE(A167,""high52"")"),619.95)</f>
        <v>619.95</v>
      </c>
      <c r="G167" s="45">
        <f>IFERROR(__xludf.DUMMYFUNCTION("to_date(index(sort(GOOGLEFINANCE(A167, ""high"", today()-52*7, today(), ""DAILY""),2,0),2,1))"),45974.64583333333)</f>
        <v>45974.64583</v>
      </c>
      <c r="H167" s="44">
        <f>IFERROR(__xludf.DUMMYFUNCTION("GOOGLEFINANCE(A167,""low52"")"),445.05)</f>
        <v>445.05</v>
      </c>
      <c r="I167" s="45">
        <f>IFERROR(__xludf.DUMMYFUNCTION("to_date(index(sort(GOOGLEFINANCE(A167, ""low"", today()-52*7, today(), ""DAILY""),2,1),1,1))"),45880.64583333333)</f>
        <v>45880.64583</v>
      </c>
      <c r="J167" s="46" t="str">
        <f t="shared" si="1"/>
        <v>Do Not Buy Today</v>
      </c>
    </row>
    <row r="168">
      <c r="A168" s="73" t="s">
        <v>211</v>
      </c>
      <c r="B168" s="59">
        <f>IFERROR(__xludf.DUMMYFUNCTION("GOOGLEFINANCE(A168,""price"")"),1534.3)</f>
        <v>1534.3</v>
      </c>
      <c r="C168" s="60">
        <f>IFERROR(__xludf.DUMMYFUNCTION("GOOGLEFINANCE(A168,""closeyest"")"),1526.2)</f>
        <v>1526.2</v>
      </c>
      <c r="D168" s="61">
        <f>IFERROR(__xludf.DUMMYFUNCTION("MIN(index(GOOGLEFINANCE(A168,""ALL"",TODAY()-180,TODAY()),0,5))*1.2"),1431.7199999999998)</f>
        <v>1431.72</v>
      </c>
      <c r="E168" s="62">
        <f>IFERROR(__xludf.DUMMYFUNCTION("AVERAGE(QUERY(SORT(GOOGLEFINANCE(A168,""price"",TODAY()-320,TODAY()),1,0),""select Col2 limit 100""))"),1520.046)</f>
        <v>1520.046</v>
      </c>
      <c r="F168" s="44">
        <f>IFERROR(__xludf.DUMMYFUNCTION("GOOGLEFINANCE(A168,""high52"")"),2545.0)</f>
        <v>2545</v>
      </c>
      <c r="G168" s="45">
        <f>IFERROR(__xludf.DUMMYFUNCTION("to_date(index(sort(GOOGLEFINANCE(A168, ""high"", today()-52*7, today(), ""DAILY""),2,0),2,1))"),45814.64583333333)</f>
        <v>45814.64583</v>
      </c>
      <c r="H168" s="44">
        <f>IFERROR(__xludf.DUMMYFUNCTION("GOOGLEFINANCE(A168,""low52"")"),1187.0)</f>
        <v>1187</v>
      </c>
      <c r="I168" s="45">
        <f>IFERROR(__xludf.DUMMYFUNCTION("to_date(index(sort(GOOGLEFINANCE(A168, ""low"", today()-52*7, today(), ""DAILY""),2,1),1,1))"),46111.64583333333)</f>
        <v>46111.64583</v>
      </c>
      <c r="J168" s="46" t="str">
        <f t="shared" si="1"/>
        <v>Do Not Buy Today</v>
      </c>
    </row>
    <row r="169">
      <c r="A169" s="73" t="s">
        <v>212</v>
      </c>
      <c r="B169" s="59">
        <f>IFERROR(__xludf.DUMMYFUNCTION("GOOGLEFINANCE(A169,""price"")"),2253.6)</f>
        <v>2253.6</v>
      </c>
      <c r="C169" s="60">
        <f>IFERROR(__xludf.DUMMYFUNCTION("GOOGLEFINANCE(A169,""closeyest"")"),2266.0)</f>
        <v>2266</v>
      </c>
      <c r="D169" s="61">
        <f>IFERROR(__xludf.DUMMYFUNCTION("MIN(index(GOOGLEFINANCE(A169,""ALL"",TODAY()-180,TODAY()),0,5))*1.2"),2462.1600000000003)</f>
        <v>2462.16</v>
      </c>
      <c r="E169" s="62">
        <f>IFERROR(__xludf.DUMMYFUNCTION("AVERAGE(QUERY(SORT(GOOGLEFINANCE(A169,""price"",TODAY()-320,TODAY()),1,0),""select Col2 limit 100""))"),2253.7390000000005)</f>
        <v>2253.739</v>
      </c>
      <c r="F169" s="44">
        <f>IFERROR(__xludf.DUMMYFUNCTION("GOOGLEFINANCE(A169,""high52"")"),2494.0)</f>
        <v>2494</v>
      </c>
      <c r="G169" s="45">
        <f>IFERROR(__xludf.DUMMYFUNCTION("to_date(index(sort(GOOGLEFINANCE(A169, ""high"", today()-52*7, today(), ""DAILY""),2,0),2,1))"),46149.64583333333)</f>
        <v>46149.64583</v>
      </c>
      <c r="H169" s="44">
        <f>IFERROR(__xludf.DUMMYFUNCTION("GOOGLEFINANCE(A169,""low52"")"),1836.8)</f>
        <v>1836.8</v>
      </c>
      <c r="I169" s="45">
        <f>IFERROR(__xludf.DUMMYFUNCTION("to_date(index(sort(GOOGLEFINANCE(A169, ""low"", today()-52*7, today(), ""DAILY""),2,1),1,1))"),45875.64583333333)</f>
        <v>45875.64583</v>
      </c>
      <c r="J169" s="46" t="str">
        <f t="shared" si="1"/>
        <v>Do Not Buy Today</v>
      </c>
    </row>
    <row r="170">
      <c r="A170" s="73" t="s">
        <v>432</v>
      </c>
      <c r="B170" s="59">
        <f>IFERROR(__xludf.DUMMYFUNCTION("GOOGLEFINANCE(A170,""price"")"),140.17)</f>
        <v>140.17</v>
      </c>
      <c r="C170" s="60">
        <f>IFERROR(__xludf.DUMMYFUNCTION("GOOGLEFINANCE(A170,""closeyest"")"),138.81)</f>
        <v>138.81</v>
      </c>
      <c r="D170" s="61">
        <f>IFERROR(__xludf.DUMMYFUNCTION("MIN(index(GOOGLEFINANCE(A170,""ALL"",TODAY()-180,TODAY()),0,5))*1.2"),129.98399999999998)</f>
        <v>129.984</v>
      </c>
      <c r="E170" s="62">
        <f>IFERROR(__xludf.DUMMYFUNCTION("AVERAGE(QUERY(SORT(GOOGLEFINANCE(A170,""price"",TODAY()-320,TODAY()),1,0),""select Col2 limit 100""))"),127.85009999999994)</f>
        <v>127.8501</v>
      </c>
      <c r="F170" s="44">
        <f>IFERROR(__xludf.DUMMYFUNCTION("GOOGLEFINANCE(A170,""high52"")"),152.85)</f>
        <v>152.85</v>
      </c>
      <c r="G170" s="45">
        <f>IFERROR(__xludf.DUMMYFUNCTION("to_date(index(sort(GOOGLEFINANCE(A170, ""high"", today()-52*7, today(), ""DAILY""),2,0),2,1))"),46057.64583333333)</f>
        <v>46057.64583</v>
      </c>
      <c r="H170" s="44">
        <f>IFERROR(__xludf.DUMMYFUNCTION("GOOGLEFINANCE(A170,""low52"")"),107.1)</f>
        <v>107.1</v>
      </c>
      <c r="I170" s="45">
        <f>IFERROR(__xludf.DUMMYFUNCTION("to_date(index(sort(GOOGLEFINANCE(A170, ""low"", today()-52*7, today(), ""DAILY""),2,1),1,1))"),46111.64583333333)</f>
        <v>46111.64583</v>
      </c>
      <c r="J170" s="46" t="str">
        <f t="shared" si="1"/>
        <v>Do Not Buy Today</v>
      </c>
    </row>
    <row r="171">
      <c r="A171" s="73" t="s">
        <v>433</v>
      </c>
      <c r="B171" s="59">
        <f>IFERROR(__xludf.DUMMYFUNCTION("GOOGLEFINANCE(A171,""price"")"),36180.0)</f>
        <v>36180</v>
      </c>
      <c r="C171" s="60">
        <f>IFERROR(__xludf.DUMMYFUNCTION("GOOGLEFINANCE(A171,""closeyest"")"),35570.0)</f>
        <v>35570</v>
      </c>
      <c r="D171" s="61">
        <f>IFERROR(__xludf.DUMMYFUNCTION("MIN(index(GOOGLEFINANCE(A171,""ALL"",TODAY()-180,TODAY()),0,5))*1.2"),31590.0)</f>
        <v>31590</v>
      </c>
      <c r="E171" s="62">
        <f>IFERROR(__xludf.DUMMYFUNCTION("AVERAGE(QUERY(SORT(GOOGLEFINANCE(A171,""price"",TODAY()-320,TODAY()),1,0),""select Col2 limit 100""))"),31148.65)</f>
        <v>31148.65</v>
      </c>
      <c r="F171" s="44">
        <f>IFERROR(__xludf.DUMMYFUNCTION("GOOGLEFINANCE(A171,""high52"")"),41450.0)</f>
        <v>41450</v>
      </c>
      <c r="G171" s="45">
        <f>IFERROR(__xludf.DUMMYFUNCTION("to_date(index(sort(GOOGLEFINANCE(A171, ""high"", today()-52*7, today(), ""DAILY""),2,0),2,1))"),45841.64583333333)</f>
        <v>45841.64583</v>
      </c>
      <c r="H171" s="44">
        <f>IFERROR(__xludf.DUMMYFUNCTION("GOOGLEFINANCE(A171,""low52"")"),26220.0)</f>
        <v>26220</v>
      </c>
      <c r="I171" s="45">
        <f>IFERROR(__xludf.DUMMYFUNCTION("to_date(index(sort(GOOGLEFINANCE(A171, ""low"", today()-52*7, today(), ""DAILY""),2,1),1,1))"),46111.64583333333)</f>
        <v>46111.64583</v>
      </c>
      <c r="J171" s="46" t="str">
        <f t="shared" si="1"/>
        <v>Do Not Buy Today</v>
      </c>
    </row>
    <row r="172">
      <c r="A172" s="73" t="s">
        <v>434</v>
      </c>
      <c r="B172" s="59">
        <f>IFERROR(__xludf.DUMMYFUNCTION("GOOGLEFINANCE(A172,""price"")"),191.7)</f>
        <v>191.7</v>
      </c>
      <c r="C172" s="60">
        <f>IFERROR(__xludf.DUMMYFUNCTION("GOOGLEFINANCE(A172,""closeyest"")"),190.79)</f>
        <v>190.79</v>
      </c>
      <c r="D172" s="61">
        <f>IFERROR(__xludf.DUMMYFUNCTION("MIN(index(GOOGLEFINANCE(A172,""ALL"",TODAY()-180,TODAY()),0,5))*1.2"),182.364)</f>
        <v>182.364</v>
      </c>
      <c r="E172" s="62">
        <f>IFERROR(__xludf.DUMMYFUNCTION("AVERAGE(QUERY(SORT(GOOGLEFINANCE(A172,""price"",TODAY()-320,TODAY()),1,0),""select Col2 limit 100""))"),177.39539999999994)</f>
        <v>177.3954</v>
      </c>
      <c r="F172" s="44">
        <f>IFERROR(__xludf.DUMMYFUNCTION("GOOGLEFINANCE(A172,""high52"")"),214.0)</f>
        <v>214</v>
      </c>
      <c r="G172" s="45">
        <f>IFERROR(__xludf.DUMMYFUNCTION("to_date(index(sort(GOOGLEFINANCE(A172, ""high"", today()-52*7, today(), ""DAILY""),2,0),2,1))"),45960.64583333333)</f>
        <v>45960.64583</v>
      </c>
      <c r="H172" s="44">
        <f>IFERROR(__xludf.DUMMYFUNCTION("GOOGLEFINANCE(A172,""low52"")"),150.51)</f>
        <v>150.51</v>
      </c>
      <c r="I172" s="45">
        <f>IFERROR(__xludf.DUMMYFUNCTION("to_date(index(sort(GOOGLEFINANCE(A172, ""low"", today()-52*7, today(), ""DAILY""),2,1),1,1))"),45812.64583333333)</f>
        <v>45812.64583</v>
      </c>
      <c r="J172" s="46" t="str">
        <f t="shared" si="1"/>
        <v>Do Not Buy Today</v>
      </c>
    </row>
    <row r="173">
      <c r="A173" s="73" t="s">
        <v>435</v>
      </c>
      <c r="B173" s="59">
        <f>IFERROR(__xludf.DUMMYFUNCTION("GOOGLEFINANCE(A173,""price"")"),74.3)</f>
        <v>74.3</v>
      </c>
      <c r="C173" s="60">
        <f>IFERROR(__xludf.DUMMYFUNCTION("GOOGLEFINANCE(A173,""closeyest"")"),72.94)</f>
        <v>72.94</v>
      </c>
      <c r="D173" s="61">
        <f>IFERROR(__xludf.DUMMYFUNCTION("MIN(index(GOOGLEFINANCE(A173,""ALL"",TODAY()-180,TODAY()),0,5))*1.2"),73.8)</f>
        <v>73.8</v>
      </c>
      <c r="E173" s="62">
        <f>IFERROR(__xludf.DUMMYFUNCTION("AVERAGE(QUERY(SORT(GOOGLEFINANCE(A173,""price"",TODAY()-320,TODAY()),1,0),""select Col2 limit 100""))"),90.07840000000002)</f>
        <v>90.0784</v>
      </c>
      <c r="F173" s="44">
        <f>IFERROR(__xludf.DUMMYFUNCTION("GOOGLEFINANCE(A173,""high52"")"),118.38)</f>
        <v>118.38</v>
      </c>
      <c r="G173" s="45">
        <f>IFERROR(__xludf.DUMMYFUNCTION("to_date(index(sort(GOOGLEFINANCE(A173, ""high"", today()-52*7, today(), ""DAILY""),2,0),2,1))"),46027.64583333333)</f>
        <v>46027.64583</v>
      </c>
      <c r="H173" s="44">
        <f>IFERROR(__xludf.DUMMYFUNCTION("GOOGLEFINANCE(A173,""low52"")"),61.01)</f>
        <v>61.01</v>
      </c>
      <c r="I173" s="45">
        <f>IFERROR(__xludf.DUMMYFUNCTION("to_date(index(sort(GOOGLEFINANCE(A173, ""low"", today()-52*7, today(), ""DAILY""),2,1),1,1))"),46111.64583333333)</f>
        <v>46111.64583</v>
      </c>
      <c r="J173" s="46" t="str">
        <f t="shared" si="1"/>
        <v>Do Not Buy Today</v>
      </c>
    </row>
    <row r="174">
      <c r="A174" s="73" t="s">
        <v>436</v>
      </c>
      <c r="B174" s="59">
        <f>IFERROR(__xludf.DUMMYFUNCTION("GOOGLEFINANCE(A174,""price"")"),25.44)</f>
        <v>25.44</v>
      </c>
      <c r="C174" s="60">
        <f>IFERROR(__xludf.DUMMYFUNCTION("GOOGLEFINANCE(A174,""closeyest"")"),25.41)</f>
        <v>25.41</v>
      </c>
      <c r="D174" s="61">
        <f>IFERROR(__xludf.DUMMYFUNCTION("MIN(index(GOOGLEFINANCE(A174,""ALL"",TODAY()-180,TODAY()),0,5))*1.2"),26.939999999999998)</f>
        <v>26.94</v>
      </c>
      <c r="E174" s="62">
        <f>IFERROR(__xludf.DUMMYFUNCTION("AVERAGE(QUERY(SORT(GOOGLEFINANCE(A174,""price"",TODAY()-320,TODAY()),1,0),""select Col2 limit 100""))"),27.199099999999994)</f>
        <v>27.1991</v>
      </c>
      <c r="F174" s="44">
        <f>IFERROR(__xludf.DUMMYFUNCTION("GOOGLEFINANCE(A174,""high52"")"),35.08)</f>
        <v>35.08</v>
      </c>
      <c r="G174" s="45">
        <f>IFERROR(__xludf.DUMMYFUNCTION("to_date(index(sort(GOOGLEFINANCE(A174, ""high"", today()-52*7, today(), ""DAILY""),2,0),2,1))"),45810.64583333333)</f>
        <v>45810.64583</v>
      </c>
      <c r="H174" s="44">
        <f>IFERROR(__xludf.DUMMYFUNCTION("GOOGLEFINANCE(A174,""low52"")"),22.22)</f>
        <v>22.22</v>
      </c>
      <c r="I174" s="45">
        <f>IFERROR(__xludf.DUMMYFUNCTION("to_date(index(sort(GOOGLEFINANCE(A174, ""low"", today()-52*7, today(), ""DAILY""),2,1),1,1))"),46111.64583333333)</f>
        <v>46111.64583</v>
      </c>
      <c r="J174" s="46" t="str">
        <f t="shared" si="1"/>
        <v>Do Not Buy Today</v>
      </c>
    </row>
    <row r="175">
      <c r="A175" s="73" t="s">
        <v>214</v>
      </c>
      <c r="B175" s="59">
        <f>IFERROR(__xludf.DUMMYFUNCTION("GOOGLEFINANCE(A175,""price"")"),778.0)</f>
        <v>778</v>
      </c>
      <c r="C175" s="60">
        <f>IFERROR(__xludf.DUMMYFUNCTION("GOOGLEFINANCE(A175,""closeyest"")"),784.7)</f>
        <v>784.7</v>
      </c>
      <c r="D175" s="61">
        <f>IFERROR(__xludf.DUMMYFUNCTION("MIN(index(GOOGLEFINANCE(A175,""ALL"",TODAY()-180,TODAY()),0,5))*1.2"),758.34)</f>
        <v>758.34</v>
      </c>
      <c r="E175" s="62">
        <f>IFERROR(__xludf.DUMMYFUNCTION("AVERAGE(QUERY(SORT(GOOGLEFINANCE(A175,""price"",TODAY()-320,TODAY()),1,0),""select Col2 limit 100""))"),852.7180000000001)</f>
        <v>852.718</v>
      </c>
      <c r="F175" s="44">
        <f>IFERROR(__xludf.DUMMYFUNCTION("GOOGLEFINANCE(A175,""high52"")"),1434.5)</f>
        <v>1434.5</v>
      </c>
      <c r="G175" s="45">
        <f>IFERROR(__xludf.DUMMYFUNCTION("to_date(index(sort(GOOGLEFINANCE(A175, ""high"", today()-52*7, today(), ""DAILY""),2,0),2,1))"),45827.64583333333)</f>
        <v>45827.64583</v>
      </c>
      <c r="H175" s="44">
        <f>IFERROR(__xludf.DUMMYFUNCTION("GOOGLEFINANCE(A175,""low52"")"),624.9)</f>
        <v>624.9</v>
      </c>
      <c r="I175" s="45">
        <f>IFERROR(__xludf.DUMMYFUNCTION("to_date(index(sort(GOOGLEFINANCE(A175, ""low"", today()-52*7, today(), ""DAILY""),2,1),1,1))"),46098.64583333333)</f>
        <v>46098.64583</v>
      </c>
      <c r="J175" s="46" t="str">
        <f t="shared" si="1"/>
        <v>Do Not Buy Today</v>
      </c>
    </row>
    <row r="176">
      <c r="A176" s="73" t="s">
        <v>437</v>
      </c>
      <c r="B176" s="59">
        <f>IFERROR(__xludf.DUMMYFUNCTION("GOOGLEFINANCE(A176,""price"")"),2669.1)</f>
        <v>2669.1</v>
      </c>
      <c r="C176" s="60">
        <f>IFERROR(__xludf.DUMMYFUNCTION("GOOGLEFINANCE(A176,""closeyest"")"),2662.5)</f>
        <v>2662.5</v>
      </c>
      <c r="D176" s="61">
        <f>IFERROR(__xludf.DUMMYFUNCTION("MIN(index(GOOGLEFINANCE(A176,""ALL"",TODAY()-180,TODAY()),0,5))*1.2"),2367.3599999999997)</f>
        <v>2367.36</v>
      </c>
      <c r="E176" s="62">
        <f>IFERROR(__xludf.DUMMYFUNCTION("AVERAGE(QUERY(SORT(GOOGLEFINANCE(A176,""price"",TODAY()-320,TODAY()),1,0),""select Col2 limit 100""))"),2522.500000000001)</f>
        <v>2522.5</v>
      </c>
      <c r="F176" s="44">
        <f>IFERROR(__xludf.DUMMYFUNCTION("GOOGLEFINANCE(A176,""high52"")"),3538.4)</f>
        <v>3538.4</v>
      </c>
      <c r="G176" s="45">
        <f>IFERROR(__xludf.DUMMYFUNCTION("to_date(index(sort(GOOGLEFINANCE(A176, ""high"", today()-52*7, today(), ""DAILY""),2,0),2,1))"),45831.64583333333)</f>
        <v>45831.64583</v>
      </c>
      <c r="H176" s="44">
        <f>IFERROR(__xludf.DUMMYFUNCTION("GOOGLEFINANCE(A176,""low52"")"),1963.7)</f>
        <v>1963.7</v>
      </c>
      <c r="I176" s="45">
        <f>IFERROR(__xludf.DUMMYFUNCTION("to_date(index(sort(GOOGLEFINANCE(A176, ""low"", today()-52*7, today(), ""DAILY""),2,1),1,1))"),46111.64583333333)</f>
        <v>46111.64583</v>
      </c>
      <c r="J176" s="46" t="str">
        <f t="shared" si="1"/>
        <v>Do Not Buy Today</v>
      </c>
    </row>
    <row r="177">
      <c r="A177" s="73" t="s">
        <v>438</v>
      </c>
      <c r="B177" s="59">
        <f>IFERROR(__xludf.DUMMYFUNCTION("GOOGLEFINANCE(A177,""price"")"),1894.0)</f>
        <v>1894</v>
      </c>
      <c r="C177" s="60">
        <f>IFERROR(__xludf.DUMMYFUNCTION("GOOGLEFINANCE(A177,""closeyest"")"),1891.4)</f>
        <v>1891.4</v>
      </c>
      <c r="D177" s="61">
        <f>IFERROR(__xludf.DUMMYFUNCTION("MIN(index(GOOGLEFINANCE(A177,""ALL"",TODAY()-180,TODAY()),0,5))*1.2"),1926.36)</f>
        <v>1926.36</v>
      </c>
      <c r="E177" s="62">
        <f>IFERROR(__xludf.DUMMYFUNCTION("AVERAGE(QUERY(SORT(GOOGLEFINANCE(A177,""price"",TODAY()-320,TODAY()),1,0),""select Col2 limit 100""))"),1796.1230000000007)</f>
        <v>1796.123</v>
      </c>
      <c r="F177" s="44">
        <f>IFERROR(__xludf.DUMMYFUNCTION("GOOGLEFINANCE(A177,""high52"")"),2370.2)</f>
        <v>2370.2</v>
      </c>
      <c r="G177" s="45">
        <f>IFERROR(__xludf.DUMMYFUNCTION("to_date(index(sort(GOOGLEFINANCE(A177, ""high"", today()-52*7, today(), ""DAILY""),2,0),2,1))"),45835.64583333333)</f>
        <v>45835.64583</v>
      </c>
      <c r="H177" s="44">
        <f>IFERROR(__xludf.DUMMYFUNCTION("GOOGLEFINANCE(A177,""low52"")"),1589.0)</f>
        <v>1589</v>
      </c>
      <c r="I177" s="45">
        <f>IFERROR(__xludf.DUMMYFUNCTION("to_date(index(sort(GOOGLEFINANCE(A177, ""low"", today()-52*7, today(), ""DAILY""),2,1),1,1))"),46114.64583333333)</f>
        <v>46114.64583</v>
      </c>
      <c r="J177" s="46" t="str">
        <f t="shared" si="1"/>
        <v>Do Not Buy Today</v>
      </c>
    </row>
    <row r="178">
      <c r="A178" s="73" t="s">
        <v>439</v>
      </c>
      <c r="B178" s="59">
        <f>IFERROR(__xludf.DUMMYFUNCTION("GOOGLEFINANCE(A178,""price"")"),315.4)</f>
        <v>315.4</v>
      </c>
      <c r="C178" s="60">
        <f>IFERROR(__xludf.DUMMYFUNCTION("GOOGLEFINANCE(A178,""closeyest"")"),319.9)</f>
        <v>319.9</v>
      </c>
      <c r="D178" s="61">
        <f>IFERROR(__xludf.DUMMYFUNCTION("MIN(index(GOOGLEFINANCE(A178,""ALL"",TODAY()-180,TODAY()),0,5))*1.2"),328.26)</f>
        <v>328.26</v>
      </c>
      <c r="E178" s="62">
        <f>IFERROR(__xludf.DUMMYFUNCTION("AVERAGE(QUERY(SORT(GOOGLEFINANCE(A178,""price"",TODAY()-320,TODAY()),1,0),""select Col2 limit 100""))"),327.0569999999998)</f>
        <v>327.057</v>
      </c>
      <c r="F178" s="44">
        <f>IFERROR(__xludf.DUMMYFUNCTION("GOOGLEFINANCE(A178,""high52"")"),434.8)</f>
        <v>434.8</v>
      </c>
      <c r="G178" s="45">
        <f>IFERROR(__xludf.DUMMYFUNCTION("to_date(index(sort(GOOGLEFINANCE(A178, ""high"", today()-52*7, today(), ""DAILY""),2,0),2,1))"),45909.64583333333)</f>
        <v>45909.64583</v>
      </c>
      <c r="H178" s="44">
        <f>IFERROR(__xludf.DUMMYFUNCTION("GOOGLEFINANCE(A178,""low52"")"),271.15)</f>
        <v>271.15</v>
      </c>
      <c r="I178" s="45">
        <f>IFERROR(__xludf.DUMMYFUNCTION("to_date(index(sort(GOOGLEFINANCE(A178, ""low"", today()-52*7, today(), ""DAILY""),2,1),1,1))"),46114.64583333333)</f>
        <v>46114.64583</v>
      </c>
      <c r="J178" s="46" t="str">
        <f t="shared" si="1"/>
        <v>Do Not Buy Today</v>
      </c>
    </row>
    <row r="179">
      <c r="A179" s="73" t="s">
        <v>440</v>
      </c>
      <c r="B179" s="59">
        <f>IFERROR(__xludf.DUMMYFUNCTION("GOOGLEFINANCE(A179,""price"")"),779.55)</f>
        <v>779.55</v>
      </c>
      <c r="C179" s="60">
        <f>IFERROR(__xludf.DUMMYFUNCTION("GOOGLEFINANCE(A179,""closeyest"")"),756.5)</f>
        <v>756.5</v>
      </c>
      <c r="D179" s="61">
        <f>IFERROR(__xludf.DUMMYFUNCTION("MIN(index(GOOGLEFINANCE(A179,""ALL"",TODAY()-180,TODAY()),0,5))*1.2"),645.06)</f>
        <v>645.06</v>
      </c>
      <c r="E179" s="62">
        <f>IFERROR(__xludf.DUMMYFUNCTION("AVERAGE(QUERY(SORT(GOOGLEFINANCE(A179,""price"",TODAY()-320,TODAY()),1,0),""select Col2 limit 100""))"),626.7225)</f>
        <v>626.7225</v>
      </c>
      <c r="F179" s="44">
        <f>IFERROR(__xludf.DUMMYFUNCTION("GOOGLEFINANCE(A179,""high52"")"),800.0)</f>
        <v>800</v>
      </c>
      <c r="G179" s="45">
        <f>IFERROR(__xludf.DUMMYFUNCTION("to_date(index(sort(GOOGLEFINANCE(A179, ""high"", today()-52*7, today(), ""DAILY""),2,0),2,1))"),46168.64583333333)</f>
        <v>46168.64583</v>
      </c>
      <c r="H179" s="44">
        <f>IFERROR(__xludf.DUMMYFUNCTION("GOOGLEFINANCE(A179,""low52"")"),432.6)</f>
        <v>432.6</v>
      </c>
      <c r="I179" s="45">
        <f>IFERROR(__xludf.DUMMYFUNCTION("to_date(index(sort(GOOGLEFINANCE(A179, ""low"", today()-52*7, today(), ""DAILY""),2,1),1,1))"),45875.64583333333)</f>
        <v>45875.64583</v>
      </c>
      <c r="J179" s="46" t="str">
        <f t="shared" si="1"/>
        <v>Do Not Buy Today</v>
      </c>
    </row>
    <row r="180">
      <c r="A180" s="73" t="s">
        <v>441</v>
      </c>
      <c r="B180" s="59">
        <f>IFERROR(__xludf.DUMMYFUNCTION("GOOGLEFINANCE(A180,""price"")"),954.55)</f>
        <v>954.55</v>
      </c>
      <c r="C180" s="60">
        <f>IFERROR(__xludf.DUMMYFUNCTION("GOOGLEFINANCE(A180,""closeyest"")"),952.75)</f>
        <v>952.75</v>
      </c>
      <c r="D180" s="61">
        <f>IFERROR(__xludf.DUMMYFUNCTION("MIN(index(GOOGLEFINANCE(A180,""ALL"",TODAY()-180,TODAY()),0,5))*1.2"),1087.98)</f>
        <v>1087.98</v>
      </c>
      <c r="E180" s="62">
        <f>IFERROR(__xludf.DUMMYFUNCTION("AVERAGE(QUERY(SORT(GOOGLEFINANCE(A180,""price"",TODAY()-320,TODAY()),1,0),""select Col2 limit 100""))"),1011.0355000000002)</f>
        <v>1011.0355</v>
      </c>
      <c r="F180" s="44">
        <f>IFERROR(__xludf.DUMMYFUNCTION("GOOGLEFINANCE(A180,""high52"")"),1494.8)</f>
        <v>1494.8</v>
      </c>
      <c r="G180" s="45">
        <f>IFERROR(__xludf.DUMMYFUNCTION("to_date(index(sort(GOOGLEFINANCE(A180, ""high"", today()-52*7, today(), ""DAILY""),2,0),2,1))"),45860.64583333333)</f>
        <v>45860.64583</v>
      </c>
      <c r="H180" s="44">
        <f>IFERROR(__xludf.DUMMYFUNCTION("GOOGLEFINANCE(A180,""low52"")"),896.5)</f>
        <v>896.5</v>
      </c>
      <c r="I180" s="45">
        <f>IFERROR(__xludf.DUMMYFUNCTION("to_date(index(sort(GOOGLEFINANCE(A180, ""low"", today()-52*7, today(), ""DAILY""),2,1),1,1))"),46104.64583333333)</f>
        <v>46104.64583</v>
      </c>
      <c r="J180" s="46" t="str">
        <f t="shared" si="1"/>
        <v>Do Not Buy Today</v>
      </c>
    </row>
    <row r="181">
      <c r="A181" s="73" t="s">
        <v>442</v>
      </c>
      <c r="B181" s="59">
        <f>IFERROR(__xludf.DUMMYFUNCTION("GOOGLEFINANCE(A181,""price"")"),31.65)</f>
        <v>31.65</v>
      </c>
      <c r="C181" s="60">
        <f>IFERROR(__xludf.DUMMYFUNCTION("GOOGLEFINANCE(A181,""closeyest"")"),31.46)</f>
        <v>31.46</v>
      </c>
      <c r="D181" s="61">
        <f>IFERROR(__xludf.DUMMYFUNCTION("MIN(index(GOOGLEFINANCE(A181,""ALL"",TODAY()-180,TODAY()),0,5))*1.2"),33.024)</f>
        <v>33.024</v>
      </c>
      <c r="E181" s="62">
        <f>IFERROR(__xludf.DUMMYFUNCTION("AVERAGE(QUERY(SORT(GOOGLEFINANCE(A181,""price"",TODAY()-320,TODAY()),1,0),""select Col2 limit 100""))"),35.400699999999986)</f>
        <v>35.4007</v>
      </c>
      <c r="F181" s="44">
        <f>IFERROR(__xludf.DUMMYFUNCTION("GOOGLEFINANCE(A181,""high52"")"),65.29)</f>
        <v>65.29</v>
      </c>
      <c r="G181" s="45">
        <f>IFERROR(__xludf.DUMMYFUNCTION("to_date(index(sort(GOOGLEFINANCE(A181, ""high"", today()-52*7, today(), ""DAILY""),2,0),2,1))"),45854.64583333333)</f>
        <v>45854.64583</v>
      </c>
      <c r="H181" s="44">
        <f>IFERROR(__xludf.DUMMYFUNCTION("GOOGLEFINANCE(A181,""low52"")"),27.38)</f>
        <v>27.38</v>
      </c>
      <c r="I181" s="45">
        <f>IFERROR(__xludf.DUMMYFUNCTION("to_date(index(sort(GOOGLEFINANCE(A181, ""low"", today()-52*7, today(), ""DAILY""),2,1),1,1))"),46111.64583333333)</f>
        <v>46111.64583</v>
      </c>
      <c r="J181" s="46" t="str">
        <f t="shared" si="1"/>
        <v>Do Not Buy Today</v>
      </c>
    </row>
    <row r="182">
      <c r="A182" s="73" t="s">
        <v>443</v>
      </c>
      <c r="B182" s="59">
        <f>IFERROR(__xludf.DUMMYFUNCTION("GOOGLEFINANCE(A182,""price"")"),122.0)</f>
        <v>122</v>
      </c>
      <c r="C182" s="60">
        <f>IFERROR(__xludf.DUMMYFUNCTION("GOOGLEFINANCE(A182,""closeyest"")"),117.83)</f>
        <v>117.83</v>
      </c>
      <c r="D182" s="61">
        <f>IFERROR(__xludf.DUMMYFUNCTION("MIN(index(GOOGLEFINANCE(A182,""ALL"",TODAY()-180,TODAY()),0,5))*1.2"),100.764)</f>
        <v>100.764</v>
      </c>
      <c r="E182" s="62">
        <f>IFERROR(__xludf.DUMMYFUNCTION("AVERAGE(QUERY(SORT(GOOGLEFINANCE(A182,""price"",TODAY()-320,TODAY()),1,0),""select Col2 limit 100""))"),110.74910000000001)</f>
        <v>110.7491</v>
      </c>
      <c r="F182" s="44">
        <f>IFERROR(__xludf.DUMMYFUNCTION("GOOGLEFINANCE(A182,""high52"")"),217.29)</f>
        <v>217.29</v>
      </c>
      <c r="G182" s="45">
        <f>IFERROR(__xludf.DUMMYFUNCTION("to_date(index(sort(GOOGLEFINANCE(A182, ""high"", today()-52*7, today(), ""DAILY""),2,0),2,1))"),45847.64583333333)</f>
        <v>45847.64583</v>
      </c>
      <c r="H182" s="44">
        <f>IFERROR(__xludf.DUMMYFUNCTION("GOOGLEFINANCE(A182,""low52"")"),83.5)</f>
        <v>83.5</v>
      </c>
      <c r="I182" s="45">
        <f>IFERROR(__xludf.DUMMYFUNCTION("to_date(index(sort(GOOGLEFINANCE(A182, ""low"", today()-52*7, today(), ""DAILY""),2,1),1,1))"),46111.64583333333)</f>
        <v>46111.64583</v>
      </c>
      <c r="J182" s="46" t="str">
        <f t="shared" si="1"/>
        <v>Do Not Buy Today</v>
      </c>
    </row>
    <row r="183">
      <c r="A183" s="73" t="s">
        <v>444</v>
      </c>
      <c r="B183" s="59">
        <f>IFERROR(__xludf.DUMMYFUNCTION("GOOGLEFINANCE(A183,""price"")"),2327.4)</f>
        <v>2327.4</v>
      </c>
      <c r="C183" s="60">
        <f>IFERROR(__xludf.DUMMYFUNCTION("GOOGLEFINANCE(A183,""closeyest"")"),2298.4)</f>
        <v>2298.4</v>
      </c>
      <c r="D183" s="61">
        <f>IFERROR(__xludf.DUMMYFUNCTION("MIN(index(GOOGLEFINANCE(A183,""ALL"",TODAY()-180,TODAY()),0,5))*1.2"),2212.7999999999997)</f>
        <v>2212.8</v>
      </c>
      <c r="E183" s="62">
        <f>IFERROR(__xludf.DUMMYFUNCTION("AVERAGE(QUERY(SORT(GOOGLEFINANCE(A183,""price"",TODAY()-320,TODAY()),1,0),""select Col2 limit 100""))"),2178.4179999999997)</f>
        <v>2178.418</v>
      </c>
      <c r="F183" s="44">
        <f>IFERROR(__xludf.DUMMYFUNCTION("GOOGLEFINANCE(A183,""high52"")"),3947.0)</f>
        <v>3947</v>
      </c>
      <c r="G183" s="45">
        <f>IFERROR(__xludf.DUMMYFUNCTION("to_date(index(sort(GOOGLEFINANCE(A183, ""high"", today()-52*7, today(), ""DAILY""),2,0),2,1))"),45916.64583333333)</f>
        <v>45916.64583</v>
      </c>
      <c r="H183" s="44">
        <f>IFERROR(__xludf.DUMMYFUNCTION("GOOGLEFINANCE(A183,""low52"")"),1832.1)</f>
        <v>1832.1</v>
      </c>
      <c r="I183" s="45">
        <f>IFERROR(__xludf.DUMMYFUNCTION("to_date(index(sort(GOOGLEFINANCE(A183, ""low"", today()-52*7, today(), ""DAILY""),2,1),1,1))"),46104.64583333333)</f>
        <v>46104.64583</v>
      </c>
      <c r="J183" s="46" t="str">
        <f t="shared" si="1"/>
        <v>Do Not Buy Today</v>
      </c>
    </row>
    <row r="184">
      <c r="A184" s="73" t="s">
        <v>445</v>
      </c>
      <c r="B184" s="59">
        <f>IFERROR(__xludf.DUMMYFUNCTION("GOOGLEFINANCE(A184,""price"")"),1958.1)</f>
        <v>1958.1</v>
      </c>
      <c r="C184" s="60">
        <f>IFERROR(__xludf.DUMMYFUNCTION("GOOGLEFINANCE(A184,""closeyest"")"),1977.4)</f>
        <v>1977.4</v>
      </c>
      <c r="D184" s="61">
        <f>IFERROR(__xludf.DUMMYFUNCTION("MIN(index(GOOGLEFINANCE(A184,""ALL"",TODAY()-180,TODAY()),0,5))*1.2"),1552.0800000000002)</f>
        <v>1552.08</v>
      </c>
      <c r="E184" s="62">
        <f>IFERROR(__xludf.DUMMYFUNCTION("AVERAGE(QUERY(SORT(GOOGLEFINANCE(A184,""price"",TODAY()-320,TODAY()),1,0),""select Col2 limit 100""))"),1520.9850000000008)</f>
        <v>1520.985</v>
      </c>
      <c r="F184" s="44">
        <f>IFERROR(__xludf.DUMMYFUNCTION("GOOGLEFINANCE(A184,""high52"")"),2049.0)</f>
        <v>2049</v>
      </c>
      <c r="G184" s="45">
        <f>IFERROR(__xludf.DUMMYFUNCTION("to_date(index(sort(GOOGLEFINANCE(A184, ""high"", today()-52*7, today(), ""DAILY""),2,0),2,1))"),46156.64583333333)</f>
        <v>46156.64583</v>
      </c>
      <c r="H184" s="44">
        <f>IFERROR(__xludf.DUMMYFUNCTION("GOOGLEFINANCE(A184,""low52"")"),1165.0)</f>
        <v>1165</v>
      </c>
      <c r="I184" s="45">
        <f>IFERROR(__xludf.DUMMYFUNCTION("to_date(index(sort(GOOGLEFINANCE(A184, ""low"", today()-52*7, today(), ""DAILY""),2,1),1,1))"),45898.64583333333)</f>
        <v>45898.64583</v>
      </c>
      <c r="J184" s="46" t="str">
        <f t="shared" si="1"/>
        <v>Do Not Buy Today</v>
      </c>
    </row>
    <row r="185">
      <c r="A185" s="73" t="s">
        <v>446</v>
      </c>
      <c r="B185" s="59">
        <f>IFERROR(__xludf.DUMMYFUNCTION("GOOGLEFINANCE(A185,""price"")"),535.5)</f>
        <v>535.5</v>
      </c>
      <c r="C185" s="60">
        <f>IFERROR(__xludf.DUMMYFUNCTION("GOOGLEFINANCE(A185,""closeyest"")"),532.9)</f>
        <v>532.9</v>
      </c>
      <c r="D185" s="61">
        <f>IFERROR(__xludf.DUMMYFUNCTION("MIN(index(GOOGLEFINANCE(A185,""ALL"",TODAY()-180,TODAY()),0,5))*1.2"),554.88)</f>
        <v>554.88</v>
      </c>
      <c r="E185" s="62">
        <f>IFERROR(__xludf.DUMMYFUNCTION("AVERAGE(QUERY(SORT(GOOGLEFINANCE(A185,""price"",TODAY()-320,TODAY()),1,0),""select Col2 limit 100""))"),531.2875)</f>
        <v>531.2875</v>
      </c>
      <c r="F185" s="44">
        <f>IFERROR(__xludf.DUMMYFUNCTION("GOOGLEFINANCE(A185,""high52"")"),639.75)</f>
        <v>639.75</v>
      </c>
      <c r="G185" s="45">
        <f>IFERROR(__xludf.DUMMYFUNCTION("to_date(index(sort(GOOGLEFINANCE(A185, ""high"", today()-52*7, today(), ""DAILY""),2,0),2,1))"),45916.64583333333)</f>
        <v>45916.64583</v>
      </c>
      <c r="H185" s="44">
        <f>IFERROR(__xludf.DUMMYFUNCTION("GOOGLEFINANCE(A185,""low52"")"),420.75)</f>
        <v>420.75</v>
      </c>
      <c r="I185" s="45">
        <f>IFERROR(__xludf.DUMMYFUNCTION("to_date(index(sort(GOOGLEFINANCE(A185, ""low"", today()-52*7, today(), ""DAILY""),2,1),1,1))"),45831.64583333333)</f>
        <v>45831.64583</v>
      </c>
      <c r="J185" s="46" t="str">
        <f t="shared" si="1"/>
        <v>Do Not Buy Today</v>
      </c>
    </row>
    <row r="186">
      <c r="A186" s="73" t="s">
        <v>447</v>
      </c>
      <c r="B186" s="59">
        <f>IFERROR(__xludf.DUMMYFUNCTION("GOOGLEFINANCE(A186,""price"")"),544.15)</f>
        <v>544.15</v>
      </c>
      <c r="C186" s="60">
        <f>IFERROR(__xludf.DUMMYFUNCTION("GOOGLEFINANCE(A186,""closeyest"")"),540.85)</f>
        <v>540.85</v>
      </c>
      <c r="D186" s="61">
        <f>IFERROR(__xludf.DUMMYFUNCTION("MIN(index(GOOGLEFINANCE(A186,""ALL"",TODAY()-180,TODAY()),0,5))*1.2"),506.09999999999997)</f>
        <v>506.1</v>
      </c>
      <c r="E186" s="62">
        <f>IFERROR(__xludf.DUMMYFUNCTION("AVERAGE(QUERY(SORT(GOOGLEFINANCE(A186,""price"",TODAY()-320,TODAY()),1,0),""select Col2 limit 100""))"),478.56699999999984)</f>
        <v>478.567</v>
      </c>
      <c r="F186" s="44">
        <f>IFERROR(__xludf.DUMMYFUNCTION("GOOGLEFINANCE(A186,""high52"")"),600.0)</f>
        <v>600</v>
      </c>
      <c r="G186" s="45">
        <f>IFERROR(__xludf.DUMMYFUNCTION("to_date(index(sort(GOOGLEFINANCE(A186, ""high"", today()-52*7, today(), ""DAILY""),2,0),2,1))"),46156.64583333333)</f>
        <v>46156.64583</v>
      </c>
      <c r="H186" s="44">
        <f>IFERROR(__xludf.DUMMYFUNCTION("GOOGLEFINANCE(A186,""low52"")"),411.25)</f>
        <v>411.25</v>
      </c>
      <c r="I186" s="45">
        <f>IFERROR(__xludf.DUMMYFUNCTION("to_date(index(sort(GOOGLEFINANCE(A186, ""low"", today()-52*7, today(), ""DAILY""),2,1),1,1))"),45814.64583333333)</f>
        <v>45814.64583</v>
      </c>
      <c r="J186" s="46" t="str">
        <f t="shared" si="1"/>
        <v>Do Not Buy Today</v>
      </c>
    </row>
    <row r="187">
      <c r="A187" s="73" t="s">
        <v>218</v>
      </c>
      <c r="B187" s="59">
        <f>IFERROR(__xludf.DUMMYFUNCTION("GOOGLEFINANCE(A187,""price"")"),303.45)</f>
        <v>303.45</v>
      </c>
      <c r="C187" s="60">
        <f>IFERROR(__xludf.DUMMYFUNCTION("GOOGLEFINANCE(A187,""closeyest"")"),305.1)</f>
        <v>305.1</v>
      </c>
      <c r="D187" s="61">
        <f>IFERROR(__xludf.DUMMYFUNCTION("MIN(index(GOOGLEFINANCE(A187,""ALL"",TODAY()-180,TODAY()),0,5))*1.2"),333.0)</f>
        <v>333</v>
      </c>
      <c r="E187" s="62">
        <f>IFERROR(__xludf.DUMMYFUNCTION("AVERAGE(QUERY(SORT(GOOGLEFINANCE(A187,""price"",TODAY()-320,TODAY()),1,0),""select Col2 limit 100""))"),340.92550000000017)</f>
        <v>340.9255</v>
      </c>
      <c r="F187" s="44">
        <f>IFERROR(__xludf.DUMMYFUNCTION("GOOGLEFINANCE(A187,""high52"")"),412.2)</f>
        <v>412.2</v>
      </c>
      <c r="G187" s="45">
        <f>IFERROR(__xludf.DUMMYFUNCTION("to_date(index(sort(GOOGLEFINANCE(A187, ""high"", today()-52*7, today(), ""DAILY""),2,0),2,1))"),46014.64583333333)</f>
        <v>46014.64583</v>
      </c>
      <c r="H187" s="44">
        <f>IFERROR(__xludf.DUMMYFUNCTION("GOOGLEFINANCE(A187,""low52"")"),246.35)</f>
        <v>246.35</v>
      </c>
      <c r="I187" s="45">
        <f>IFERROR(__xludf.DUMMYFUNCTION("to_date(index(sort(GOOGLEFINANCE(A187, ""low"", today()-52*7, today(), ""DAILY""),2,1),1,1))"),45867.64583333333)</f>
        <v>45867.64583</v>
      </c>
      <c r="J187" s="46" t="str">
        <f t="shared" si="1"/>
        <v>Do Not Buy Today</v>
      </c>
    </row>
    <row r="188">
      <c r="A188" s="73" t="s">
        <v>448</v>
      </c>
      <c r="B188" s="59">
        <f>IFERROR(__xludf.DUMMYFUNCTION("GOOGLEFINANCE(A188,""price"")"),1104.9)</f>
        <v>1104.9</v>
      </c>
      <c r="C188" s="60">
        <f>IFERROR(__xludf.DUMMYFUNCTION("GOOGLEFINANCE(A188,""closeyest"")"),1086.9)</f>
        <v>1086.9</v>
      </c>
      <c r="D188" s="61">
        <f>IFERROR(__xludf.DUMMYFUNCTION("MIN(index(GOOGLEFINANCE(A188,""ALL"",TODAY()-180,TODAY()),0,5))*1.2"),1085.76)</f>
        <v>1085.76</v>
      </c>
      <c r="E188" s="62">
        <f>IFERROR(__xludf.DUMMYFUNCTION("AVERAGE(QUERY(SORT(GOOGLEFINANCE(A188,""price"",TODAY()-320,TODAY()),1,0),""select Col2 limit 100""))"),1097.2625)</f>
        <v>1097.2625</v>
      </c>
      <c r="F188" s="44">
        <f>IFERROR(__xludf.DUMMYFUNCTION("GOOGLEFINANCE(A188,""high52"")"),1519.0)</f>
        <v>1519</v>
      </c>
      <c r="G188" s="45">
        <f>IFERROR(__xludf.DUMMYFUNCTION("to_date(index(sort(GOOGLEFINANCE(A188, ""high"", today()-52*7, today(), ""DAILY""),2,0),2,1))"),45863.64583333333)</f>
        <v>45863.64583</v>
      </c>
      <c r="H188" s="44">
        <f>IFERROR(__xludf.DUMMYFUNCTION("GOOGLEFINANCE(A188,""low52"")"),893.7)</f>
        <v>893.7</v>
      </c>
      <c r="I188" s="45">
        <f>IFERROR(__xludf.DUMMYFUNCTION("to_date(index(sort(GOOGLEFINANCE(A188, ""low"", today()-52*7, today(), ""DAILY""),2,1),1,1))"),46111.64583333333)</f>
        <v>46111.64583</v>
      </c>
      <c r="J188" s="46" t="str">
        <f t="shared" si="1"/>
        <v>Buy Today</v>
      </c>
    </row>
    <row r="189">
      <c r="A189" s="73" t="s">
        <v>449</v>
      </c>
      <c r="B189" s="59">
        <f>IFERROR(__xludf.DUMMYFUNCTION("GOOGLEFINANCE(A189,""price"")"),1243.8)</f>
        <v>1243.8</v>
      </c>
      <c r="C189" s="60">
        <f>IFERROR(__xludf.DUMMYFUNCTION("GOOGLEFINANCE(A189,""closeyest"")"),1226.3)</f>
        <v>1226.3</v>
      </c>
      <c r="D189" s="61">
        <f>IFERROR(__xludf.DUMMYFUNCTION("MIN(index(GOOGLEFINANCE(A189,""ALL"",TODAY()-180,TODAY()),0,5))*1.2"),1343.28)</f>
        <v>1343.28</v>
      </c>
      <c r="E189" s="62">
        <f>IFERROR(__xludf.DUMMYFUNCTION("AVERAGE(QUERY(SORT(GOOGLEFINANCE(A189,""price"",TODAY()-320,TODAY()),1,0),""select Col2 limit 100""))"),1300.3280000000004)</f>
        <v>1300.328</v>
      </c>
      <c r="F189" s="44">
        <f>IFERROR(__xludf.DUMMYFUNCTION("GOOGLEFINANCE(A189,""high52"")"),1828.9)</f>
        <v>1828.9</v>
      </c>
      <c r="G189" s="45">
        <f>IFERROR(__xludf.DUMMYFUNCTION("to_date(index(sort(GOOGLEFINANCE(A189, ""high"", today()-52*7, today(), ""DAILY""),2,0),2,1))"),45818.64583333333)</f>
        <v>45818.64583</v>
      </c>
      <c r="H189" s="44">
        <f>IFERROR(__xludf.DUMMYFUNCTION("GOOGLEFINANCE(A189,""low52"")"),1116.3)</f>
        <v>1116.3</v>
      </c>
      <c r="I189" s="45">
        <f>IFERROR(__xludf.DUMMYFUNCTION("to_date(index(sort(GOOGLEFINANCE(A189, ""low"", today()-52*7, today(), ""DAILY""),2,1),1,1))"),46111.64583333333)</f>
        <v>46111.64583</v>
      </c>
      <c r="J189" s="46" t="str">
        <f t="shared" si="1"/>
        <v>Do Not Buy Today</v>
      </c>
    </row>
    <row r="190">
      <c r="A190" s="73" t="s">
        <v>450</v>
      </c>
      <c r="B190" s="59">
        <f>IFERROR(__xludf.DUMMYFUNCTION("GOOGLEFINANCE(A190,""price"")"),1138.1)</f>
        <v>1138.1</v>
      </c>
      <c r="C190" s="60">
        <f>IFERROR(__xludf.DUMMYFUNCTION("GOOGLEFINANCE(A190,""closeyest"")"),1138.8)</f>
        <v>1138.8</v>
      </c>
      <c r="D190" s="61">
        <f>IFERROR(__xludf.DUMMYFUNCTION("MIN(index(GOOGLEFINANCE(A190,""ALL"",TODAY()-180,TODAY()),0,5))*1.2"),1217.76)</f>
        <v>1217.76</v>
      </c>
      <c r="E190" s="62">
        <f>IFERROR(__xludf.DUMMYFUNCTION("AVERAGE(QUERY(SORT(GOOGLEFINANCE(A190,""price"",TODAY()-320,TODAY()),1,0),""select Col2 limit 100""))"),1171.721)</f>
        <v>1171.721</v>
      </c>
      <c r="F190" s="44">
        <f>IFERROR(__xludf.DUMMYFUNCTION("GOOGLEFINANCE(A190,""high52"")"),2150.4)</f>
        <v>2150.4</v>
      </c>
      <c r="G190" s="45">
        <f>IFERROR(__xludf.DUMMYFUNCTION("to_date(index(sort(GOOGLEFINANCE(A190, ""high"", today()-52*7, today(), ""DAILY""),2,0),2,1))"),45819.64583333333)</f>
        <v>45819.64583</v>
      </c>
      <c r="H190" s="44">
        <f>IFERROR(__xludf.DUMMYFUNCTION("GOOGLEFINANCE(A190,""low52"")"),987.0)</f>
        <v>987</v>
      </c>
      <c r="I190" s="45">
        <f>IFERROR(__xludf.DUMMYFUNCTION("to_date(index(sort(GOOGLEFINANCE(A190, ""low"", today()-52*7, today(), ""DAILY""),2,1),1,1))"),46114.64583333333)</f>
        <v>46114.64583</v>
      </c>
      <c r="J190" s="46" t="str">
        <f t="shared" si="1"/>
        <v>Do Not Buy Today</v>
      </c>
    </row>
    <row r="191">
      <c r="A191" s="73" t="s">
        <v>220</v>
      </c>
      <c r="B191" s="59">
        <f>IFERROR(__xludf.DUMMYFUNCTION("GOOGLEFINANCE(A191,""price"")"),1447.7)</f>
        <v>1447.7</v>
      </c>
      <c r="C191" s="60">
        <f>IFERROR(__xludf.DUMMYFUNCTION("GOOGLEFINANCE(A191,""closeyest"")"),1461.2)</f>
        <v>1461.2</v>
      </c>
      <c r="D191" s="61">
        <f>IFERROR(__xludf.DUMMYFUNCTION("MIN(index(GOOGLEFINANCE(A191,""ALL"",TODAY()-180,TODAY()),0,5))*1.2"),1346.04)</f>
        <v>1346.04</v>
      </c>
      <c r="E191" s="62">
        <f>IFERROR(__xludf.DUMMYFUNCTION("AVERAGE(QUERY(SORT(GOOGLEFINANCE(A191,""price"",TODAY()-320,TODAY()),1,0),""select Col2 limit 100""))"),1287.6609999999996)</f>
        <v>1287.661</v>
      </c>
      <c r="F191" s="44">
        <f>IFERROR(__xludf.DUMMYFUNCTION("GOOGLEFINANCE(A191,""high52"")"),1550.0)</f>
        <v>1550</v>
      </c>
      <c r="G191" s="45">
        <f>IFERROR(__xludf.DUMMYFUNCTION("to_date(index(sort(GOOGLEFINANCE(A191, ""high"", today()-52*7, today(), ""DAILY""),2,0),2,1))"),46163.64583333333)</f>
        <v>46163.64583</v>
      </c>
      <c r="H191" s="44">
        <f>IFERROR(__xludf.DUMMYFUNCTION("GOOGLEFINANCE(A191,""low52"")"),1016.1)</f>
        <v>1016.1</v>
      </c>
      <c r="I191" s="45">
        <f>IFERROR(__xludf.DUMMYFUNCTION("to_date(index(sort(GOOGLEFINANCE(A191, ""low"", today()-52*7, today(), ""DAILY""),2,1),1,1))"),45901.64583333333)</f>
        <v>45901.64583</v>
      </c>
      <c r="J191" s="46" t="str">
        <f t="shared" si="1"/>
        <v>Do Not Buy Today</v>
      </c>
    </row>
    <row r="192">
      <c r="A192" s="73" t="s">
        <v>451</v>
      </c>
      <c r="B192" s="59">
        <f>IFERROR(__xludf.DUMMYFUNCTION("GOOGLEFINANCE(A192,""price"")"),327.75)</f>
        <v>327.75</v>
      </c>
      <c r="C192" s="60">
        <f>IFERROR(__xludf.DUMMYFUNCTION("GOOGLEFINANCE(A192,""closeyest"")"),330.25)</f>
        <v>330.25</v>
      </c>
      <c r="D192" s="61">
        <f>IFERROR(__xludf.DUMMYFUNCTION("MIN(index(GOOGLEFINANCE(A192,""ALL"",TODAY()-180,TODAY()),0,5))*1.2"),301.32)</f>
        <v>301.32</v>
      </c>
      <c r="E192" s="62">
        <f>IFERROR(__xludf.DUMMYFUNCTION("AVERAGE(QUERY(SORT(GOOGLEFINANCE(A192,""price"",TODAY()-320,TODAY()),1,0),""select Col2 limit 100""))"),291.166)</f>
        <v>291.166</v>
      </c>
      <c r="F192" s="44">
        <f>IFERROR(__xludf.DUMMYFUNCTION("GOOGLEFINANCE(A192,""high52"")"),334.0)</f>
        <v>334</v>
      </c>
      <c r="G192" s="45">
        <f>IFERROR(__xludf.DUMMYFUNCTION("to_date(index(sort(GOOGLEFINANCE(A192, ""high"", today()-52*7, today(), ""DAILY""),2,0),2,1))"),46167.64583333333)</f>
        <v>46167.64583</v>
      </c>
      <c r="H192" s="44">
        <f>IFERROR(__xludf.DUMMYFUNCTION("GOOGLEFINANCE(A192,""low52"")"),230.03)</f>
        <v>230.03</v>
      </c>
      <c r="I192" s="45">
        <f>IFERROR(__xludf.DUMMYFUNCTION("to_date(index(sort(GOOGLEFINANCE(A192, ""low"", today()-52*7, today(), ""DAILY""),2,1),1,1))"),45812.64583333333)</f>
        <v>45812.64583</v>
      </c>
      <c r="J192" s="46" t="str">
        <f t="shared" si="1"/>
        <v>Do Not Buy Today</v>
      </c>
    </row>
    <row r="193">
      <c r="A193" s="73" t="s">
        <v>452</v>
      </c>
      <c r="B193" s="59">
        <f>IFERROR(__xludf.DUMMYFUNCTION("GOOGLEFINANCE(A193,""price"")"),8123.0)</f>
        <v>8123</v>
      </c>
      <c r="C193" s="60">
        <f>IFERROR(__xludf.DUMMYFUNCTION("GOOGLEFINANCE(A193,""closeyest"")"),7891.0)</f>
        <v>7891</v>
      </c>
      <c r="D193" s="61">
        <f>IFERROR(__xludf.DUMMYFUNCTION("MIN(index(GOOGLEFINANCE(A193,""ALL"",TODAY()-180,TODAY()),0,5))*1.2"),8704.199999999999)</f>
        <v>8704.2</v>
      </c>
      <c r="E193" s="62">
        <f>IFERROR(__xludf.DUMMYFUNCTION("AVERAGE(QUERY(SORT(GOOGLEFINANCE(A193,""price"",TODAY()-320,TODAY()),1,0),""select Col2 limit 100""))"),8077.505)</f>
        <v>8077.505</v>
      </c>
      <c r="F193" s="44">
        <f>IFERROR(__xludf.DUMMYFUNCTION("GOOGLEFINANCE(A193,""high52"")"),11500.0)</f>
        <v>11500</v>
      </c>
      <c r="G193" s="45">
        <f>IFERROR(__xludf.DUMMYFUNCTION("to_date(index(sort(GOOGLEFINANCE(A193, ""high"", today()-52*7, today(), ""DAILY""),2,0),2,1))"),45853.64583333333)</f>
        <v>45853.64583</v>
      </c>
      <c r="H193" s="44">
        <f>IFERROR(__xludf.DUMMYFUNCTION("GOOGLEFINANCE(A193,""low52"")"),7206.0)</f>
        <v>7206</v>
      </c>
      <c r="I193" s="45">
        <f>IFERROR(__xludf.DUMMYFUNCTION("to_date(index(sort(GOOGLEFINANCE(A193, ""low"", today()-52*7, today(), ""DAILY""),2,1),1,1))"),46111.64583333333)</f>
        <v>46111.64583</v>
      </c>
      <c r="J193" s="46" t="str">
        <f t="shared" si="1"/>
        <v>Do Not Buy Today</v>
      </c>
    </row>
    <row r="194">
      <c r="A194" s="73" t="s">
        <v>453</v>
      </c>
      <c r="B194" s="59">
        <f>IFERROR(__xludf.DUMMYFUNCTION("GOOGLEFINANCE(A194,""price"")"),914.15)</f>
        <v>914.15</v>
      </c>
      <c r="C194" s="60">
        <f>IFERROR(__xludf.DUMMYFUNCTION("GOOGLEFINANCE(A194,""closeyest"")"),891.6)</f>
        <v>891.6</v>
      </c>
      <c r="D194" s="61">
        <f>IFERROR(__xludf.DUMMYFUNCTION("MIN(index(GOOGLEFINANCE(A194,""ALL"",TODAY()-180,TODAY()),0,5))*1.2"),941.28)</f>
        <v>941.28</v>
      </c>
      <c r="E194" s="62">
        <f>IFERROR(__xludf.DUMMYFUNCTION("AVERAGE(QUERY(SORT(GOOGLEFINANCE(A194,""price"",TODAY()-320,TODAY()),1,0),""select Col2 limit 100""))"),894.1245000000004)</f>
        <v>894.1245</v>
      </c>
      <c r="F194" s="44">
        <f>IFERROR(__xludf.DUMMYFUNCTION("GOOGLEFINANCE(A194,""high52"")"),1074.0)</f>
        <v>1074</v>
      </c>
      <c r="G194" s="45">
        <f>IFERROR(__xludf.DUMMYFUNCTION("to_date(index(sort(GOOGLEFINANCE(A194, ""high"", today()-52*7, today(), ""DAILY""),2,0),2,1))"),45985.64583333333)</f>
        <v>45985.64583</v>
      </c>
      <c r="H194" s="44">
        <f>IFERROR(__xludf.DUMMYFUNCTION("GOOGLEFINANCE(A194,""low52"")"),688.3)</f>
        <v>688.3</v>
      </c>
      <c r="I194" s="45">
        <f>IFERROR(__xludf.DUMMYFUNCTION("to_date(index(sort(GOOGLEFINANCE(A194, ""low"", today()-52*7, today(), ""DAILY""),2,1),1,1))"),45832.64583333333)</f>
        <v>45832.64583</v>
      </c>
      <c r="J194" s="46" t="str">
        <f t="shared" si="1"/>
        <v>Do Not Buy Today</v>
      </c>
    </row>
    <row r="195">
      <c r="A195" s="73" t="s">
        <v>222</v>
      </c>
      <c r="B195" s="59">
        <f>IFERROR(__xludf.DUMMYFUNCTION("GOOGLEFINANCE(A195,""price"")"),168.96)</f>
        <v>168.96</v>
      </c>
      <c r="C195" s="60">
        <f>IFERROR(__xludf.DUMMYFUNCTION("GOOGLEFINANCE(A195,""closeyest"")"),167.56)</f>
        <v>167.56</v>
      </c>
      <c r="D195" s="61">
        <f>IFERROR(__xludf.DUMMYFUNCTION("MIN(index(GOOGLEFINANCE(A195,""ALL"",TODAY()-180,TODAY()),0,5))*1.2"),177.672)</f>
        <v>177.672</v>
      </c>
      <c r="E195" s="62">
        <f>IFERROR(__xludf.DUMMYFUNCTION("AVERAGE(QUERY(SORT(GOOGLEFINANCE(A195,""price"",TODAY()-320,TODAY()),1,0),""select Col2 limit 100""))"),175.40030000000002)</f>
        <v>175.4003</v>
      </c>
      <c r="F195" s="44">
        <f>IFERROR(__xludf.DUMMYFUNCTION("GOOGLEFINANCE(A195,""high52"")"),205.49)</f>
        <v>205.49</v>
      </c>
      <c r="G195" s="45">
        <f>IFERROR(__xludf.DUMMYFUNCTION("to_date(index(sort(GOOGLEFINANCE(A195, ""high"", today()-52*7, today(), ""DAILY""),2,0),2,1))"),46080.64583333333)</f>
        <v>46080.64583</v>
      </c>
      <c r="H195" s="44">
        <f>IFERROR(__xludf.DUMMYFUNCTION("GOOGLEFINANCE(A195,""low52"")"),124.64)</f>
        <v>124.64</v>
      </c>
      <c r="I195" s="45">
        <f>IFERROR(__xludf.DUMMYFUNCTION("to_date(index(sort(GOOGLEFINANCE(A195, ""low"", today()-52*7, today(), ""DAILY""),2,1),1,1))"),45898.64583333333)</f>
        <v>45898.64583</v>
      </c>
      <c r="J195" s="46" t="str">
        <f t="shared" si="1"/>
        <v>Do Not Buy Today</v>
      </c>
    </row>
    <row r="196">
      <c r="A196" s="73" t="s">
        <v>454</v>
      </c>
      <c r="B196" s="59">
        <f>IFERROR(__xludf.DUMMYFUNCTION("GOOGLEFINANCE(A196,""price"")"),5342.5)</f>
        <v>5342.5</v>
      </c>
      <c r="C196" s="60">
        <f>IFERROR(__xludf.DUMMYFUNCTION("GOOGLEFINANCE(A196,""closeyest"")"),5315.0)</f>
        <v>5315</v>
      </c>
      <c r="D196" s="61">
        <f>IFERROR(__xludf.DUMMYFUNCTION("MIN(index(GOOGLEFINANCE(A196,""ALL"",TODAY()-180,TODAY()),0,5))*1.2"),5854.2)</f>
        <v>5854.2</v>
      </c>
      <c r="E196" s="62">
        <f>IFERROR(__xludf.DUMMYFUNCTION("AVERAGE(QUERY(SORT(GOOGLEFINANCE(A196,""price"",TODAY()-320,TODAY()),1,0),""select Col2 limit 100""))"),5524.92)</f>
        <v>5524.92</v>
      </c>
      <c r="F196" s="44">
        <f>IFERROR(__xludf.DUMMYFUNCTION("GOOGLEFINANCE(A196,""high52"")"),7565.5)</f>
        <v>7565.5</v>
      </c>
      <c r="G196" s="45">
        <f>IFERROR(__xludf.DUMMYFUNCTION("to_date(index(sort(GOOGLEFINANCE(A196, ""high"", today()-52*7, today(), ""DAILY""),2,0),2,1))"),45889.64583333333)</f>
        <v>45889.64583</v>
      </c>
      <c r="H196" s="44">
        <f>IFERROR(__xludf.DUMMYFUNCTION("GOOGLEFINANCE(A196,""low52"")"),4822.5)</f>
        <v>4822.5</v>
      </c>
      <c r="I196" s="45">
        <f>IFERROR(__xludf.DUMMYFUNCTION("to_date(index(sort(GOOGLEFINANCE(A196, ""low"", today()-52*7, today(), ""DAILY""),2,1),1,1))"),46104.64583333333)</f>
        <v>46104.64583</v>
      </c>
      <c r="J196" s="46" t="str">
        <f t="shared" si="1"/>
        <v>Do Not Buy Today</v>
      </c>
    </row>
    <row r="197">
      <c r="A197" s="73" t="s">
        <v>223</v>
      </c>
      <c r="B197" s="59">
        <f>IFERROR(__xludf.DUMMYFUNCTION("GOOGLEFINANCE(A197,""price"")"),70.3)</f>
        <v>70.3</v>
      </c>
      <c r="C197" s="60">
        <f>IFERROR(__xludf.DUMMYFUNCTION("GOOGLEFINANCE(A197,""closeyest"")"),70.22)</f>
        <v>70.22</v>
      </c>
      <c r="D197" s="61">
        <f>IFERROR(__xludf.DUMMYFUNCTION("MIN(index(GOOGLEFINANCE(A197,""ALL"",TODAY()-180,TODAY()),0,5))*1.2"),70.62)</f>
        <v>70.62</v>
      </c>
      <c r="E197" s="62">
        <f>IFERROR(__xludf.DUMMYFUNCTION("AVERAGE(QUERY(SORT(GOOGLEFINANCE(A197,""price"",TODAY()-320,TODAY()),1,0),""select Col2 limit 100""))"),73.61639999999998)</f>
        <v>73.6164</v>
      </c>
      <c r="F197" s="44">
        <f>IFERROR(__xludf.DUMMYFUNCTION("GOOGLEFINANCE(A197,""high52"")"),87.0)</f>
        <v>87</v>
      </c>
      <c r="G197" s="45">
        <f>IFERROR(__xludf.DUMMYFUNCTION("to_date(index(sort(GOOGLEFINANCE(A197, ""high"", today()-52*7, today(), ""DAILY""),2,0),2,1))"),46024.64583333333)</f>
        <v>46024.64583</v>
      </c>
      <c r="H197" s="44">
        <f>IFERROR(__xludf.DUMMYFUNCTION("GOOGLEFINANCE(A197,""low52"")"),58.08)</f>
        <v>58.08</v>
      </c>
      <c r="I197" s="45">
        <f>IFERROR(__xludf.DUMMYFUNCTION("to_date(index(sort(GOOGLEFINANCE(A197, ""low"", today()-52*7, today(), ""DAILY""),2,1),1,1))"),46114.64583333333)</f>
        <v>46114.64583</v>
      </c>
      <c r="J197" s="46" t="str">
        <f t="shared" si="1"/>
        <v>Do Not Buy Today</v>
      </c>
    </row>
    <row r="198">
      <c r="A198" s="73" t="s">
        <v>224</v>
      </c>
      <c r="B198" s="59">
        <f>IFERROR(__xludf.DUMMYFUNCTION("GOOGLEFINANCE(A198,""price"")"),365.25)</f>
        <v>365.25</v>
      </c>
      <c r="C198" s="60">
        <f>IFERROR(__xludf.DUMMYFUNCTION("GOOGLEFINANCE(A198,""closeyest"")"),363.05)</f>
        <v>363.05</v>
      </c>
      <c r="D198" s="61">
        <f>IFERROR(__xludf.DUMMYFUNCTION("MIN(index(GOOGLEFINANCE(A198,""ALL"",TODAY()-180,TODAY()),0,5))*1.2"),350.7)</f>
        <v>350.7</v>
      </c>
      <c r="E198" s="62">
        <f>IFERROR(__xludf.DUMMYFUNCTION("AVERAGE(QUERY(SORT(GOOGLEFINANCE(A198,""price"",TODAY()-320,TODAY()),1,0),""select Col2 limit 100""))"),341.8669999999999)</f>
        <v>341.867</v>
      </c>
      <c r="F198" s="44">
        <f>IFERROR(__xludf.DUMMYFUNCTION("GOOGLEFINANCE(A198,""high52"")"),375.95)</f>
        <v>375.95</v>
      </c>
      <c r="G198" s="45">
        <f>IFERROR(__xludf.DUMMYFUNCTION("to_date(index(sort(GOOGLEFINANCE(A198, ""high"", today()-52*7, today(), ""DAILY""),2,0),2,1))"),46149.64583333333)</f>
        <v>46149.64583</v>
      </c>
      <c r="H198" s="44">
        <f>IFERROR(__xludf.DUMMYFUNCTION("GOOGLEFINANCE(A198,""low52"")"),217.14)</f>
        <v>217.14</v>
      </c>
      <c r="I198" s="45">
        <f>IFERROR(__xludf.DUMMYFUNCTION("to_date(index(sort(GOOGLEFINANCE(A198, ""low"", today()-52*7, today(), ""DAILY""),2,1),1,1))"),45805.64583333333)</f>
        <v>45805.64583</v>
      </c>
      <c r="J198" s="46" t="str">
        <f t="shared" si="1"/>
        <v>Do Not Buy Today</v>
      </c>
    </row>
    <row r="199">
      <c r="A199" s="73" t="s">
        <v>455</v>
      </c>
      <c r="B199" s="59">
        <f>IFERROR(__xludf.DUMMYFUNCTION("GOOGLEFINANCE(A199,""price"")"),1641.3)</f>
        <v>1641.3</v>
      </c>
      <c r="C199" s="60">
        <f>IFERROR(__xludf.DUMMYFUNCTION("GOOGLEFINANCE(A199,""closeyest"")"),1645.8)</f>
        <v>1645.8</v>
      </c>
      <c r="D199" s="61">
        <f>IFERROR(__xludf.DUMMYFUNCTION("MIN(index(GOOGLEFINANCE(A199,""ALL"",TODAY()-180,TODAY()),0,5))*1.2"),1529.88)</f>
        <v>1529.88</v>
      </c>
      <c r="E199" s="62">
        <f>IFERROR(__xludf.DUMMYFUNCTION("AVERAGE(QUERY(SORT(GOOGLEFINANCE(A199,""price"",TODAY()-320,TODAY()),1,0),""select Col2 limit 100""))"),1549.151)</f>
        <v>1549.151</v>
      </c>
      <c r="F199" s="44">
        <f>IFERROR(__xludf.DUMMYFUNCTION("GOOGLEFINANCE(A199,""high52"")"),1876.0)</f>
        <v>1876</v>
      </c>
      <c r="G199" s="45">
        <f>IFERROR(__xludf.DUMMYFUNCTION("to_date(index(sort(GOOGLEFINANCE(A199, ""high"", today()-52*7, today(), ""DAILY""),2,0),2,1))"),45825.64583333333)</f>
        <v>45825.64583</v>
      </c>
      <c r="H199" s="44">
        <f>IFERROR(__xludf.DUMMYFUNCTION("GOOGLEFINANCE(A199,""low52"")"),1262.0)</f>
        <v>1262</v>
      </c>
      <c r="I199" s="45">
        <f>IFERROR(__xludf.DUMMYFUNCTION("to_date(index(sort(GOOGLEFINANCE(A199, ""low"", today()-52*7, today(), ""DAILY""),2,1),1,1))"),46104.64583333333)</f>
        <v>46104.64583</v>
      </c>
      <c r="J199" s="46" t="str">
        <f t="shared" si="1"/>
        <v>Do Not Buy Today</v>
      </c>
    </row>
    <row r="200">
      <c r="A200" s="73" t="s">
        <v>456</v>
      </c>
      <c r="B200" s="59">
        <f>IFERROR(__xludf.DUMMYFUNCTION("GOOGLEFINANCE(A200,""price"")"),1384.1)</f>
        <v>1384.1</v>
      </c>
      <c r="C200" s="60">
        <f>IFERROR(__xludf.DUMMYFUNCTION("GOOGLEFINANCE(A200,""closeyest"")"),1373.9)</f>
        <v>1373.9</v>
      </c>
      <c r="D200" s="61">
        <f>IFERROR(__xludf.DUMMYFUNCTION("MIN(index(GOOGLEFINANCE(A200,""ALL"",TODAY()-180,TODAY()),0,5))*1.2"),1133.8799999999999)</f>
        <v>1133.88</v>
      </c>
      <c r="E200" s="62">
        <f>IFERROR(__xludf.DUMMYFUNCTION("AVERAGE(QUERY(SORT(GOOGLEFINANCE(A200,""price"",TODAY()-320,TODAY()),1,0),""select Col2 limit 100""))"),1085.6504999999995)</f>
        <v>1085.6505</v>
      </c>
      <c r="F200" s="44">
        <f>IFERROR(__xludf.DUMMYFUNCTION("GOOGLEFINANCE(A200,""high52"")"),1388.4)</f>
        <v>1388.4</v>
      </c>
      <c r="G200" s="45">
        <f>IFERROR(__xludf.DUMMYFUNCTION("to_date(index(sort(GOOGLEFINANCE(A200, ""high"", today()-52*7, today(), ""DAILY""),2,0),2,1))"),46168.64583333333)</f>
        <v>46168.64583</v>
      </c>
      <c r="H200" s="44">
        <f>IFERROR(__xludf.DUMMYFUNCTION("GOOGLEFINANCE(A200,""low52"")"),593.5)</f>
        <v>593.5</v>
      </c>
      <c r="I200" s="45">
        <f>IFERROR(__xludf.DUMMYFUNCTION("to_date(index(sort(GOOGLEFINANCE(A200, ""low"", today()-52*7, today(), ""DAILY""),2,1),1,1))"),45805.64583333333)</f>
        <v>45805.64583</v>
      </c>
      <c r="J200" s="46" t="str">
        <f t="shared" si="1"/>
        <v>Do Not Buy Today</v>
      </c>
    </row>
    <row r="201">
      <c r="A201" s="73" t="s">
        <v>457</v>
      </c>
      <c r="B201" s="59">
        <f>IFERROR(__xludf.DUMMYFUNCTION("GOOGLEFINANCE(A201,""price"")"),395.0)</f>
        <v>395</v>
      </c>
      <c r="C201" s="60">
        <f>IFERROR(__xludf.DUMMYFUNCTION("GOOGLEFINANCE(A201,""closeyest"")"),396.55)</f>
        <v>396.55</v>
      </c>
      <c r="D201" s="61">
        <f>IFERROR(__xludf.DUMMYFUNCTION("MIN(index(GOOGLEFINANCE(A201,""ALL"",TODAY()-180,TODAY()),0,5))*1.2"),442.08)</f>
        <v>442.08</v>
      </c>
      <c r="E201" s="62">
        <f>IFERROR(__xludf.DUMMYFUNCTION("AVERAGE(QUERY(SORT(GOOGLEFINANCE(A201,""price"",TODAY()-320,TODAY()),1,0),""select Col2 limit 100""))"),431.731)</f>
        <v>431.731</v>
      </c>
      <c r="F201" s="44">
        <f>IFERROR(__xludf.DUMMYFUNCTION("GOOGLEFINANCE(A201,""high52"")"),570.4)</f>
        <v>570.4</v>
      </c>
      <c r="G201" s="45">
        <f>IFERROR(__xludf.DUMMYFUNCTION("to_date(index(sort(GOOGLEFINANCE(A201, ""high"", today()-52*7, today(), ""DAILY""),2,0),2,1))"),45936.64583333333)</f>
        <v>45936.64583</v>
      </c>
      <c r="H201" s="44">
        <f>IFERROR(__xludf.DUMMYFUNCTION("GOOGLEFINANCE(A201,""low52"")"),361.2)</f>
        <v>361.2</v>
      </c>
      <c r="I201" s="45">
        <f>IFERROR(__xludf.DUMMYFUNCTION("to_date(index(sort(GOOGLEFINANCE(A201, ""low"", today()-52*7, today(), ""DAILY""),2,1),1,1))"),46111.64583333333)</f>
        <v>46111.64583</v>
      </c>
      <c r="J201" s="46" t="str">
        <f t="shared" si="1"/>
        <v>Do Not Buy Today</v>
      </c>
    </row>
    <row r="202">
      <c r="A202" s="73" t="s">
        <v>225</v>
      </c>
      <c r="B202" s="59">
        <f>IFERROR(__xludf.DUMMYFUNCTION("GOOGLEFINANCE(A202,""price"")"),206.58)</f>
        <v>206.58</v>
      </c>
      <c r="C202" s="60">
        <f>IFERROR(__xludf.DUMMYFUNCTION("GOOGLEFINANCE(A202,""closeyest"")"),203.84)</f>
        <v>203.84</v>
      </c>
      <c r="D202" s="61">
        <f>IFERROR(__xludf.DUMMYFUNCTION("MIN(index(GOOGLEFINANCE(A202,""ALL"",TODAY()-180,TODAY()),0,5))*1.2"),151.09199999999998)</f>
        <v>151.092</v>
      </c>
      <c r="E202" s="62">
        <f>IFERROR(__xludf.DUMMYFUNCTION("AVERAGE(QUERY(SORT(GOOGLEFINANCE(A202,""price"",TODAY()-320,TODAY()),1,0),""select Col2 limit 100""))"),162.77800000000002)</f>
        <v>162.778</v>
      </c>
      <c r="F202" s="44">
        <f>IFERROR(__xludf.DUMMYFUNCTION("GOOGLEFINANCE(A202,""high52"")"),209.7)</f>
        <v>209.7</v>
      </c>
      <c r="G202" s="45">
        <f>IFERROR(__xludf.DUMMYFUNCTION("to_date(index(sort(GOOGLEFINANCE(A202, ""high"", today()-52*7, today(), ""DAILY""),2,0),2,1))"),46156.64583333333)</f>
        <v>46156.64583</v>
      </c>
      <c r="H202" s="44">
        <f>IFERROR(__xludf.DUMMYFUNCTION("GOOGLEFINANCE(A202,""low52"")"),118.1)</f>
        <v>118.1</v>
      </c>
      <c r="I202" s="45">
        <f>IFERROR(__xludf.DUMMYFUNCTION("to_date(index(sort(GOOGLEFINANCE(A202, ""low"", today()-52*7, today(), ""DAILY""),2,1),1,1))"),45897.64583333333)</f>
        <v>45897.64583</v>
      </c>
      <c r="J202" s="46" t="str">
        <f t="shared" si="1"/>
        <v>Do Not Buy Today</v>
      </c>
    </row>
    <row r="203">
      <c r="A203" s="73" t="s">
        <v>458</v>
      </c>
      <c r="B203" s="59">
        <f>IFERROR(__xludf.DUMMYFUNCTION("GOOGLEFINANCE(A203,""price"")"),1036.45)</f>
        <v>1036.45</v>
      </c>
      <c r="C203" s="60">
        <f>IFERROR(__xludf.DUMMYFUNCTION("GOOGLEFINANCE(A203,""closeyest"")"),1043.35)</f>
        <v>1043.35</v>
      </c>
      <c r="D203" s="61">
        <f>IFERROR(__xludf.DUMMYFUNCTION("MIN(index(GOOGLEFINANCE(A203,""ALL"",TODAY()-180,TODAY()),0,5))*1.2"),898.02)</f>
        <v>898.02</v>
      </c>
      <c r="E203" s="62">
        <f>IFERROR(__xludf.DUMMYFUNCTION("AVERAGE(QUERY(SORT(GOOGLEFINANCE(A203,""price"",TODAY()-320,TODAY()),1,0),""select Col2 limit 100""))"),866.0204999999999)</f>
        <v>866.0205</v>
      </c>
      <c r="F203" s="44">
        <f>IFERROR(__xludf.DUMMYFUNCTION("GOOGLEFINANCE(A203,""high52"")"),1166.4)</f>
        <v>1166.4</v>
      </c>
      <c r="G203" s="45">
        <f>IFERROR(__xludf.DUMMYFUNCTION("to_date(index(sort(GOOGLEFINANCE(A203, ""high"", today()-52*7, today(), ""DAILY""),2,0),2,1))"),46160.64583333333)</f>
        <v>46160.64583</v>
      </c>
      <c r="H203" s="44">
        <f>IFERROR(__xludf.DUMMYFUNCTION("GOOGLEFINANCE(A203,""low52"")"),735.2)</f>
        <v>735.2</v>
      </c>
      <c r="I203" s="45">
        <f>IFERROR(__xludf.DUMMYFUNCTION("to_date(index(sort(GOOGLEFINANCE(A203, ""low"", today()-52*7, today(), ""DAILY""),2,1),1,1))"),46104.64583333333)</f>
        <v>46104.64583</v>
      </c>
      <c r="J203" s="46" t="str">
        <f t="shared" si="1"/>
        <v>Do Not Buy Today</v>
      </c>
    </row>
    <row r="204">
      <c r="A204" s="73" t="s">
        <v>459</v>
      </c>
      <c r="B204" s="59">
        <f>IFERROR(__xludf.DUMMYFUNCTION("GOOGLEFINANCE(A204,""price"")"),536.9)</f>
        <v>536.9</v>
      </c>
      <c r="C204" s="60">
        <f>IFERROR(__xludf.DUMMYFUNCTION("GOOGLEFINANCE(A204,""closeyest"")"),532.2)</f>
        <v>532.2</v>
      </c>
      <c r="D204" s="61">
        <f>IFERROR(__xludf.DUMMYFUNCTION("MIN(index(GOOGLEFINANCE(A204,""ALL"",TODAY()-180,TODAY()),0,5))*1.2"),502.02)</f>
        <v>502.02</v>
      </c>
      <c r="E204" s="62">
        <f>IFERROR(__xludf.DUMMYFUNCTION("AVERAGE(QUERY(SORT(GOOGLEFINANCE(A204,""price"",TODAY()-320,TODAY()),1,0),""select Col2 limit 100""))"),485.77799999999996)</f>
        <v>485.778</v>
      </c>
      <c r="F204" s="44">
        <f>IFERROR(__xludf.DUMMYFUNCTION("GOOGLEFINANCE(A204,""high52"")"),622.95)</f>
        <v>622.95</v>
      </c>
      <c r="G204" s="45">
        <f>IFERROR(__xludf.DUMMYFUNCTION("to_date(index(sort(GOOGLEFINANCE(A204, ""high"", today()-52*7, today(), ""DAILY""),2,0),2,1))"),45835.64583333333)</f>
        <v>45835.64583</v>
      </c>
      <c r="H204" s="44">
        <f>IFERROR(__xludf.DUMMYFUNCTION("GOOGLEFINANCE(A204,""low52"")"),409.3)</f>
        <v>409.3</v>
      </c>
      <c r="I204" s="45">
        <f>IFERROR(__xludf.DUMMYFUNCTION("to_date(index(sort(GOOGLEFINANCE(A204, ""low"", today()-52*7, today(), ""DAILY""),2,1),1,1))"),46043.64583333333)</f>
        <v>46043.64583</v>
      </c>
      <c r="J204" s="46" t="str">
        <f t="shared" si="1"/>
        <v>Do Not Buy Today</v>
      </c>
    </row>
    <row r="205">
      <c r="A205" s="73" t="s">
        <v>227</v>
      </c>
      <c r="B205" s="59">
        <f>IFERROR(__xludf.DUMMYFUNCTION("GOOGLEFINANCE(A205,""price"")"),1935.7)</f>
        <v>1935.7</v>
      </c>
      <c r="C205" s="60">
        <f>IFERROR(__xludf.DUMMYFUNCTION("GOOGLEFINANCE(A205,""closeyest"")"),1930.4)</f>
        <v>1930.4</v>
      </c>
      <c r="D205" s="61">
        <f>IFERROR(__xludf.DUMMYFUNCTION("MIN(index(GOOGLEFINANCE(A205,""ALL"",TODAY()-180,TODAY()),0,5))*1.2"),1648.32)</f>
        <v>1648.32</v>
      </c>
      <c r="E205" s="62">
        <f>IFERROR(__xludf.DUMMYFUNCTION("AVERAGE(QUERY(SORT(GOOGLEFINANCE(A205,""price"",TODAY()-320,TODAY()),1,0),""select Col2 limit 100""))"),1710.7320000000002)</f>
        <v>1710.732</v>
      </c>
      <c r="F205" s="44">
        <f>IFERROR(__xludf.DUMMYFUNCTION("GOOGLEFINANCE(A205,""high52"")"),2044.0)</f>
        <v>2044</v>
      </c>
      <c r="G205" s="45">
        <f>IFERROR(__xludf.DUMMYFUNCTION("to_date(index(sort(GOOGLEFINANCE(A205, ""high"", today()-52*7, today(), ""DAILY""),2,0),2,1))"),46150.64583333333)</f>
        <v>46150.64583</v>
      </c>
      <c r="H205" s="44">
        <f>IFERROR(__xludf.DUMMYFUNCTION("GOOGLEFINANCE(A205,""low52"")"),1100.5)</f>
        <v>1100.5</v>
      </c>
      <c r="I205" s="45">
        <f>IFERROR(__xludf.DUMMYFUNCTION("to_date(index(sort(GOOGLEFINANCE(A205, ""low"", today()-52*7, today(), ""DAILY""),2,1),1,1))"),45898.64583333333)</f>
        <v>45898.64583</v>
      </c>
      <c r="J205" s="46" t="str">
        <f t="shared" si="1"/>
        <v>Do Not Buy Today</v>
      </c>
    </row>
    <row r="206">
      <c r="A206" s="73" t="s">
        <v>460</v>
      </c>
      <c r="B206" s="59">
        <f>IFERROR(__xludf.DUMMYFUNCTION("GOOGLEFINANCE(A206,""price"")"),1137.15)</f>
        <v>1137.15</v>
      </c>
      <c r="C206" s="60">
        <f>IFERROR(__xludf.DUMMYFUNCTION("GOOGLEFINANCE(A206,""closeyest"")"),1140.45)</f>
        <v>1140.45</v>
      </c>
      <c r="D206" s="61">
        <f>IFERROR(__xludf.DUMMYFUNCTION("MIN(index(GOOGLEFINANCE(A206,""ALL"",TODAY()-180,TODAY()),0,5))*1.2"),898.8)</f>
        <v>898.8</v>
      </c>
      <c r="E206" s="62">
        <f>IFERROR(__xludf.DUMMYFUNCTION("AVERAGE(QUERY(SORT(GOOGLEFINANCE(A206,""price"",TODAY()-320,TODAY()),1,0),""select Col2 limit 100""))"),979.303)</f>
        <v>979.303</v>
      </c>
      <c r="F206" s="44">
        <f>IFERROR(__xludf.DUMMYFUNCTION("GOOGLEFINANCE(A206,""high52"")"),1390.0)</f>
        <v>1390</v>
      </c>
      <c r="G206" s="45">
        <f>IFERROR(__xludf.DUMMYFUNCTION("to_date(index(sort(GOOGLEFINANCE(A206, ""high"", today()-52*7, today(), ""DAILY""),2,0),2,1))"),45814.64583333333)</f>
        <v>45814.64583</v>
      </c>
      <c r="H206" s="44">
        <f>IFERROR(__xludf.DUMMYFUNCTION("GOOGLEFINANCE(A206,""low52"")"),744.2)</f>
        <v>744.2</v>
      </c>
      <c r="I206" s="45">
        <f>IFERROR(__xludf.DUMMYFUNCTION("to_date(index(sort(GOOGLEFINANCE(A206, ""low"", today()-52*7, today(), ""DAILY""),2,1),1,1))"),46111.64583333333)</f>
        <v>46111.64583</v>
      </c>
      <c r="J206" s="46" t="str">
        <f t="shared" si="1"/>
        <v>Do Not Buy Today</v>
      </c>
    </row>
    <row r="207">
      <c r="A207" s="73" t="s">
        <v>461</v>
      </c>
      <c r="B207" s="59">
        <f>IFERROR(__xludf.DUMMYFUNCTION("GOOGLEFINANCE(A207,""price"")"),3522.0)</f>
        <v>3522</v>
      </c>
      <c r="C207" s="60">
        <f>IFERROR(__xludf.DUMMYFUNCTION("GOOGLEFINANCE(A207,""closeyest"")"),3540.7)</f>
        <v>3540.7</v>
      </c>
      <c r="D207" s="61">
        <f>IFERROR(__xludf.DUMMYFUNCTION("MIN(index(GOOGLEFINANCE(A207,""ALL"",TODAY()-180,TODAY()),0,5))*1.2"),3690.72)</f>
        <v>3690.72</v>
      </c>
      <c r="E207" s="62">
        <f>IFERROR(__xludf.DUMMYFUNCTION("AVERAGE(QUERY(SORT(GOOGLEFINANCE(A207,""price"",TODAY()-320,TODAY()),1,0),""select Col2 limit 100""))"),3638.8199999999993)</f>
        <v>3638.82</v>
      </c>
      <c r="F207" s="44">
        <f>IFERROR(__xludf.DUMMYFUNCTION("GOOGLEFINANCE(A207,""high52"")"),4726.0)</f>
        <v>4726</v>
      </c>
      <c r="G207" s="45">
        <f>IFERROR(__xludf.DUMMYFUNCTION("to_date(index(sort(GOOGLEFINANCE(A207, ""high"", today()-52*7, today(), ""DAILY""),2,0),2,1))"),45995.64583333333)</f>
        <v>45995.64583</v>
      </c>
      <c r="H207" s="44">
        <f>IFERROR(__xludf.DUMMYFUNCTION("GOOGLEFINANCE(A207,""low52"")"),3010.0)</f>
        <v>3010</v>
      </c>
      <c r="I207" s="45">
        <f>IFERROR(__xludf.DUMMYFUNCTION("to_date(index(sort(GOOGLEFINANCE(A207, ""low"", today()-52*7, today(), ""DAILY""),2,1),1,1))"),46094.64583333333)</f>
        <v>46094.64583</v>
      </c>
      <c r="J207" s="46" t="str">
        <f t="shared" si="1"/>
        <v>Do Not Buy Today</v>
      </c>
    </row>
    <row r="208">
      <c r="A208" s="73" t="s">
        <v>462</v>
      </c>
      <c r="B208" s="59">
        <f>IFERROR(__xludf.DUMMYFUNCTION("GOOGLEFINANCE(A208,""price"")"),95.86)</f>
        <v>95.86</v>
      </c>
      <c r="C208" s="60">
        <f>IFERROR(__xludf.DUMMYFUNCTION("GOOGLEFINANCE(A208,""closeyest"")"),96.22)</f>
        <v>96.22</v>
      </c>
      <c r="D208" s="61">
        <f>IFERROR(__xludf.DUMMYFUNCTION("MIN(index(GOOGLEFINANCE(A208,""ALL"",TODAY()-180,TODAY()),0,5))*1.2"),90.588)</f>
        <v>90.588</v>
      </c>
      <c r="E208" s="62">
        <f>IFERROR(__xludf.DUMMYFUNCTION("AVERAGE(QUERY(SORT(GOOGLEFINANCE(A208,""price"",TODAY()-320,TODAY()),1,0),""select Col2 limit 100""))"),99.1192)</f>
        <v>99.1192</v>
      </c>
      <c r="F208" s="44">
        <f>IFERROR(__xludf.DUMMYFUNCTION("GOOGLEFINANCE(A208,""high52"")"),198.14)</f>
        <v>198.14</v>
      </c>
      <c r="G208" s="45">
        <f>IFERROR(__xludf.DUMMYFUNCTION("to_date(index(sort(GOOGLEFINANCE(A208, ""high"", today()-52*7, today(), ""DAILY""),2,0),2,1))"),45810.64583333333)</f>
        <v>45810.64583</v>
      </c>
      <c r="H208" s="44">
        <f>IFERROR(__xludf.DUMMYFUNCTION("GOOGLEFINANCE(A208,""low52"")"),75.05)</f>
        <v>75.05</v>
      </c>
      <c r="I208" s="45">
        <f>IFERROR(__xludf.DUMMYFUNCTION("to_date(index(sort(GOOGLEFINANCE(A208, ""low"", today()-52*7, today(), ""DAILY""),2,1),1,1))"),46111.64583333333)</f>
        <v>46111.64583</v>
      </c>
      <c r="J208" s="46" t="str">
        <f t="shared" si="1"/>
        <v>Do Not Buy Today</v>
      </c>
    </row>
    <row r="209">
      <c r="A209" s="73" t="s">
        <v>463</v>
      </c>
      <c r="B209" s="59">
        <f>IFERROR(__xludf.DUMMYFUNCTION("GOOGLEFINANCE(A209,""price"")"),1667.5)</f>
        <v>1667.5</v>
      </c>
      <c r="C209" s="60">
        <f>IFERROR(__xludf.DUMMYFUNCTION("GOOGLEFINANCE(A209,""closeyest"")"),1602.8)</f>
        <v>1602.8</v>
      </c>
      <c r="D209" s="61">
        <f>IFERROR(__xludf.DUMMYFUNCTION("MIN(index(GOOGLEFINANCE(A209,""ALL"",TODAY()-180,TODAY()),0,5))*1.2"),1473.7199999999998)</f>
        <v>1473.72</v>
      </c>
      <c r="E209" s="62">
        <f>IFERROR(__xludf.DUMMYFUNCTION("AVERAGE(QUERY(SORT(GOOGLEFINANCE(A209,""price"",TODAY()-320,TODAY()),1,0),""select Col2 limit 100""))"),1436.1990000000003)</f>
        <v>1436.199</v>
      </c>
      <c r="F209" s="44">
        <f>IFERROR(__xludf.DUMMYFUNCTION("GOOGLEFINANCE(A209,""high52"")"),2268.0)</f>
        <v>2268</v>
      </c>
      <c r="G209" s="45">
        <f>IFERROR(__xludf.DUMMYFUNCTION("to_date(index(sort(GOOGLEFINANCE(A209, ""high"", today()-52*7, today(), ""DAILY""),2,0),2,1))"),45813.64583333333)</f>
        <v>45813.64583</v>
      </c>
      <c r="H209" s="44">
        <f>IFERROR(__xludf.DUMMYFUNCTION("GOOGLEFINANCE(A209,""low52"")"),1223.0)</f>
        <v>1223</v>
      </c>
      <c r="I209" s="45">
        <f>IFERROR(__xludf.DUMMYFUNCTION("to_date(index(sort(GOOGLEFINANCE(A209, ""low"", today()-52*7, today(), ""DAILY""),2,1),1,1))"),46036.64583333333)</f>
        <v>46036.64583</v>
      </c>
      <c r="J209" s="46" t="str">
        <f t="shared" si="1"/>
        <v>Do Not Buy Today</v>
      </c>
    </row>
    <row r="210">
      <c r="A210" s="73" t="s">
        <v>464</v>
      </c>
      <c r="B210" s="59">
        <f>IFERROR(__xludf.DUMMYFUNCTION("GOOGLEFINANCE(A210,""price"")"),446.0)</f>
        <v>446</v>
      </c>
      <c r="C210" s="60">
        <f>IFERROR(__xludf.DUMMYFUNCTION("GOOGLEFINANCE(A210,""closeyest"")"),435.95)</f>
        <v>435.95</v>
      </c>
      <c r="D210" s="61">
        <f>IFERROR(__xludf.DUMMYFUNCTION("MIN(index(GOOGLEFINANCE(A210,""ALL"",TODAY()-180,TODAY()),0,5))*1.2"),482.76)</f>
        <v>482.76</v>
      </c>
      <c r="E210" s="62">
        <f>IFERROR(__xludf.DUMMYFUNCTION("AVERAGE(QUERY(SORT(GOOGLEFINANCE(A210,""price"",TODAY()-320,TODAY()),1,0),""select Col2 limit 100""))"),543.6214999999997)</f>
        <v>543.6215</v>
      </c>
      <c r="F210" s="44">
        <f>IFERROR(__xludf.DUMMYFUNCTION("GOOGLEFINANCE(A210,""high52"")"),1336.0)</f>
        <v>1336</v>
      </c>
      <c r="G210" s="45">
        <f>IFERROR(__xludf.DUMMYFUNCTION("to_date(index(sort(GOOGLEFINANCE(A210, ""high"", today()-52*7, today(), ""DAILY""),2,0),2,1))"),45813.64583333333)</f>
        <v>45813.64583</v>
      </c>
      <c r="H210" s="44">
        <f>IFERROR(__xludf.DUMMYFUNCTION("GOOGLEFINANCE(A210,""low52"")"),401.05)</f>
        <v>401.05</v>
      </c>
      <c r="I210" s="45">
        <f>IFERROR(__xludf.DUMMYFUNCTION("to_date(index(sort(GOOGLEFINANCE(A210, ""low"", today()-52*7, today(), ""DAILY""),2,1),1,1))"),46111.64583333333)</f>
        <v>46111.64583</v>
      </c>
      <c r="J210" s="46" t="str">
        <f t="shared" si="1"/>
        <v>Do Not Buy Today</v>
      </c>
    </row>
    <row r="211">
      <c r="A211" s="73" t="s">
        <v>229</v>
      </c>
      <c r="B211" s="59">
        <f>IFERROR(__xludf.DUMMYFUNCTION("GOOGLEFINANCE(A211,""price"")"),14.23)</f>
        <v>14.23</v>
      </c>
      <c r="C211" s="60">
        <f>IFERROR(__xludf.DUMMYFUNCTION("GOOGLEFINANCE(A211,""closeyest"")"),14.14)</f>
        <v>14.14</v>
      </c>
      <c r="D211" s="61">
        <f>IFERROR(__xludf.DUMMYFUNCTION("MIN(index(GOOGLEFINANCE(A211,""ALL"",TODAY()-180,TODAY()),0,5))*1.2"),10.235999999999999)</f>
        <v>10.236</v>
      </c>
      <c r="E211" s="62">
        <f>IFERROR(__xludf.DUMMYFUNCTION("AVERAGE(QUERY(SORT(GOOGLEFINANCE(A211,""price"",TODAY()-320,TODAY()),1,0),""select Col2 limit 100""))"),10.683999999999996)</f>
        <v>10.684</v>
      </c>
      <c r="F211" s="44">
        <f>IFERROR(__xludf.DUMMYFUNCTION("GOOGLEFINANCE(A211,""high52"")"),14.29)</f>
        <v>14.29</v>
      </c>
      <c r="G211" s="45">
        <f>IFERROR(__xludf.DUMMYFUNCTION("to_date(index(sort(GOOGLEFINANCE(A211, ""high"", today()-52*7, today(), ""DAILY""),2,0),2,1))"),46168.64583333333)</f>
        <v>46168.64583</v>
      </c>
      <c r="H211" s="44">
        <f>IFERROR(__xludf.DUMMYFUNCTION("GOOGLEFINANCE(A211,""low52"")"),6.12)</f>
        <v>6.12</v>
      </c>
      <c r="I211" s="45">
        <f>IFERROR(__xludf.DUMMYFUNCTION("to_date(index(sort(GOOGLEFINANCE(A211, ""low"", today()-52*7, today(), ""DAILY""),2,1),1,1))"),45883.64583333333)</f>
        <v>45883.64583</v>
      </c>
      <c r="J211" s="46" t="str">
        <f t="shared" si="1"/>
        <v>Do Not Buy Today</v>
      </c>
    </row>
    <row r="212">
      <c r="A212" s="73" t="s">
        <v>465</v>
      </c>
      <c r="B212" s="59">
        <f>IFERROR(__xludf.DUMMYFUNCTION("GOOGLEFINANCE(A212,""price"")"),1186.7)</f>
        <v>1186.7</v>
      </c>
      <c r="C212" s="60">
        <f>IFERROR(__xludf.DUMMYFUNCTION("GOOGLEFINANCE(A212,""closeyest"")"),1186.0)</f>
        <v>1186</v>
      </c>
      <c r="D212" s="61">
        <f>IFERROR(__xludf.DUMMYFUNCTION("MIN(index(GOOGLEFINANCE(A212,""ALL"",TODAY()-180,TODAY()),0,5))*1.2"),975.84)</f>
        <v>975.84</v>
      </c>
      <c r="E212" s="62">
        <f>IFERROR(__xludf.DUMMYFUNCTION("AVERAGE(QUERY(SORT(GOOGLEFINANCE(A212,""price"",TODAY()-320,TODAY()),1,0),""select Col2 limit 100""))"),982.5954999999999)</f>
        <v>982.5955</v>
      </c>
      <c r="F212" s="44">
        <f>IFERROR(__xludf.DUMMYFUNCTION("GOOGLEFINANCE(A212,""high52"")"),1226.8)</f>
        <v>1226.8</v>
      </c>
      <c r="G212" s="45">
        <f>IFERROR(__xludf.DUMMYFUNCTION("to_date(index(sort(GOOGLEFINANCE(A212, ""high"", today()-52*7, today(), ""DAILY""),2,0),2,1))"),46154.64583333333)</f>
        <v>46154.64583</v>
      </c>
      <c r="H212" s="44">
        <f>IFERROR(__xludf.DUMMYFUNCTION("GOOGLEFINANCE(A212,""low52"")"),789.0)</f>
        <v>789</v>
      </c>
      <c r="I212" s="45">
        <f>IFERROR(__xludf.DUMMYFUNCTION("to_date(index(sort(GOOGLEFINANCE(A212, ""low"", today()-52*7, today(), ""DAILY""),2,1),1,1))"),45930.64583333333)</f>
        <v>45930.64583</v>
      </c>
      <c r="J212" s="46" t="str">
        <f t="shared" si="1"/>
        <v>Do Not Buy Today</v>
      </c>
    </row>
    <row r="213">
      <c r="A213" s="73" t="s">
        <v>466</v>
      </c>
      <c r="B213" s="59">
        <f>IFERROR(__xludf.DUMMYFUNCTION("GOOGLEFINANCE(A213,""price"")"),985.2)</f>
        <v>985.2</v>
      </c>
      <c r="C213" s="60">
        <f>IFERROR(__xludf.DUMMYFUNCTION("GOOGLEFINANCE(A213,""closeyest"")"),979.1)</f>
        <v>979.1</v>
      </c>
      <c r="D213" s="61">
        <f>IFERROR(__xludf.DUMMYFUNCTION("MIN(index(GOOGLEFINANCE(A213,""ALL"",TODAY()-180,TODAY()),0,5))*1.2"),913.74)</f>
        <v>913.74</v>
      </c>
      <c r="E213" s="62">
        <f>IFERROR(__xludf.DUMMYFUNCTION("AVERAGE(QUERY(SORT(GOOGLEFINANCE(A213,""price"",TODAY()-320,TODAY()),1,0),""select Col2 limit 100""))"),842.2635)</f>
        <v>842.2635</v>
      </c>
      <c r="F213" s="44">
        <f>IFERROR(__xludf.DUMMYFUNCTION("GOOGLEFINANCE(A213,""high52"")"),1001.0)</f>
        <v>1001</v>
      </c>
      <c r="G213" s="45">
        <f>IFERROR(__xludf.DUMMYFUNCTION("to_date(index(sort(GOOGLEFINANCE(A213, ""high"", today()-52*7, today(), ""DAILY""),2,0),2,1))"),45869.64583333333)</f>
        <v>45869.64583</v>
      </c>
      <c r="H213" s="44">
        <f>IFERROR(__xludf.DUMMYFUNCTION("GOOGLEFINANCE(A213,""low52"")"),746.0)</f>
        <v>746</v>
      </c>
      <c r="I213" s="45">
        <f>IFERROR(__xludf.DUMMYFUNCTION("to_date(index(sort(GOOGLEFINANCE(A213, ""low"", today()-52*7, today(), ""DAILY""),2,1),1,1))"),46097.64583333333)</f>
        <v>46097.64583</v>
      </c>
      <c r="J213" s="46" t="str">
        <f t="shared" si="1"/>
        <v>Do Not Buy Today</v>
      </c>
    </row>
    <row r="214">
      <c r="A214" s="73" t="s">
        <v>467</v>
      </c>
      <c r="B214" s="59">
        <f>IFERROR(__xludf.DUMMYFUNCTION("GOOGLEFINANCE(A214,""price"")"),497.35)</f>
        <v>497.35</v>
      </c>
      <c r="C214" s="60">
        <f>IFERROR(__xludf.DUMMYFUNCTION("GOOGLEFINANCE(A214,""closeyest"")"),491.0)</f>
        <v>491</v>
      </c>
      <c r="D214" s="61">
        <f>IFERROR(__xludf.DUMMYFUNCTION("MIN(index(GOOGLEFINANCE(A214,""ALL"",TODAY()-180,TODAY()),0,5))*1.2"),408.0)</f>
        <v>408</v>
      </c>
      <c r="E214" s="62">
        <f>IFERROR(__xludf.DUMMYFUNCTION("AVERAGE(QUERY(SORT(GOOGLEFINANCE(A214,""price"",TODAY()-320,TODAY()),1,0),""select Col2 limit 100""))"),427.41049999999996)</f>
        <v>427.4105</v>
      </c>
      <c r="F214" s="44">
        <f>IFERROR(__xludf.DUMMYFUNCTION("GOOGLEFINANCE(A214,""high52"")"),523.1)</f>
        <v>523.1</v>
      </c>
      <c r="G214" s="45">
        <f>IFERROR(__xludf.DUMMYFUNCTION("to_date(index(sort(GOOGLEFINANCE(A214, ""high"", today()-52*7, today(), ""DAILY""),2,0),2,1))"),46146.64583333333)</f>
        <v>46146.64583</v>
      </c>
      <c r="H214" s="44">
        <f>IFERROR(__xludf.DUMMYFUNCTION("GOOGLEFINANCE(A214,""low52"")"),338.05)</f>
        <v>338.05</v>
      </c>
      <c r="I214" s="45">
        <f>IFERROR(__xludf.DUMMYFUNCTION("to_date(index(sort(GOOGLEFINANCE(A214, ""low"", today()-52*7, today(), ""DAILY""),2,1),1,1))"),46043.64583333333)</f>
        <v>46043.64583</v>
      </c>
      <c r="J214" s="46" t="str">
        <f t="shared" si="1"/>
        <v>Do Not Buy Today</v>
      </c>
    </row>
    <row r="215">
      <c r="A215" s="73" t="s">
        <v>468</v>
      </c>
      <c r="B215" s="59">
        <f>IFERROR(__xludf.DUMMYFUNCTION("GOOGLEFINANCE(A215,""price"")"),470.65)</f>
        <v>470.65</v>
      </c>
      <c r="C215" s="60">
        <f>IFERROR(__xludf.DUMMYFUNCTION("GOOGLEFINANCE(A215,""closeyest"")"),474.95)</f>
        <v>474.95</v>
      </c>
      <c r="D215" s="61">
        <f>IFERROR(__xludf.DUMMYFUNCTION("MIN(index(GOOGLEFINANCE(A215,""ALL"",TODAY()-180,TODAY()),0,5))*1.2"),503.22)</f>
        <v>503.22</v>
      </c>
      <c r="E215" s="62">
        <f>IFERROR(__xludf.DUMMYFUNCTION("AVERAGE(QUERY(SORT(GOOGLEFINANCE(A215,""price"",TODAY()-320,TODAY()),1,0),""select Col2 limit 100""))"),508.052)</f>
        <v>508.052</v>
      </c>
      <c r="F215" s="44">
        <f>IFERROR(__xludf.DUMMYFUNCTION("GOOGLEFINANCE(A215,""high52"")"),675.0)</f>
        <v>675</v>
      </c>
      <c r="G215" s="45">
        <f>IFERROR(__xludf.DUMMYFUNCTION("to_date(index(sort(GOOGLEFINANCE(A215, ""high"", today()-52*7, today(), ""DAILY""),2,0),2,1))"),46028.64583333333)</f>
        <v>46028.64583</v>
      </c>
      <c r="H215" s="44">
        <f>IFERROR(__xludf.DUMMYFUNCTION("GOOGLEFINANCE(A215,""low52"")"),409.1)</f>
        <v>409.1</v>
      </c>
      <c r="I215" s="45">
        <f>IFERROR(__xludf.DUMMYFUNCTION("to_date(index(sort(GOOGLEFINANCE(A215, ""low"", today()-52*7, today(), ""DAILY""),2,1),1,1))"),46139.64583333333)</f>
        <v>46139.64583</v>
      </c>
      <c r="J215" s="46" t="str">
        <f t="shared" si="1"/>
        <v>Do Not Buy Today</v>
      </c>
    </row>
    <row r="216">
      <c r="A216" s="73" t="s">
        <v>469</v>
      </c>
      <c r="B216" s="59">
        <f>IFERROR(__xludf.DUMMYFUNCTION("GOOGLEFINANCE(A216,""price"")"),509.0)</f>
        <v>509</v>
      </c>
      <c r="C216" s="60">
        <f>IFERROR(__xludf.DUMMYFUNCTION("GOOGLEFINANCE(A216,""closeyest"")"),480.8)</f>
        <v>480.8</v>
      </c>
      <c r="D216" s="61">
        <f>IFERROR(__xludf.DUMMYFUNCTION("MIN(index(GOOGLEFINANCE(A216,""ALL"",TODAY()-180,TODAY()),0,5))*1.2"),464.82)</f>
        <v>464.82</v>
      </c>
      <c r="E216" s="62">
        <f>IFERROR(__xludf.DUMMYFUNCTION("AVERAGE(QUERY(SORT(GOOGLEFINANCE(A216,""price"",TODAY()-320,TODAY()),1,0),""select Col2 limit 100""))"),432.1845000000001)</f>
        <v>432.1845</v>
      </c>
      <c r="F216" s="44">
        <f>IFERROR(__xludf.DUMMYFUNCTION("GOOGLEFINANCE(A216,""high52"")"),510.0)</f>
        <v>510</v>
      </c>
      <c r="G216" s="45">
        <f>IFERROR(__xludf.DUMMYFUNCTION("to_date(index(sort(GOOGLEFINANCE(A216, ""high"", today()-52*7, today(), ""DAILY""),2,0),2,1))"),45971.64583333333)</f>
        <v>45971.64583</v>
      </c>
      <c r="H216" s="44">
        <f>IFERROR(__xludf.DUMMYFUNCTION("GOOGLEFINANCE(A216,""low52"")"),302.3)</f>
        <v>302.3</v>
      </c>
      <c r="I216" s="45">
        <f>IFERROR(__xludf.DUMMYFUNCTION("to_date(index(sort(GOOGLEFINANCE(A216, ""low"", today()-52*7, today(), ""DAILY""),2,1),1,1))"),45824.64583333333)</f>
        <v>45824.64583</v>
      </c>
      <c r="J216" s="46" t="str">
        <f t="shared" si="1"/>
        <v>Do Not Buy Today</v>
      </c>
    </row>
    <row r="217">
      <c r="A217" s="73" t="s">
        <v>470</v>
      </c>
      <c r="B217" s="59">
        <f>IFERROR(__xludf.DUMMYFUNCTION("GOOGLEFINANCE(A217,""price"")"),1654.6)</f>
        <v>1654.6</v>
      </c>
      <c r="C217" s="60">
        <f>IFERROR(__xludf.DUMMYFUNCTION("GOOGLEFINANCE(A217,""closeyest"")"),1640.9)</f>
        <v>1640.9</v>
      </c>
      <c r="D217" s="61">
        <f>IFERROR(__xludf.DUMMYFUNCTION("MIN(index(GOOGLEFINANCE(A217,""ALL"",TODAY()-180,TODAY()),0,5))*1.2"),1833.9599999999998)</f>
        <v>1833.96</v>
      </c>
      <c r="E217" s="62">
        <f>IFERROR(__xludf.DUMMYFUNCTION("AVERAGE(QUERY(SORT(GOOGLEFINANCE(A217,""price"",TODAY()-320,TODAY()),1,0),""select Col2 limit 100""))"),1793.786000000001)</f>
        <v>1793.786</v>
      </c>
      <c r="F217" s="44">
        <f>IFERROR(__xludf.DUMMYFUNCTION("GOOGLEFINANCE(A217,""high52"")"),2040.0)</f>
        <v>2040</v>
      </c>
      <c r="G217" s="45">
        <f>IFERROR(__xludf.DUMMYFUNCTION("to_date(index(sort(GOOGLEFINANCE(A217, ""high"", today()-52*7, today(), ""DAILY""),2,0),2,1))"),45904.64583333333)</f>
        <v>45904.64583</v>
      </c>
      <c r="H217" s="44">
        <f>IFERROR(__xludf.DUMMYFUNCTION("GOOGLEFINANCE(A217,""low52"")"),1450.0)</f>
        <v>1450</v>
      </c>
      <c r="I217" s="45">
        <f>IFERROR(__xludf.DUMMYFUNCTION("to_date(index(sort(GOOGLEFINANCE(A217, ""low"", today()-52*7, today(), ""DAILY""),2,1),1,1))"),46114.64583333333)</f>
        <v>46114.64583</v>
      </c>
      <c r="J217" s="46" t="str">
        <f t="shared" si="1"/>
        <v>Do Not Buy Today</v>
      </c>
    </row>
    <row r="218">
      <c r="A218" s="73" t="s">
        <v>471</v>
      </c>
      <c r="B218" s="59">
        <f>IFERROR(__xludf.DUMMYFUNCTION("GOOGLEFINANCE(A218,""price"")"),414.1)</f>
        <v>414.1</v>
      </c>
      <c r="C218" s="60">
        <f>IFERROR(__xludf.DUMMYFUNCTION("GOOGLEFINANCE(A218,""closeyest"")"),394.15)</f>
        <v>394.15</v>
      </c>
      <c r="D218" s="61">
        <f>IFERROR(__xludf.DUMMYFUNCTION("MIN(index(GOOGLEFINANCE(A218,""ALL"",TODAY()-180,TODAY()),0,5))*1.2"),431.64)</f>
        <v>431.64</v>
      </c>
      <c r="E218" s="62">
        <f>IFERROR(__xludf.DUMMYFUNCTION("AVERAGE(QUERY(SORT(GOOGLEFINANCE(A218,""price"",TODAY()-320,TODAY()),1,0),""select Col2 limit 100""))"),460.6539999999999)</f>
        <v>460.654</v>
      </c>
      <c r="F218" s="44">
        <f>IFERROR(__xludf.DUMMYFUNCTION("GOOGLEFINANCE(A218,""high52"")"),611.9)</f>
        <v>611.9</v>
      </c>
      <c r="G218" s="45">
        <f>IFERROR(__xludf.DUMMYFUNCTION("to_date(index(sort(GOOGLEFINANCE(A218, ""high"", today()-52*7, today(), ""DAILY""),2,0),2,1))"),46064.64583333333)</f>
        <v>46064.64583</v>
      </c>
      <c r="H218" s="44">
        <f>IFERROR(__xludf.DUMMYFUNCTION("GOOGLEFINANCE(A218,""low52"")"),311.0)</f>
        <v>311</v>
      </c>
      <c r="I218" s="45">
        <f>IFERROR(__xludf.DUMMYFUNCTION("to_date(index(sort(GOOGLEFINANCE(A218, ""low"", today()-52*7, today(), ""DAILY""),2,1),1,1))"),45883.64583333333)</f>
        <v>45883.64583</v>
      </c>
      <c r="J218" s="46" t="str">
        <f t="shared" si="1"/>
        <v>Do Not Buy Today</v>
      </c>
    </row>
    <row r="219">
      <c r="A219" s="73" t="s">
        <v>472</v>
      </c>
      <c r="B219" s="59">
        <f>IFERROR(__xludf.DUMMYFUNCTION("GOOGLEFINANCE(A219,""price"")"),792.3)</f>
        <v>792.3</v>
      </c>
      <c r="C219" s="60">
        <f>IFERROR(__xludf.DUMMYFUNCTION("GOOGLEFINANCE(A219,""closeyest"")"),773.15)</f>
        <v>773.15</v>
      </c>
      <c r="D219" s="61">
        <f>IFERROR(__xludf.DUMMYFUNCTION("MIN(index(GOOGLEFINANCE(A219,""ALL"",TODAY()-180,TODAY()),0,5))*1.2"),746.94)</f>
        <v>746.94</v>
      </c>
      <c r="E219" s="62">
        <f>IFERROR(__xludf.DUMMYFUNCTION("AVERAGE(QUERY(SORT(GOOGLEFINANCE(A219,""price"",TODAY()-320,TODAY()),1,0),""select Col2 limit 100""))"),719.9340000000001)</f>
        <v>719.934</v>
      </c>
      <c r="F219" s="44">
        <f>IFERROR(__xludf.DUMMYFUNCTION("GOOGLEFINANCE(A219,""high52"")"),875.0)</f>
        <v>875</v>
      </c>
      <c r="G219" s="45">
        <f>IFERROR(__xludf.DUMMYFUNCTION("to_date(index(sort(GOOGLEFINANCE(A219, ""high"", today()-52*7, today(), ""DAILY""),2,0),2,1))"),45838.64583333333)</f>
        <v>45838.64583</v>
      </c>
      <c r="H219" s="44">
        <f>IFERROR(__xludf.DUMMYFUNCTION("GOOGLEFINANCE(A219,""low52"")"),611.4)</f>
        <v>611.4</v>
      </c>
      <c r="I219" s="45">
        <f>IFERROR(__xludf.DUMMYFUNCTION("to_date(index(sort(GOOGLEFINANCE(A219, ""low"", today()-52*7, today(), ""DAILY""),2,1),1,1))"),46104.64583333333)</f>
        <v>46104.64583</v>
      </c>
      <c r="J219" s="46" t="str">
        <f t="shared" si="1"/>
        <v>Do Not Buy Today</v>
      </c>
    </row>
    <row r="220">
      <c r="A220" s="73" t="s">
        <v>473</v>
      </c>
      <c r="B220" s="59">
        <f>IFERROR(__xludf.DUMMYFUNCTION("GOOGLEFINANCE(A220,""price"")"),869.5)</f>
        <v>869.5</v>
      </c>
      <c r="C220" s="60">
        <f>IFERROR(__xludf.DUMMYFUNCTION("GOOGLEFINANCE(A220,""closeyest"")"),868.2)</f>
        <v>868.2</v>
      </c>
      <c r="D220" s="61">
        <f>IFERROR(__xludf.DUMMYFUNCTION("MIN(index(GOOGLEFINANCE(A220,""ALL"",TODAY()-180,TODAY()),0,5))*1.2"),898.8599999999999)</f>
        <v>898.86</v>
      </c>
      <c r="E220" s="62">
        <f>IFERROR(__xludf.DUMMYFUNCTION("AVERAGE(QUERY(SORT(GOOGLEFINANCE(A220,""price"",TODAY()-320,TODAY()),1,0),""select Col2 limit 100""))"),868.8830000000002)</f>
        <v>868.883</v>
      </c>
      <c r="F220" s="44">
        <f>IFERROR(__xludf.DUMMYFUNCTION("GOOGLEFINANCE(A220,""high52"")"),1080.0)</f>
        <v>1080</v>
      </c>
      <c r="G220" s="45">
        <f>IFERROR(__xludf.DUMMYFUNCTION("to_date(index(sort(GOOGLEFINANCE(A220, ""high"", today()-52*7, today(), ""DAILY""),2,0),2,1))"),45845.64583333333)</f>
        <v>45845.64583</v>
      </c>
      <c r="H220" s="44">
        <f>IFERROR(__xludf.DUMMYFUNCTION("GOOGLEFINANCE(A220,""low52"")"),730.1)</f>
        <v>730.1</v>
      </c>
      <c r="I220" s="45">
        <f>IFERROR(__xludf.DUMMYFUNCTION("to_date(index(sort(GOOGLEFINANCE(A220, ""low"", today()-52*7, today(), ""DAILY""),2,1),1,1))"),46114.64583333333)</f>
        <v>46114.64583</v>
      </c>
      <c r="J220" s="46" t="str">
        <f t="shared" si="1"/>
        <v>Do Not Buy Today</v>
      </c>
    </row>
    <row r="221">
      <c r="A221" s="73" t="s">
        <v>236</v>
      </c>
      <c r="B221" s="59">
        <f>IFERROR(__xludf.DUMMYFUNCTION("GOOGLEFINANCE(A221,""price"")"),1944.9)</f>
        <v>1944.9</v>
      </c>
      <c r="C221" s="60">
        <f>IFERROR(__xludf.DUMMYFUNCTION("GOOGLEFINANCE(A221,""closeyest"")"),2009.1)</f>
        <v>2009.1</v>
      </c>
      <c r="D221" s="61">
        <f>IFERROR(__xludf.DUMMYFUNCTION("MIN(index(GOOGLEFINANCE(A221,""ALL"",TODAY()-180,TODAY()),0,5))*1.2"),1617.48)</f>
        <v>1617.48</v>
      </c>
      <c r="E221" s="62">
        <f>IFERROR(__xludf.DUMMYFUNCTION("AVERAGE(QUERY(SORT(GOOGLEFINANCE(A221,""price"",TODAY()-320,TODAY()),1,0),""select Col2 limit 100""))"),1601.2890000000004)</f>
        <v>1601.289</v>
      </c>
      <c r="F221" s="44">
        <f>IFERROR(__xludf.DUMMYFUNCTION("GOOGLEFINANCE(A221,""high52"")"),2048.0)</f>
        <v>2048</v>
      </c>
      <c r="G221" s="45">
        <f>IFERROR(__xludf.DUMMYFUNCTION("to_date(index(sort(GOOGLEFINANCE(A221, ""high"", today()-52*7, today(), ""DAILY""),2,0),2,1))"),46168.64583333333)</f>
        <v>46168.64583</v>
      </c>
      <c r="H221" s="44">
        <f>IFERROR(__xludf.DUMMYFUNCTION("GOOGLEFINANCE(A221,""low52"")"),1322.5)</f>
        <v>1322.5</v>
      </c>
      <c r="I221" s="45">
        <f>IFERROR(__xludf.DUMMYFUNCTION("to_date(index(sort(GOOGLEFINANCE(A221, ""low"", today()-52*7, today(), ""DAILY""),2,1),1,1))"),46114.64583333333)</f>
        <v>46114.64583</v>
      </c>
      <c r="J221" s="46" t="str">
        <f t="shared" si="1"/>
        <v>Do Not Buy Today</v>
      </c>
    </row>
    <row r="222">
      <c r="A222" s="73" t="s">
        <v>474</v>
      </c>
      <c r="B222" s="59">
        <f>IFERROR(__xludf.DUMMYFUNCTION("GOOGLEFINANCE(A222,""price"")"),7041.5)</f>
        <v>7041.5</v>
      </c>
      <c r="C222" s="60">
        <f>IFERROR(__xludf.DUMMYFUNCTION("GOOGLEFINANCE(A222,""closeyest"")"),7018.0)</f>
        <v>7018</v>
      </c>
      <c r="D222" s="61">
        <f>IFERROR(__xludf.DUMMYFUNCTION("MIN(index(GOOGLEFINANCE(A222,""ALL"",TODAY()-180,TODAY()),0,5))*1.2"),6797.4)</f>
        <v>6797.4</v>
      </c>
      <c r="E222" s="62">
        <f>IFERROR(__xludf.DUMMYFUNCTION("AVERAGE(QUERY(SORT(GOOGLEFINANCE(A222,""price"",TODAY()-320,TODAY()),1,0),""select Col2 limit 100""))"),6444.455)</f>
        <v>6444.455</v>
      </c>
      <c r="F222" s="44">
        <f>IFERROR(__xludf.DUMMYFUNCTION("GOOGLEFINANCE(A222,""high52"")"),7788.0)</f>
        <v>7788</v>
      </c>
      <c r="G222" s="45">
        <f>IFERROR(__xludf.DUMMYFUNCTION("to_date(index(sort(GOOGLEFINANCE(A222, ""high"", today()-52*7, today(), ""DAILY""),2,0),2,1))"),45845.64583333333)</f>
        <v>45845.64583</v>
      </c>
      <c r="H222" s="44">
        <f>IFERROR(__xludf.DUMMYFUNCTION("GOOGLEFINANCE(A222,""low52"")"),5560.5)</f>
        <v>5560.5</v>
      </c>
      <c r="I222" s="45">
        <f>IFERROR(__xludf.DUMMYFUNCTION("to_date(index(sort(GOOGLEFINANCE(A222, ""low"", today()-52*7, today(), ""DAILY""),2,1),1,1))"),46043.64583333333)</f>
        <v>46043.64583</v>
      </c>
      <c r="J222" s="46" t="str">
        <f t="shared" si="1"/>
        <v>Do Not Buy Today</v>
      </c>
    </row>
    <row r="223">
      <c r="A223" s="73" t="s">
        <v>238</v>
      </c>
      <c r="B223" s="59">
        <f>IFERROR(__xludf.DUMMYFUNCTION("GOOGLEFINANCE(A223,""price"")"),1916.0)</f>
        <v>1916</v>
      </c>
      <c r="C223" s="60">
        <f>IFERROR(__xludf.DUMMYFUNCTION("GOOGLEFINANCE(A223,""closeyest"")"),1874.1)</f>
        <v>1874.1</v>
      </c>
      <c r="D223" s="61">
        <f>IFERROR(__xludf.DUMMYFUNCTION("MIN(index(GOOGLEFINANCE(A223,""ALL"",TODAY()-180,TODAY()),0,5))*1.2"),2062.68)</f>
        <v>2062.68</v>
      </c>
      <c r="E223" s="62">
        <f>IFERROR(__xludf.DUMMYFUNCTION("AVERAGE(QUERY(SORT(GOOGLEFINANCE(A223,""price"",TODAY()-320,TODAY()),1,0),""select Col2 limit 100""))"),2017.2900000000009)</f>
        <v>2017.29</v>
      </c>
      <c r="F223" s="44">
        <f>IFERROR(__xludf.DUMMYFUNCTION("GOOGLEFINANCE(A223,""high52"")"),2301.4)</f>
        <v>2301.4</v>
      </c>
      <c r="G223" s="45">
        <f>IFERROR(__xludf.DUMMYFUNCTION("to_date(index(sort(GOOGLEFINANCE(A223, ""high"", today()-52*7, today(), ""DAILY""),2,0),2,1))"),46065.64583333333)</f>
        <v>46065.64583</v>
      </c>
      <c r="H223" s="44">
        <f>IFERROR(__xludf.DUMMYFUNCTION("GOOGLEFINANCE(A223,""low52"")"),1492.0)</f>
        <v>1492</v>
      </c>
      <c r="I223" s="45">
        <f>IFERROR(__xludf.DUMMYFUNCTION("to_date(index(sort(GOOGLEFINANCE(A223, ""low"", today()-52*7, today(), ""DAILY""),2,1),1,1))"),45866.64583333333)</f>
        <v>45866.64583</v>
      </c>
      <c r="J223" s="46" t="str">
        <f t="shared" si="1"/>
        <v>Do Not Buy Today</v>
      </c>
    </row>
    <row r="224">
      <c r="A224" s="73" t="s">
        <v>475</v>
      </c>
      <c r="B224" s="59">
        <f>IFERROR(__xludf.DUMMYFUNCTION("GOOGLEFINANCE(A224,""price"")"),213.76)</f>
        <v>213.76</v>
      </c>
      <c r="C224" s="60">
        <f>IFERROR(__xludf.DUMMYFUNCTION("GOOGLEFINANCE(A224,""closeyest"")"),211.2)</f>
        <v>211.2</v>
      </c>
      <c r="D224" s="61">
        <f>IFERROR(__xludf.DUMMYFUNCTION("MIN(index(GOOGLEFINANCE(A224,""ALL"",TODAY()-180,TODAY()),0,5))*1.2"),192.66)</f>
        <v>192.66</v>
      </c>
      <c r="E224" s="62">
        <f>IFERROR(__xludf.DUMMYFUNCTION("AVERAGE(QUERY(SORT(GOOGLEFINANCE(A224,""price"",TODAY()-320,TODAY()),1,0),""select Col2 limit 100""))"),213.59330000000003)</f>
        <v>213.5933</v>
      </c>
      <c r="F224" s="44">
        <f>IFERROR(__xludf.DUMMYFUNCTION("GOOGLEFINANCE(A224,""high52"")"),331.8)</f>
        <v>331.8</v>
      </c>
      <c r="G224" s="45">
        <f>IFERROR(__xludf.DUMMYFUNCTION("to_date(index(sort(GOOGLEFINANCE(A224, ""high"", today()-52*7, today(), ""DAILY""),2,0),2,1))"),45855.64583333333)</f>
        <v>45855.64583</v>
      </c>
      <c r="H224" s="44">
        <f>IFERROR(__xludf.DUMMYFUNCTION("GOOGLEFINANCE(A224,""low52"")"),158.17)</f>
        <v>158.17</v>
      </c>
      <c r="I224" s="45">
        <f>IFERROR(__xludf.DUMMYFUNCTION("to_date(index(sort(GOOGLEFINANCE(A224, ""low"", today()-52*7, today(), ""DAILY""),2,1),1,1))"),46111.64583333333)</f>
        <v>46111.64583</v>
      </c>
      <c r="J224" s="46" t="str">
        <f t="shared" si="1"/>
        <v>Buy Today</v>
      </c>
    </row>
    <row r="225">
      <c r="A225" s="73" t="s">
        <v>239</v>
      </c>
      <c r="B225" s="59">
        <f>IFERROR(__xludf.DUMMYFUNCTION("GOOGLEFINANCE(A225,""price"")"),5391.0)</f>
        <v>5391</v>
      </c>
      <c r="C225" s="60">
        <f>IFERROR(__xludf.DUMMYFUNCTION("GOOGLEFINANCE(A225,""closeyest"")"),5380.0)</f>
        <v>5380</v>
      </c>
      <c r="D225" s="61">
        <f>IFERROR(__xludf.DUMMYFUNCTION("MIN(index(GOOGLEFINANCE(A225,""ALL"",TODAY()-180,TODAY()),0,5))*1.2"),6173.4)</f>
        <v>6173.4</v>
      </c>
      <c r="E225" s="62">
        <f>IFERROR(__xludf.DUMMYFUNCTION("AVERAGE(QUERY(SORT(GOOGLEFINANCE(A225,""price"",TODAY()-320,TODAY()),1,0),""select Col2 limit 100""))"),5526.995)</f>
        <v>5526.995</v>
      </c>
      <c r="F225" s="44">
        <f>IFERROR(__xludf.DUMMYFUNCTION("GOOGLEFINANCE(A225,""high52"")"),5933.5)</f>
        <v>5933.5</v>
      </c>
      <c r="G225" s="45">
        <f>IFERROR(__xludf.DUMMYFUNCTION("to_date(index(sort(GOOGLEFINANCE(A225, ""high"", today()-52*7, today(), ""DAILY""),2,0),2,1))"),46035.64583333333)</f>
        <v>46035.64583</v>
      </c>
      <c r="H225" s="44">
        <f>IFERROR(__xludf.DUMMYFUNCTION("GOOGLEFINANCE(A225,""low52"")"),4716.2)</f>
        <v>4716.2</v>
      </c>
      <c r="I225" s="45">
        <f>IFERROR(__xludf.DUMMYFUNCTION("to_date(index(sort(GOOGLEFINANCE(A225, ""low"", today()-52*7, today(), ""DAILY""),2,1),1,1))"),45848.64583333333)</f>
        <v>45848.64583</v>
      </c>
      <c r="J225" s="46" t="str">
        <f t="shared" si="1"/>
        <v>Do Not Buy Today</v>
      </c>
    </row>
    <row r="226">
      <c r="A226" s="73" t="s">
        <v>241</v>
      </c>
      <c r="B226" s="59">
        <f>IFERROR(__xludf.DUMMYFUNCTION("GOOGLEFINANCE(A226,""price"")"),719.35)</f>
        <v>719.35</v>
      </c>
      <c r="C226" s="60">
        <f>IFERROR(__xludf.DUMMYFUNCTION("GOOGLEFINANCE(A226,""closeyest"")"),706.3)</f>
        <v>706.3</v>
      </c>
      <c r="D226" s="61">
        <f>IFERROR(__xludf.DUMMYFUNCTION("MIN(index(GOOGLEFINANCE(A226,""ALL"",TODAY()-180,TODAY()),0,5))*1.2"),611.04)</f>
        <v>611.04</v>
      </c>
      <c r="E226" s="62">
        <f>IFERROR(__xludf.DUMMYFUNCTION("AVERAGE(QUERY(SORT(GOOGLEFINANCE(A226,""price"",TODAY()-320,TODAY()),1,0),""select Col2 limit 100""))"),605.6019999999999)</f>
        <v>605.602</v>
      </c>
      <c r="F226" s="44">
        <f>IFERROR(__xludf.DUMMYFUNCTION("GOOGLEFINANCE(A226,""high52"")"),797.0)</f>
        <v>797</v>
      </c>
      <c r="G226" s="45">
        <f>IFERROR(__xludf.DUMMYFUNCTION("to_date(index(sort(GOOGLEFINANCE(A226, ""high"", today()-52*7, today(), ""DAILY""),2,0),2,1))"),45819.64583333333)</f>
        <v>45819.64583</v>
      </c>
      <c r="H226" s="44">
        <f>IFERROR(__xludf.DUMMYFUNCTION("GOOGLEFINANCE(A226,""low52"")"),507.4)</f>
        <v>507.4</v>
      </c>
      <c r="I226" s="45">
        <f>IFERROR(__xludf.DUMMYFUNCTION("to_date(index(sort(GOOGLEFINANCE(A226, ""low"", today()-52*7, today(), ""DAILY""),2,1),1,1))"),46111.64583333333)</f>
        <v>46111.64583</v>
      </c>
      <c r="J226" s="46" t="str">
        <f t="shared" si="1"/>
        <v>Do Not Buy Today</v>
      </c>
    </row>
    <row r="227">
      <c r="A227" s="73" t="s">
        <v>476</v>
      </c>
      <c r="B227" s="59">
        <f>IFERROR(__xludf.DUMMYFUNCTION("GOOGLEFINANCE(A227,""price"")"),1083.7)</f>
        <v>1083.7</v>
      </c>
      <c r="C227" s="60">
        <f>IFERROR(__xludf.DUMMYFUNCTION("GOOGLEFINANCE(A227,""closeyest"")"),1092.6)</f>
        <v>1092.6</v>
      </c>
      <c r="D227" s="61">
        <f>IFERROR(__xludf.DUMMYFUNCTION("MIN(index(GOOGLEFINANCE(A227,""ALL"",TODAY()-180,TODAY()),0,5))*1.2"),900.9)</f>
        <v>900.9</v>
      </c>
      <c r="E227" s="62">
        <f>IFERROR(__xludf.DUMMYFUNCTION("AVERAGE(QUERY(SORT(GOOGLEFINANCE(A227,""price"",TODAY()-320,TODAY()),1,0),""select Col2 limit 100""))"),907.334)</f>
        <v>907.334</v>
      </c>
      <c r="F227" s="44">
        <f>IFERROR(__xludf.DUMMYFUNCTION("GOOGLEFINANCE(A227,""high52"")"),1141.9)</f>
        <v>1141.9</v>
      </c>
      <c r="G227" s="45">
        <f>IFERROR(__xludf.DUMMYFUNCTION("to_date(index(sort(GOOGLEFINANCE(A227, ""high"", today()-52*7, today(), ""DAILY""),2,0),2,1))"),45817.64583333333)</f>
        <v>45817.64583</v>
      </c>
      <c r="H227" s="44">
        <f>IFERROR(__xludf.DUMMYFUNCTION("GOOGLEFINANCE(A227,""low52"")"),729.6)</f>
        <v>729.6</v>
      </c>
      <c r="I227" s="45">
        <f>IFERROR(__xludf.DUMMYFUNCTION("to_date(index(sort(GOOGLEFINANCE(A227, ""low"", today()-52*7, today(), ""DAILY""),2,1),1,1))"),46090.64583333333)</f>
        <v>46090.64583</v>
      </c>
      <c r="J227" s="46" t="str">
        <f t="shared" si="1"/>
        <v>Do Not Buy Today</v>
      </c>
    </row>
    <row r="228">
      <c r="A228" s="73" t="s">
        <v>477</v>
      </c>
      <c r="B228" s="59">
        <f>IFERROR(__xludf.DUMMYFUNCTION("GOOGLEFINANCE(A228,""price"")"),493.75)</f>
        <v>493.75</v>
      </c>
      <c r="C228" s="60">
        <f>IFERROR(__xludf.DUMMYFUNCTION("GOOGLEFINANCE(A228,""closeyest"")"),489.05)</f>
        <v>489.05</v>
      </c>
      <c r="D228" s="61">
        <f>IFERROR(__xludf.DUMMYFUNCTION("MIN(index(GOOGLEFINANCE(A228,""ALL"",TODAY()-180,TODAY()),0,5))*1.2"),437.34)</f>
        <v>437.34</v>
      </c>
      <c r="E228" s="62">
        <f>IFERROR(__xludf.DUMMYFUNCTION("AVERAGE(QUERY(SORT(GOOGLEFINANCE(A228,""price"",TODAY()-320,TODAY()),1,0),""select Col2 limit 100""))"),426.1229999999999)</f>
        <v>426.123</v>
      </c>
      <c r="F228" s="44">
        <f>IFERROR(__xludf.DUMMYFUNCTION("GOOGLEFINANCE(A228,""high52"")"),665.0)</f>
        <v>665</v>
      </c>
      <c r="G228" s="45">
        <f>IFERROR(__xludf.DUMMYFUNCTION("to_date(index(sort(GOOGLEFINANCE(A228, ""high"", today()-52*7, today(), ""DAILY""),2,0),2,1))"),45873.64583333333)</f>
        <v>45873.64583</v>
      </c>
      <c r="H228" s="44">
        <f>IFERROR(__xludf.DUMMYFUNCTION("GOOGLEFINANCE(A228,""low52"")"),362.6)</f>
        <v>362.6</v>
      </c>
      <c r="I228" s="45">
        <f>IFERROR(__xludf.DUMMYFUNCTION("to_date(index(sort(GOOGLEFINANCE(A228, ""low"", today()-52*7, today(), ""DAILY""),2,1),1,1))"),46111.64583333333)</f>
        <v>46111.64583</v>
      </c>
      <c r="J228" s="46" t="str">
        <f t="shared" si="1"/>
        <v>Do Not Buy Today</v>
      </c>
    </row>
    <row r="229">
      <c r="A229" s="73" t="s">
        <v>478</v>
      </c>
      <c r="B229" s="59">
        <f>IFERROR(__xludf.DUMMYFUNCTION("GOOGLEFINANCE(A229,""price"")"),350.35)</f>
        <v>350.35</v>
      </c>
      <c r="C229" s="60">
        <f>IFERROR(__xludf.DUMMYFUNCTION("GOOGLEFINANCE(A229,""closeyest"")"),343.4)</f>
        <v>343.4</v>
      </c>
      <c r="D229" s="61">
        <f>IFERROR(__xludf.DUMMYFUNCTION("MIN(index(GOOGLEFINANCE(A229,""ALL"",TODAY()-180,TODAY()),0,5))*1.2"),283.488)</f>
        <v>283.488</v>
      </c>
      <c r="E229" s="62">
        <f>IFERROR(__xludf.DUMMYFUNCTION("AVERAGE(QUERY(SORT(GOOGLEFINANCE(A229,""price"",TODAY()-320,TODAY()),1,0),""select Col2 limit 100""))"),277.7973)</f>
        <v>277.7973</v>
      </c>
      <c r="F229" s="44">
        <f>IFERROR(__xludf.DUMMYFUNCTION("GOOGLEFINANCE(A229,""high52"")"),387.8)</f>
        <v>387.8</v>
      </c>
      <c r="G229" s="45">
        <f>IFERROR(__xludf.DUMMYFUNCTION("to_date(index(sort(GOOGLEFINANCE(A229, ""high"", today()-52*7, today(), ""DAILY""),2,0),2,1))"),46156.64583333333)</f>
        <v>46156.64583</v>
      </c>
      <c r="H229" s="44">
        <f>IFERROR(__xludf.DUMMYFUNCTION("GOOGLEFINANCE(A229,""low52"")"),220.71)</f>
        <v>220.71</v>
      </c>
      <c r="I229" s="45">
        <f>IFERROR(__xludf.DUMMYFUNCTION("to_date(index(sort(GOOGLEFINANCE(A229, ""low"", today()-52*7, today(), ""DAILY""),2,1),1,1))"),45846.64583333333)</f>
        <v>45846.64583</v>
      </c>
      <c r="J229" s="46" t="str">
        <f t="shared" si="1"/>
        <v>Do Not Buy Today</v>
      </c>
    </row>
    <row r="230">
      <c r="A230" s="73" t="s">
        <v>479</v>
      </c>
      <c r="B230" s="59">
        <f>IFERROR(__xludf.DUMMYFUNCTION("GOOGLEFINANCE(A230,""price"")"),752.5)</f>
        <v>752.5</v>
      </c>
      <c r="C230" s="60">
        <f>IFERROR(__xludf.DUMMYFUNCTION("GOOGLEFINANCE(A230,""closeyest"")"),759.6)</f>
        <v>759.6</v>
      </c>
      <c r="D230" s="61">
        <f>IFERROR(__xludf.DUMMYFUNCTION("MIN(index(GOOGLEFINANCE(A230,""ALL"",TODAY()-180,TODAY()),0,5))*1.2"),775.8599999999999)</f>
        <v>775.86</v>
      </c>
      <c r="E230" s="62">
        <f>IFERROR(__xludf.DUMMYFUNCTION("AVERAGE(QUERY(SORT(GOOGLEFINANCE(A230,""price"",TODAY()-320,TODAY()),1,0),""select Col2 limit 100""))"),754.4869999999999)</f>
        <v>754.487</v>
      </c>
      <c r="F230" s="44">
        <f>IFERROR(__xludf.DUMMYFUNCTION("GOOGLEFINANCE(A230,""high52"")"),1107.9)</f>
        <v>1107.9</v>
      </c>
      <c r="G230" s="45">
        <f>IFERROR(__xludf.DUMMYFUNCTION("to_date(index(sort(GOOGLEFINANCE(A230, ""high"", today()-52*7, today(), ""DAILY""),2,0),2,1))"),45838.64583333333)</f>
        <v>45838.64583</v>
      </c>
      <c r="H230" s="44">
        <f>IFERROR(__xludf.DUMMYFUNCTION("GOOGLEFINANCE(A230,""low52"")"),635.8)</f>
        <v>635.8</v>
      </c>
      <c r="I230" s="45">
        <f>IFERROR(__xludf.DUMMYFUNCTION("to_date(index(sort(GOOGLEFINANCE(A230, ""low"", today()-52*7, today(), ""DAILY""),2,1),1,1))"),46104.64583333333)</f>
        <v>46104.64583</v>
      </c>
      <c r="J230" s="46" t="str">
        <f t="shared" si="1"/>
        <v>Do Not Buy Today</v>
      </c>
    </row>
    <row r="231">
      <c r="A231" s="73" t="s">
        <v>244</v>
      </c>
      <c r="B231" s="59">
        <f>IFERROR(__xludf.DUMMYFUNCTION("GOOGLEFINANCE(A231,""price"")"),544.95)</f>
        <v>544.95</v>
      </c>
      <c r="C231" s="60">
        <f>IFERROR(__xludf.DUMMYFUNCTION("GOOGLEFINANCE(A231,""closeyest"")"),544.15)</f>
        <v>544.15</v>
      </c>
      <c r="D231" s="61">
        <f>IFERROR(__xludf.DUMMYFUNCTION("MIN(index(GOOGLEFINANCE(A231,""ALL"",TODAY()-180,TODAY()),0,5))*1.2"),552.8399999999999)</f>
        <v>552.84</v>
      </c>
      <c r="E231" s="62">
        <f>IFERROR(__xludf.DUMMYFUNCTION("AVERAGE(QUERY(SORT(GOOGLEFINANCE(A231,""price"",TODAY()-320,TODAY()),1,0),""select Col2 limit 100""))"),528.7020000000001)</f>
        <v>528.702</v>
      </c>
      <c r="F231" s="44">
        <f>IFERROR(__xludf.DUMMYFUNCTION("GOOGLEFINANCE(A231,""high52"")"),646.5)</f>
        <v>646.5</v>
      </c>
      <c r="G231" s="45">
        <f>IFERROR(__xludf.DUMMYFUNCTION("to_date(index(sort(GOOGLEFINANCE(A231, ""high"", today()-52*7, today(), ""DAILY""),2,0),2,1))"),45856.64583333333)</f>
        <v>45856.64583</v>
      </c>
      <c r="H231" s="44">
        <f>IFERROR(__xludf.DUMMYFUNCTION("GOOGLEFINANCE(A231,""low52"")"),458.9)</f>
        <v>458.9</v>
      </c>
      <c r="I231" s="45">
        <f>IFERROR(__xludf.DUMMYFUNCTION("to_date(index(sort(GOOGLEFINANCE(A231, ""low"", today()-52*7, today(), ""DAILY""),2,1),1,1))"),46104.64583333333)</f>
        <v>46104.64583</v>
      </c>
      <c r="J231" s="46" t="str">
        <f t="shared" si="1"/>
        <v>Do Not Buy Today</v>
      </c>
    </row>
    <row r="232">
      <c r="A232" s="73" t="s">
        <v>480</v>
      </c>
      <c r="B232" s="59">
        <f>IFERROR(__xludf.DUMMYFUNCTION("GOOGLEFINANCE(A232,""price"")"),620.35)</f>
        <v>620.35</v>
      </c>
      <c r="C232" s="60">
        <f>IFERROR(__xludf.DUMMYFUNCTION("GOOGLEFINANCE(A232,""closeyest"")"),606.4)</f>
        <v>606.4</v>
      </c>
      <c r="D232" s="61">
        <f>IFERROR(__xludf.DUMMYFUNCTION("MIN(index(GOOGLEFINANCE(A232,""ALL"",TODAY()-180,TODAY()),0,5))*1.2"),520.38)</f>
        <v>520.38</v>
      </c>
      <c r="E232" s="62">
        <f>IFERROR(__xludf.DUMMYFUNCTION("AVERAGE(QUERY(SORT(GOOGLEFINANCE(A232,""price"",TODAY()-320,TODAY()),1,0),""select Col2 limit 100""))"),495.2739999999998)</f>
        <v>495.274</v>
      </c>
      <c r="F232" s="44">
        <f>IFERROR(__xludf.DUMMYFUNCTION("GOOGLEFINANCE(A232,""high52"")"),654.45)</f>
        <v>654.45</v>
      </c>
      <c r="G232" s="45">
        <f>IFERROR(__xludf.DUMMYFUNCTION("to_date(index(sort(GOOGLEFINANCE(A232, ""high"", today()-52*7, today(), ""DAILY""),2,0),2,1))"),46148.64583333333)</f>
        <v>46148.64583</v>
      </c>
      <c r="H232" s="44">
        <f>IFERROR(__xludf.DUMMYFUNCTION("GOOGLEFINANCE(A232,""low52"")"),418.5)</f>
        <v>418.5</v>
      </c>
      <c r="I232" s="45">
        <f>IFERROR(__xludf.DUMMYFUNCTION("to_date(index(sort(GOOGLEFINANCE(A232, ""low"", today()-52*7, today(), ""DAILY""),2,1),1,1))"),45985.64583333333)</f>
        <v>45985.64583</v>
      </c>
      <c r="J232" s="46" t="str">
        <f t="shared" si="1"/>
        <v>Do Not Buy Today</v>
      </c>
    </row>
    <row r="233">
      <c r="A233" s="73" t="s">
        <v>481</v>
      </c>
      <c r="B233" s="59">
        <f>IFERROR(__xludf.DUMMYFUNCTION("GOOGLEFINANCE(A233,""price"")"),4005.0)</f>
        <v>4005</v>
      </c>
      <c r="C233" s="60">
        <f>IFERROR(__xludf.DUMMYFUNCTION("GOOGLEFINANCE(A233,""closeyest"")"),4015.7)</f>
        <v>4015.7</v>
      </c>
      <c r="D233" s="61">
        <f>IFERROR(__xludf.DUMMYFUNCTION("MIN(index(GOOGLEFINANCE(A233,""ALL"",TODAY()-180,TODAY()),0,5))*1.2"),4447.08)</f>
        <v>4447.08</v>
      </c>
      <c r="E233" s="62">
        <f>IFERROR(__xludf.DUMMYFUNCTION("AVERAGE(QUERY(SORT(GOOGLEFINANCE(A233,""price"",TODAY()-320,TODAY()),1,0),""select Col2 limit 100""))"),4322.551999999999)</f>
        <v>4322.552</v>
      </c>
      <c r="F233" s="44">
        <f>IFERROR(__xludf.DUMMYFUNCTION("GOOGLEFINANCE(A233,""high52"")"),6139.0)</f>
        <v>6139</v>
      </c>
      <c r="G233" s="45">
        <f>IFERROR(__xludf.DUMMYFUNCTION("to_date(index(sort(GOOGLEFINANCE(A233, ""high"", today()-52*7, today(), ""DAILY""),2,0),2,1))"),45835.64583333333)</f>
        <v>45835.64583</v>
      </c>
      <c r="H233" s="44">
        <f>IFERROR(__xludf.DUMMYFUNCTION("GOOGLEFINANCE(A233,""low52"")"),3686.0)</f>
        <v>3686</v>
      </c>
      <c r="I233" s="45">
        <f>IFERROR(__xludf.DUMMYFUNCTION("to_date(index(sort(GOOGLEFINANCE(A233, ""low"", today()-52*7, today(), ""DAILY""),2,1),1,1))"),46114.64583333333)</f>
        <v>46114.64583</v>
      </c>
      <c r="J233" s="46" t="str">
        <f t="shared" si="1"/>
        <v>Do Not Buy Today</v>
      </c>
    </row>
    <row r="234">
      <c r="A234" s="73" t="s">
        <v>246</v>
      </c>
      <c r="B234" s="59">
        <f>IFERROR(__xludf.DUMMYFUNCTION("GOOGLEFINANCE(A234,""price"")"),2459.8)</f>
        <v>2459.8</v>
      </c>
      <c r="C234" s="60">
        <f>IFERROR(__xludf.DUMMYFUNCTION("GOOGLEFINANCE(A234,""closeyest"")"),2460.1)</f>
        <v>2460.1</v>
      </c>
      <c r="D234" s="61">
        <f>IFERROR(__xludf.DUMMYFUNCTION("MIN(index(GOOGLEFINANCE(A234,""ALL"",TODAY()-180,TODAY()),0,5))*1.2"),2478.24)</f>
        <v>2478.24</v>
      </c>
      <c r="E234" s="62">
        <f>IFERROR(__xludf.DUMMYFUNCTION("AVERAGE(QUERY(SORT(GOOGLEFINANCE(A234,""price"",TODAY()-320,TODAY()),1,0),""select Col2 limit 100""))"),2443.6649999999995)</f>
        <v>2443.665</v>
      </c>
      <c r="F234" s="44">
        <f>IFERROR(__xludf.DUMMYFUNCTION("GOOGLEFINANCE(A234,""high52"")"),3775.0)</f>
        <v>3775</v>
      </c>
      <c r="G234" s="45">
        <f>IFERROR(__xludf.DUMMYFUNCTION("to_date(index(sort(GOOGLEFINANCE(A234, ""high"", today()-52*7, today(), ""DAILY""),2,0),2,1))"),45806.64583333333)</f>
        <v>45806.64583</v>
      </c>
      <c r="H234" s="44">
        <f>IFERROR(__xludf.DUMMYFUNCTION("GOOGLEFINANCE(A234,""low52"")"),2057.4)</f>
        <v>2057.4</v>
      </c>
      <c r="I234" s="45">
        <f>IFERROR(__xludf.DUMMYFUNCTION("to_date(index(sort(GOOGLEFINANCE(A234, ""low"", today()-52*7, today(), ""DAILY""),2,1),1,1))"),46111.64583333333)</f>
        <v>46111.64583</v>
      </c>
      <c r="J234" s="46" t="str">
        <f t="shared" si="1"/>
        <v>Do Not Buy Today</v>
      </c>
    </row>
    <row r="235">
      <c r="A235" s="73" t="s">
        <v>482</v>
      </c>
      <c r="B235" s="59">
        <f>IFERROR(__xludf.DUMMYFUNCTION("GOOGLEFINANCE(A235,""price"")"),461.55)</f>
        <v>461.55</v>
      </c>
      <c r="C235" s="60">
        <f>IFERROR(__xludf.DUMMYFUNCTION("GOOGLEFINANCE(A235,""closeyest"")"),465.25)</f>
        <v>465.25</v>
      </c>
      <c r="D235" s="61">
        <f>IFERROR(__xludf.DUMMYFUNCTION("MIN(index(GOOGLEFINANCE(A235,""ALL"",TODAY()-180,TODAY()),0,5))*1.2"),467.87999999999994)</f>
        <v>467.88</v>
      </c>
      <c r="E235" s="62">
        <f>IFERROR(__xludf.DUMMYFUNCTION("AVERAGE(QUERY(SORT(GOOGLEFINANCE(A235,""price"",TODAY()-320,TODAY()),1,0),""select Col2 limit 100""))"),477.432)</f>
        <v>477.432</v>
      </c>
      <c r="F235" s="44">
        <f>IFERROR(__xludf.DUMMYFUNCTION("GOOGLEFINANCE(A235,""high52"")"),728.6)</f>
        <v>728.6</v>
      </c>
      <c r="G235" s="45">
        <f>IFERROR(__xludf.DUMMYFUNCTION("to_date(index(sort(GOOGLEFINANCE(A235, ""high"", today()-52*7, today(), ""DAILY""),2,0),2,1))"),45868.64583333333)</f>
        <v>45868.64583</v>
      </c>
      <c r="H235" s="44">
        <f>IFERROR(__xludf.DUMMYFUNCTION("GOOGLEFINANCE(A235,""low52"")"),380.0)</f>
        <v>380</v>
      </c>
      <c r="I235" s="45">
        <f>IFERROR(__xludf.DUMMYFUNCTION("to_date(index(sort(GOOGLEFINANCE(A235, ""low"", today()-52*7, today(), ""DAILY""),2,1),1,1))"),46118.64583333333)</f>
        <v>46118.64583</v>
      </c>
      <c r="J235" s="46" t="str">
        <f t="shared" si="1"/>
        <v>Do Not Buy Today</v>
      </c>
    </row>
    <row r="236">
      <c r="A236" s="73" t="s">
        <v>483</v>
      </c>
      <c r="B236" s="59">
        <f>IFERROR(__xludf.DUMMYFUNCTION("GOOGLEFINANCE(A236,""price"")"),206.8)</f>
        <v>206.8</v>
      </c>
      <c r="C236" s="60">
        <f>IFERROR(__xludf.DUMMYFUNCTION("GOOGLEFINANCE(A236,""closeyest"")"),205.29)</f>
        <v>205.29</v>
      </c>
      <c r="D236" s="61">
        <f>IFERROR(__xludf.DUMMYFUNCTION("MIN(index(GOOGLEFINANCE(A236,""ALL"",TODAY()-180,TODAY()),0,5))*1.2"),210.756)</f>
        <v>210.756</v>
      </c>
      <c r="E236" s="62">
        <f>IFERROR(__xludf.DUMMYFUNCTION("AVERAGE(QUERY(SORT(GOOGLEFINANCE(A236,""price"",TODAY()-320,TODAY()),1,0),""select Col2 limit 100""))"),215.85970000000006)</f>
        <v>215.8597</v>
      </c>
      <c r="F236" s="44">
        <f>IFERROR(__xludf.DUMMYFUNCTION("GOOGLEFINANCE(A236,""high52"")"),316.0)</f>
        <v>316</v>
      </c>
      <c r="G236" s="45">
        <f>IFERROR(__xludf.DUMMYFUNCTION("to_date(index(sort(GOOGLEFINANCE(A236, ""high"", today()-52*7, today(), ""DAILY""),2,0),2,1))"),45813.64583333333)</f>
        <v>45813.64583</v>
      </c>
      <c r="H236" s="44">
        <f>IFERROR(__xludf.DUMMYFUNCTION("GOOGLEFINANCE(A236,""low52"")"),175.0)</f>
        <v>175</v>
      </c>
      <c r="I236" s="45">
        <f>IFERROR(__xludf.DUMMYFUNCTION("to_date(index(sort(GOOGLEFINANCE(A236, ""low"", today()-52*7, today(), ""DAILY""),2,1),1,1))"),46111.64583333333)</f>
        <v>46111.64583</v>
      </c>
      <c r="J236" s="46" t="str">
        <f t="shared" si="1"/>
        <v>Do Not Buy Today</v>
      </c>
    </row>
    <row r="237">
      <c r="A237" s="73" t="s">
        <v>251</v>
      </c>
      <c r="B237" s="59">
        <f>IFERROR(__xludf.DUMMYFUNCTION("GOOGLEFINANCE(A237,""price"")"),207.34)</f>
        <v>207.34</v>
      </c>
      <c r="C237" s="60">
        <f>IFERROR(__xludf.DUMMYFUNCTION("GOOGLEFINANCE(A237,""closeyest"")"),206.64)</f>
        <v>206.64</v>
      </c>
      <c r="D237" s="61">
        <f>IFERROR(__xludf.DUMMYFUNCTION("MIN(index(GOOGLEFINANCE(A237,""ALL"",TODAY()-180,TODAY()),0,5))*1.2"),191.496)</f>
        <v>191.496</v>
      </c>
      <c r="E237" s="62">
        <f>IFERROR(__xludf.DUMMYFUNCTION("AVERAGE(QUERY(SORT(GOOGLEFINANCE(A237,""price"",TODAY()-320,TODAY()),1,0),""select Col2 limit 100""))"),198.58360000000008)</f>
        <v>198.5836</v>
      </c>
      <c r="F237" s="44">
        <f>IFERROR(__xludf.DUMMYFUNCTION("GOOGLEFINANCE(A237,""high52"")"),253.73)</f>
        <v>253.73</v>
      </c>
      <c r="G237" s="45">
        <f>IFERROR(__xludf.DUMMYFUNCTION("to_date(index(sort(GOOGLEFINANCE(A237, ""high"", today()-52*7, today(), ""DAILY""),2,0),2,1))"),45811.64583333333)</f>
        <v>45811.64583</v>
      </c>
      <c r="H237" s="44">
        <f>IFERROR(__xludf.DUMMYFUNCTION("GOOGLEFINANCE(A237,""low52"")"),159.0)</f>
        <v>159</v>
      </c>
      <c r="I237" s="45">
        <f>IFERROR(__xludf.DUMMYFUNCTION("to_date(index(sort(GOOGLEFINANCE(A237, ""low"", today()-52*7, today(), ""DAILY""),2,1),1,1))"),46111.64583333333)</f>
        <v>46111.64583</v>
      </c>
      <c r="J237" s="46" t="str">
        <f t="shared" si="1"/>
        <v>Do Not Buy Today</v>
      </c>
    </row>
    <row r="238">
      <c r="A238" s="73" t="s">
        <v>484</v>
      </c>
      <c r="B238" s="59">
        <f>IFERROR(__xludf.DUMMYFUNCTION("GOOGLEFINANCE(A238,""price"")"),586.45)</f>
        <v>586.45</v>
      </c>
      <c r="C238" s="60">
        <f>IFERROR(__xludf.DUMMYFUNCTION("GOOGLEFINANCE(A238,""closeyest"")"),584.3)</f>
        <v>584.3</v>
      </c>
      <c r="D238" s="61">
        <f>IFERROR(__xludf.DUMMYFUNCTION("MIN(index(GOOGLEFINANCE(A238,""ALL"",TODAY()-180,TODAY()),0,5))*1.2"),615.6)</f>
        <v>615.6</v>
      </c>
      <c r="E238" s="62">
        <f>IFERROR(__xludf.DUMMYFUNCTION("AVERAGE(QUERY(SORT(GOOGLEFINANCE(A238,""price"",TODAY()-320,TODAY()),1,0),""select Col2 limit 100""))"),580.6144999999999)</f>
        <v>580.6145</v>
      </c>
      <c r="F238" s="44">
        <f>IFERROR(__xludf.DUMMYFUNCTION("GOOGLEFINANCE(A238,""high52"")"),876.35)</f>
        <v>876.35</v>
      </c>
      <c r="G238" s="45">
        <f>IFERROR(__xludf.DUMMYFUNCTION("to_date(index(sort(GOOGLEFINANCE(A238, ""high"", today()-52*7, today(), ""DAILY""),2,0),2,1))"),45862.64583333333)</f>
        <v>45862.64583</v>
      </c>
      <c r="H238" s="44">
        <f>IFERROR(__xludf.DUMMYFUNCTION("GOOGLEFINANCE(A238,""low52"")"),506.1)</f>
        <v>506.1</v>
      </c>
      <c r="I238" s="45">
        <f>IFERROR(__xludf.DUMMYFUNCTION("to_date(index(sort(GOOGLEFINANCE(A238, ""low"", today()-52*7, today(), ""DAILY""),2,1),1,1))"),46049.64583333333)</f>
        <v>46049.64583</v>
      </c>
      <c r="J238" s="46" t="str">
        <f t="shared" si="1"/>
        <v>Do Not Buy Today</v>
      </c>
    </row>
    <row r="239">
      <c r="A239" s="73" t="s">
        <v>485</v>
      </c>
      <c r="B239" s="59">
        <f>IFERROR(__xludf.DUMMYFUNCTION("GOOGLEFINANCE(A239,""price"")"),783.0)</f>
        <v>783</v>
      </c>
      <c r="C239" s="60">
        <f>IFERROR(__xludf.DUMMYFUNCTION("GOOGLEFINANCE(A239,""closeyest"")"),788.7)</f>
        <v>788.7</v>
      </c>
      <c r="D239" s="61">
        <f>IFERROR(__xludf.DUMMYFUNCTION("MIN(index(GOOGLEFINANCE(A239,""ALL"",TODAY()-180,TODAY()),0,5))*1.2"),842.7599999999999)</f>
        <v>842.76</v>
      </c>
      <c r="E239" s="62">
        <f>IFERROR(__xludf.DUMMYFUNCTION("AVERAGE(QUERY(SORT(GOOGLEFINANCE(A239,""price"",TODAY()-320,TODAY()),1,0),""select Col2 limit 100""))"),806.3055000000002)</f>
        <v>806.3055</v>
      </c>
      <c r="F239" s="44">
        <f>IFERROR(__xludf.DUMMYFUNCTION("GOOGLEFINANCE(A239,""high52"")"),1082.0)</f>
        <v>1082</v>
      </c>
      <c r="G239" s="45">
        <f>IFERROR(__xludf.DUMMYFUNCTION("to_date(index(sort(GOOGLEFINANCE(A239, ""high"", today()-52*7, today(), ""DAILY""),2,0),2,1))"),45870.64583333333)</f>
        <v>45870.64583</v>
      </c>
      <c r="H239" s="44">
        <f>IFERROR(__xludf.DUMMYFUNCTION("GOOGLEFINANCE(A239,""low52"")"),691.35)</f>
        <v>691.35</v>
      </c>
      <c r="I239" s="45">
        <f>IFERROR(__xludf.DUMMYFUNCTION("to_date(index(sort(GOOGLEFINANCE(A239, ""low"", today()-52*7, today(), ""DAILY""),2,1),1,1))"),46111.64583333333)</f>
        <v>46111.64583</v>
      </c>
      <c r="J239" s="46" t="str">
        <f t="shared" si="1"/>
        <v>Do Not Buy Today</v>
      </c>
    </row>
    <row r="240">
      <c r="A240" s="73" t="s">
        <v>486</v>
      </c>
      <c r="B240" s="59">
        <f>IFERROR(__xludf.DUMMYFUNCTION("GOOGLEFINANCE(A240,""price"")"),908.2)</f>
        <v>908.2</v>
      </c>
      <c r="C240" s="60">
        <f>IFERROR(__xludf.DUMMYFUNCTION("GOOGLEFINANCE(A240,""closeyest"")"),903.4)</f>
        <v>903.4</v>
      </c>
      <c r="D240" s="61">
        <f>IFERROR(__xludf.DUMMYFUNCTION("MIN(index(GOOGLEFINANCE(A240,""ALL"",TODAY()-180,TODAY()),0,5))*1.2"),794.52)</f>
        <v>794.52</v>
      </c>
      <c r="E240" s="62">
        <f>IFERROR(__xludf.DUMMYFUNCTION("AVERAGE(QUERY(SORT(GOOGLEFINANCE(A240,""price"",TODAY()-320,TODAY()),1,0),""select Col2 limit 100""))"),832.6475)</f>
        <v>832.6475</v>
      </c>
      <c r="F240" s="44">
        <f>IFERROR(__xludf.DUMMYFUNCTION("GOOGLEFINANCE(A240,""high52"")"),1112.0)</f>
        <v>1112</v>
      </c>
      <c r="G240" s="45">
        <f>IFERROR(__xludf.DUMMYFUNCTION("to_date(index(sort(GOOGLEFINANCE(A240, ""high"", today()-52*7, today(), ""DAILY""),2,0),2,1))"),45813.64583333333)</f>
        <v>45813.64583</v>
      </c>
      <c r="H240" s="44">
        <f>IFERROR(__xludf.DUMMYFUNCTION("GOOGLEFINANCE(A240,""low52"")"),652.1)</f>
        <v>652.1</v>
      </c>
      <c r="I240" s="45">
        <f>IFERROR(__xludf.DUMMYFUNCTION("to_date(index(sort(GOOGLEFINANCE(A240, ""low"", today()-52*7, today(), ""DAILY""),2,1),1,1))"),46090.64583333333)</f>
        <v>46090.64583</v>
      </c>
      <c r="J240" s="46" t="str">
        <f t="shared" si="1"/>
        <v>Do Not Buy Today</v>
      </c>
    </row>
    <row r="241">
      <c r="A241" s="73" t="s">
        <v>487</v>
      </c>
      <c r="B241" s="59">
        <f>IFERROR(__xludf.DUMMYFUNCTION("GOOGLEFINANCE(A241,""price"")"),370.55)</f>
        <v>370.55</v>
      </c>
      <c r="C241" s="60">
        <f>IFERROR(__xludf.DUMMYFUNCTION("GOOGLEFINANCE(A241,""closeyest"")"),371.5)</f>
        <v>371.5</v>
      </c>
      <c r="D241" s="61">
        <f>IFERROR(__xludf.DUMMYFUNCTION("MIN(index(GOOGLEFINANCE(A241,""ALL"",TODAY()-180,TODAY()),0,5))*1.2"),368.7)</f>
        <v>368.7</v>
      </c>
      <c r="E241" s="62">
        <f>IFERROR(__xludf.DUMMYFUNCTION("AVERAGE(QUERY(SORT(GOOGLEFINANCE(A241,""price"",TODAY()-320,TODAY()),1,0),""select Col2 limit 100""))"),385.9475)</f>
        <v>385.9475</v>
      </c>
      <c r="F241" s="44">
        <f>IFERROR(__xludf.DUMMYFUNCTION("GOOGLEFINANCE(A241,""high52"")"),508.7)</f>
        <v>508.7</v>
      </c>
      <c r="G241" s="45">
        <f>IFERROR(__xludf.DUMMYFUNCTION("to_date(index(sort(GOOGLEFINANCE(A241, ""high"", today()-52*7, today(), ""DAILY""),2,0),2,1))"),45841.64583333333)</f>
        <v>45841.64583</v>
      </c>
      <c r="H241" s="44">
        <f>IFERROR(__xludf.DUMMYFUNCTION("GOOGLEFINANCE(A241,""low52"")"),301.5)</f>
        <v>301.5</v>
      </c>
      <c r="I241" s="45">
        <f>IFERROR(__xludf.DUMMYFUNCTION("to_date(index(sort(GOOGLEFINANCE(A241, ""low"", today()-52*7, today(), ""DAILY""),2,1),1,1))"),46114.64583333333)</f>
        <v>46114.64583</v>
      </c>
      <c r="J241" s="46" t="str">
        <f t="shared" si="1"/>
        <v>Do Not Buy Today</v>
      </c>
    </row>
    <row r="242">
      <c r="A242" s="73" t="s">
        <v>488</v>
      </c>
      <c r="B242" s="59">
        <f>IFERROR(__xludf.DUMMYFUNCTION("GOOGLEFINANCE(A242,""price"")"),84.47)</f>
        <v>84.47</v>
      </c>
      <c r="C242" s="60">
        <f>IFERROR(__xludf.DUMMYFUNCTION("GOOGLEFINANCE(A242,""closeyest"")"),82.78)</f>
        <v>82.78</v>
      </c>
      <c r="D242" s="61">
        <f>IFERROR(__xludf.DUMMYFUNCTION("MIN(index(GOOGLEFINANCE(A242,""ALL"",TODAY()-180,TODAY()),0,5))*1.2"),82.068)</f>
        <v>82.068</v>
      </c>
      <c r="E242" s="62">
        <f>IFERROR(__xludf.DUMMYFUNCTION("AVERAGE(QUERY(SORT(GOOGLEFINANCE(A242,""price"",TODAY()-320,TODAY()),1,0),""select Col2 limit 100""))"),85.41659999999997)</f>
        <v>85.4166</v>
      </c>
      <c r="F242" s="44">
        <f>IFERROR(__xludf.DUMMYFUNCTION("GOOGLEFINANCE(A242,""high52"")"),151.7)</f>
        <v>151.7</v>
      </c>
      <c r="G242" s="45">
        <f>IFERROR(__xludf.DUMMYFUNCTION("to_date(index(sort(GOOGLEFINANCE(A242, ""high"", today()-52*7, today(), ""DAILY""),2,0),2,1))"),45842.64583333333)</f>
        <v>45842.64583</v>
      </c>
      <c r="H242" s="44">
        <f>IFERROR(__xludf.DUMMYFUNCTION("GOOGLEFINANCE(A242,""low52"")"),68.0)</f>
        <v>68</v>
      </c>
      <c r="I242" s="45">
        <f>IFERROR(__xludf.DUMMYFUNCTION("to_date(index(sort(GOOGLEFINANCE(A242, ""low"", today()-52*7, today(), ""DAILY""),2,1),1,1))"),46104.64583333333)</f>
        <v>46104.64583</v>
      </c>
      <c r="J242" s="46" t="str">
        <f t="shared" si="1"/>
        <v>Do Not Buy Today</v>
      </c>
    </row>
    <row r="243">
      <c r="A243" s="73" t="s">
        <v>489</v>
      </c>
      <c r="B243" s="59">
        <f>IFERROR(__xludf.DUMMYFUNCTION("GOOGLEFINANCE(A243,""price"")"),127.01)</f>
        <v>127.01</v>
      </c>
      <c r="C243" s="60">
        <f>IFERROR(__xludf.DUMMYFUNCTION("GOOGLEFINANCE(A243,""closeyest"")"),127.47)</f>
        <v>127.47</v>
      </c>
      <c r="D243" s="61">
        <f>IFERROR(__xludf.DUMMYFUNCTION("MIN(index(GOOGLEFINANCE(A243,""ALL"",TODAY()-180,TODAY()),0,5))*1.2"),137.7)</f>
        <v>137.7</v>
      </c>
      <c r="E243" s="62">
        <f>IFERROR(__xludf.DUMMYFUNCTION("AVERAGE(QUERY(SORT(GOOGLEFINANCE(A243,""price"",TODAY()-320,TODAY()),1,0),""select Col2 limit 100""))"),127.93850000000008)</f>
        <v>127.9385</v>
      </c>
      <c r="F243" s="44">
        <f>IFERROR(__xludf.DUMMYFUNCTION("GOOGLEFINANCE(A243,""high52"")"),215.4)</f>
        <v>215.4</v>
      </c>
      <c r="G243" s="45">
        <f>IFERROR(__xludf.DUMMYFUNCTION("to_date(index(sort(GOOGLEFINANCE(A243, ""high"", today()-52*7, today(), ""DAILY""),2,0),2,1))"),45817.64583333333)</f>
        <v>45817.64583</v>
      </c>
      <c r="H243" s="44">
        <f>IFERROR(__xludf.DUMMYFUNCTION("GOOGLEFINANCE(A243,""low52"")"),114.6)</f>
        <v>114.6</v>
      </c>
      <c r="I243" s="45">
        <f>IFERROR(__xludf.DUMMYFUNCTION("to_date(index(sort(GOOGLEFINANCE(A243, ""low"", today()-52*7, today(), ""DAILY""),2,1),1,1))"),46111.64583333333)</f>
        <v>46111.64583</v>
      </c>
      <c r="J243" s="46" t="str">
        <f t="shared" si="1"/>
        <v>Do Not Buy Today</v>
      </c>
    </row>
    <row r="244">
      <c r="A244" s="73" t="s">
        <v>490</v>
      </c>
      <c r="B244" s="59">
        <f>IFERROR(__xludf.DUMMYFUNCTION("GOOGLEFINANCE(A244,""price"")"),1540.9)</f>
        <v>1540.9</v>
      </c>
      <c r="C244" s="60">
        <f>IFERROR(__xludf.DUMMYFUNCTION("GOOGLEFINANCE(A244,""closeyest"")"),1533.2)</f>
        <v>1533.2</v>
      </c>
      <c r="D244" s="61">
        <f>IFERROR(__xludf.DUMMYFUNCTION("MIN(index(GOOGLEFINANCE(A244,""ALL"",TODAY()-180,TODAY()),0,5))*1.2"),1586.3999999999999)</f>
        <v>1586.4</v>
      </c>
      <c r="E244" s="62">
        <f>IFERROR(__xludf.DUMMYFUNCTION("AVERAGE(QUERY(SORT(GOOGLEFINANCE(A244,""price"",TODAY()-320,TODAY()),1,0),""select Col2 limit 100""))"),1632.881)</f>
        <v>1632.881</v>
      </c>
      <c r="F244" s="44">
        <f>IFERROR(__xludf.DUMMYFUNCTION("GOOGLEFINANCE(A244,""high52"")"),2155.0)</f>
        <v>2155</v>
      </c>
      <c r="G244" s="45">
        <f>IFERROR(__xludf.DUMMYFUNCTION("to_date(index(sort(GOOGLEFINANCE(A244, ""high"", today()-52*7, today(), ""DAILY""),2,0),2,1))"),45820.64583333333)</f>
        <v>45820.64583</v>
      </c>
      <c r="H244" s="44">
        <f>IFERROR(__xludf.DUMMYFUNCTION("GOOGLEFINANCE(A244,""low52"")"),1314.6)</f>
        <v>1314.6</v>
      </c>
      <c r="I244" s="45">
        <f>IFERROR(__xludf.DUMMYFUNCTION("to_date(index(sort(GOOGLEFINANCE(A244, ""low"", today()-52*7, today(), ""DAILY""),2,1),1,1))"),46111.64583333333)</f>
        <v>46111.64583</v>
      </c>
      <c r="J244" s="46" t="str">
        <f t="shared" si="1"/>
        <v>Do Not Buy Today</v>
      </c>
    </row>
    <row r="245">
      <c r="A245" s="73" t="s">
        <v>491</v>
      </c>
      <c r="B245" s="59">
        <f>IFERROR(__xludf.DUMMYFUNCTION("GOOGLEFINANCE(A245,""price"")"),379.15)</f>
        <v>379.15</v>
      </c>
      <c r="C245" s="60">
        <f>IFERROR(__xludf.DUMMYFUNCTION("GOOGLEFINANCE(A245,""closeyest"")"),377.5)</f>
        <v>377.5</v>
      </c>
      <c r="D245" s="61">
        <f>IFERROR(__xludf.DUMMYFUNCTION("MIN(index(GOOGLEFINANCE(A245,""ALL"",TODAY()-180,TODAY()),0,5))*1.2"),393.66)</f>
        <v>393.66</v>
      </c>
      <c r="E245" s="62">
        <f>IFERROR(__xludf.DUMMYFUNCTION("AVERAGE(QUERY(SORT(GOOGLEFINANCE(A245,""price"",TODAY()-320,TODAY()),1,0),""select Col2 limit 100""))"),378.7305000000001)</f>
        <v>378.7305</v>
      </c>
      <c r="F245" s="44">
        <f>IFERROR(__xludf.DUMMYFUNCTION("GOOGLEFINANCE(A245,""high52"")"),468.1)</f>
        <v>468.1</v>
      </c>
      <c r="G245" s="45">
        <f>IFERROR(__xludf.DUMMYFUNCTION("to_date(index(sort(GOOGLEFINANCE(A245, ""high"", today()-52*7, today(), ""DAILY""),2,0),2,1))"),45805.64583333333)</f>
        <v>45805.64583</v>
      </c>
      <c r="H245" s="44">
        <f>IFERROR(__xludf.DUMMYFUNCTION("GOOGLEFINANCE(A245,""low52"")"),317.55)</f>
        <v>317.55</v>
      </c>
      <c r="I245" s="45">
        <f>IFERROR(__xludf.DUMMYFUNCTION("to_date(index(sort(GOOGLEFINANCE(A245, ""low"", today()-52*7, today(), ""DAILY""),2,1),1,1))"),46043.64583333333)</f>
        <v>46043.64583</v>
      </c>
      <c r="J245" s="46" t="str">
        <f t="shared" si="1"/>
        <v>Do Not Buy Today</v>
      </c>
    </row>
    <row r="246">
      <c r="A246" s="73" t="s">
        <v>492</v>
      </c>
      <c r="B246" s="59">
        <f>IFERROR(__xludf.DUMMYFUNCTION("GOOGLEFINANCE(A246,""price"")"),2303.4)</f>
        <v>2303.4</v>
      </c>
      <c r="C246" s="60">
        <f>IFERROR(__xludf.DUMMYFUNCTION("GOOGLEFINANCE(A246,""closeyest"")"),2282.4)</f>
        <v>2282.4</v>
      </c>
      <c r="D246" s="61">
        <f>IFERROR(__xludf.DUMMYFUNCTION("MIN(index(GOOGLEFINANCE(A246,""ALL"",TODAY()-180,TODAY()),0,5))*1.2"),2711.4)</f>
        <v>2711.4</v>
      </c>
      <c r="E246" s="62">
        <f>IFERROR(__xludf.DUMMYFUNCTION("AVERAGE(QUERY(SORT(GOOGLEFINANCE(A246,""price"",TODAY()-320,TODAY()),1,0),""select Col2 limit 100""))"),2433.435)</f>
        <v>2433.435</v>
      </c>
      <c r="F246" s="44">
        <f>IFERROR(__xludf.DUMMYFUNCTION("GOOGLEFINANCE(A246,""high52"")"),3515.7)</f>
        <v>3515.7</v>
      </c>
      <c r="G246" s="45">
        <f>IFERROR(__xludf.DUMMYFUNCTION("to_date(index(sort(GOOGLEFINANCE(A246, ""high"", today()-52*7, today(), ""DAILY""),2,0),2,1))"),45813.64583333333)</f>
        <v>45813.64583</v>
      </c>
      <c r="H246" s="44">
        <f>IFERROR(__xludf.DUMMYFUNCTION("GOOGLEFINANCE(A246,""low52"")"),2217.6)</f>
        <v>2217.6</v>
      </c>
      <c r="I246" s="45">
        <f>IFERROR(__xludf.DUMMYFUNCTION("to_date(index(sort(GOOGLEFINANCE(A246, ""low"", today()-52*7, today(), ""DAILY""),2,1),1,1))"),46111.64583333333)</f>
        <v>46111.64583</v>
      </c>
      <c r="J246" s="46" t="str">
        <f t="shared" si="1"/>
        <v>Do Not Buy Today</v>
      </c>
    </row>
    <row r="247">
      <c r="A247" s="73" t="s">
        <v>493</v>
      </c>
      <c r="B247" s="59">
        <f>IFERROR(__xludf.DUMMYFUNCTION("GOOGLEFINANCE(A247,""price"")"),1283.2)</f>
        <v>1283.2</v>
      </c>
      <c r="C247" s="60">
        <f>IFERROR(__xludf.DUMMYFUNCTION("GOOGLEFINANCE(A247,""closeyest"")"),1297.1)</f>
        <v>1297.1</v>
      </c>
      <c r="D247" s="61">
        <f>IFERROR(__xludf.DUMMYFUNCTION("MIN(index(GOOGLEFINANCE(A247,""ALL"",TODAY()-180,TODAY()),0,5))*1.2"),1221.72)</f>
        <v>1221.72</v>
      </c>
      <c r="E247" s="62">
        <f>IFERROR(__xludf.DUMMYFUNCTION("AVERAGE(QUERY(SORT(GOOGLEFINANCE(A247,""price"",TODAY()-320,TODAY()),1,0),""select Col2 limit 100""))"),1165.1390000000001)</f>
        <v>1165.139</v>
      </c>
      <c r="F247" s="44">
        <f>IFERROR(__xludf.DUMMYFUNCTION("GOOGLEFINANCE(A247,""high52"")"),1335.6)</f>
        <v>1335.6</v>
      </c>
      <c r="G247" s="45">
        <f>IFERROR(__xludf.DUMMYFUNCTION("to_date(index(sort(GOOGLEFINANCE(A247, ""high"", today()-52*7, today(), ""DAILY""),2,0),2,1))"),45967.64583333333)</f>
        <v>45967.64583</v>
      </c>
      <c r="H247" s="44">
        <f>IFERROR(__xludf.DUMMYFUNCTION("GOOGLEFINANCE(A247,""low52"")"),1007.1)</f>
        <v>1007.1</v>
      </c>
      <c r="I247" s="45">
        <f>IFERROR(__xludf.DUMMYFUNCTION("to_date(index(sort(GOOGLEFINANCE(A247, ""low"", today()-52*7, today(), ""DAILY""),2,1),1,1))"),46104.64583333333)</f>
        <v>46104.64583</v>
      </c>
      <c r="J247" s="46" t="str">
        <f t="shared" si="1"/>
        <v>Do Not Buy Today</v>
      </c>
    </row>
    <row r="248">
      <c r="A248" s="73" t="s">
        <v>252</v>
      </c>
      <c r="B248" s="59">
        <f>IFERROR(__xludf.DUMMYFUNCTION("GOOGLEFINANCE(A248,""price"")"),355.65)</f>
        <v>355.65</v>
      </c>
      <c r="C248" s="60">
        <f>IFERROR(__xludf.DUMMYFUNCTION("GOOGLEFINANCE(A248,""closeyest"")"),355.45)</f>
        <v>355.45</v>
      </c>
      <c r="D248" s="61">
        <f>IFERROR(__xludf.DUMMYFUNCTION("MIN(index(GOOGLEFINANCE(A248,""ALL"",TODAY()-180,TODAY()),0,5))*1.2"),412.26)</f>
        <v>412.26</v>
      </c>
      <c r="E248" s="62">
        <f>IFERROR(__xludf.DUMMYFUNCTION("AVERAGE(QUERY(SORT(GOOGLEFINANCE(A248,""price"",TODAY()-320,TODAY()),1,0),""select Col2 limit 100""))"),413.26349999999996)</f>
        <v>413.2635</v>
      </c>
      <c r="F248" s="44">
        <f>IFERROR(__xludf.DUMMYFUNCTION("GOOGLEFINANCE(A248,""high52"")"),617.7)</f>
        <v>617.7</v>
      </c>
      <c r="G248" s="45">
        <f>IFERROR(__xludf.DUMMYFUNCTION("to_date(index(sort(GOOGLEFINANCE(A248, ""high"", today()-52*7, today(), ""DAILY""),2,0),2,1))"),45862.64583333333)</f>
        <v>45862.64583</v>
      </c>
      <c r="H248" s="44">
        <f>IFERROR(__xludf.DUMMYFUNCTION("GOOGLEFINANCE(A248,""low52"")"),337.0)</f>
        <v>337</v>
      </c>
      <c r="I248" s="45">
        <f>IFERROR(__xludf.DUMMYFUNCTION("to_date(index(sort(GOOGLEFINANCE(A248, ""low"", today()-52*7, today(), ""DAILY""),2,1),1,1))"),46160.64583333333)</f>
        <v>46160.64583</v>
      </c>
      <c r="J248" s="46" t="str">
        <f t="shared" si="1"/>
        <v>Do Not Buy Today</v>
      </c>
    </row>
    <row r="249">
      <c r="A249" s="73" t="s">
        <v>494</v>
      </c>
      <c r="B249" s="59">
        <f>IFERROR(__xludf.DUMMYFUNCTION("GOOGLEFINANCE(A249,""price"")"),504.4)</f>
        <v>504.4</v>
      </c>
      <c r="C249" s="60">
        <f>IFERROR(__xludf.DUMMYFUNCTION("GOOGLEFINANCE(A249,""closeyest"")"),499.1)</f>
        <v>499.1</v>
      </c>
      <c r="D249" s="61">
        <f>IFERROR(__xludf.DUMMYFUNCTION("MIN(index(GOOGLEFINANCE(A249,""ALL"",TODAY()-180,TODAY()),0,5))*1.2"),563.28)</f>
        <v>563.28</v>
      </c>
      <c r="E249" s="62">
        <f>IFERROR(__xludf.DUMMYFUNCTION("AVERAGE(QUERY(SORT(GOOGLEFINANCE(A249,""price"",TODAY()-320,TODAY()),1,0),""select Col2 limit 100""))"),594.9260000000002)</f>
        <v>594.926</v>
      </c>
      <c r="F249" s="44">
        <f>IFERROR(__xludf.DUMMYFUNCTION("GOOGLEFINANCE(A249,""high52"")"),947.0)</f>
        <v>947</v>
      </c>
      <c r="G249" s="45">
        <f>IFERROR(__xludf.DUMMYFUNCTION("to_date(index(sort(GOOGLEFINANCE(A249, ""high"", today()-52*7, today(), ""DAILY""),2,0),2,1))"),45834.64583333333)</f>
        <v>45834.64583</v>
      </c>
      <c r="H249" s="44">
        <f>IFERROR(__xludf.DUMMYFUNCTION("GOOGLEFINANCE(A249,""low52"")"),466.0)</f>
        <v>466</v>
      </c>
      <c r="I249" s="45">
        <f>IFERROR(__xludf.DUMMYFUNCTION("to_date(index(sort(GOOGLEFINANCE(A249, ""low"", today()-52*7, today(), ""DAILY""),2,1),1,1))"),46161.64583333333)</f>
        <v>46161.64583</v>
      </c>
      <c r="J249" s="46" t="str">
        <f t="shared" si="1"/>
        <v>Do Not Buy Today</v>
      </c>
    </row>
    <row r="250">
      <c r="A250" s="73" t="s">
        <v>253</v>
      </c>
      <c r="B250" s="59">
        <f>IFERROR(__xludf.DUMMYFUNCTION("GOOGLEFINANCE(A250,""price"")"),770.9)</f>
        <v>770.9</v>
      </c>
      <c r="C250" s="60">
        <f>IFERROR(__xludf.DUMMYFUNCTION("GOOGLEFINANCE(A250,""closeyest"")"),713.1)</f>
        <v>713.1</v>
      </c>
      <c r="D250" s="61">
        <f>IFERROR(__xludf.DUMMYFUNCTION("MIN(index(GOOGLEFINANCE(A250,""ALL"",TODAY()-180,TODAY()),0,5))*1.2"),561.4799999999999)</f>
        <v>561.48</v>
      </c>
      <c r="E250" s="62">
        <f>IFERROR(__xludf.DUMMYFUNCTION("AVERAGE(QUERY(SORT(GOOGLEFINANCE(A250,""price"",TODAY()-320,TODAY()),1,0),""select Col2 limit 100""))"),563.9525000000001)</f>
        <v>563.9525</v>
      </c>
      <c r="F250" s="44">
        <f>IFERROR(__xludf.DUMMYFUNCTION("GOOGLEFINANCE(A250,""high52"")"),798.0)</f>
        <v>798</v>
      </c>
      <c r="G250" s="45">
        <f>IFERROR(__xludf.DUMMYFUNCTION("to_date(index(sort(GOOGLEFINANCE(A250, ""high"", today()-52*7, today(), ""DAILY""),2,0),2,1))"),45923.64583333333)</f>
        <v>45923.64583</v>
      </c>
      <c r="H250" s="44">
        <f>IFERROR(__xludf.DUMMYFUNCTION("GOOGLEFINANCE(A250,""low52"")"),462.8)</f>
        <v>462.8</v>
      </c>
      <c r="I250" s="45">
        <f>IFERROR(__xludf.DUMMYFUNCTION("to_date(index(sort(GOOGLEFINANCE(A250, ""low"", today()-52*7, today(), ""DAILY""),2,1),1,1))"),46090.64583333333)</f>
        <v>46090.64583</v>
      </c>
      <c r="J250" s="46" t="str">
        <f t="shared" si="1"/>
        <v>Do Not Buy Today</v>
      </c>
    </row>
    <row r="251">
      <c r="A251" s="73" t="s">
        <v>495</v>
      </c>
      <c r="B251" s="59">
        <f>IFERROR(__xludf.DUMMYFUNCTION("GOOGLEFINANCE(A251,""price"")"),531.0)</f>
        <v>531</v>
      </c>
      <c r="C251" s="60">
        <f>IFERROR(__xludf.DUMMYFUNCTION("GOOGLEFINANCE(A251,""closeyest"")"),529.65)</f>
        <v>529.65</v>
      </c>
      <c r="D251" s="61">
        <f>IFERROR(__xludf.DUMMYFUNCTION("MIN(index(GOOGLEFINANCE(A251,""ALL"",TODAY()-180,TODAY()),0,5))*1.2"),477.36)</f>
        <v>477.36</v>
      </c>
      <c r="E251" s="62">
        <f>IFERROR(__xludf.DUMMYFUNCTION("AVERAGE(QUERY(SORT(GOOGLEFINANCE(A251,""price"",TODAY()-320,TODAY()),1,0),""select Col2 limit 100""))"),476.6655000000002)</f>
        <v>476.6655</v>
      </c>
      <c r="F251" s="44">
        <f>IFERROR(__xludf.DUMMYFUNCTION("GOOGLEFINANCE(A251,""high52"")"),627.8)</f>
        <v>627.8</v>
      </c>
      <c r="G251" s="45">
        <f>IFERROR(__xludf.DUMMYFUNCTION("to_date(index(sort(GOOGLEFINANCE(A251, ""high"", today()-52*7, today(), ""DAILY""),2,0),2,1))"),45854.64583333333)</f>
        <v>45854.64583</v>
      </c>
      <c r="H251" s="44">
        <f>IFERROR(__xludf.DUMMYFUNCTION("GOOGLEFINANCE(A251,""low52"")"),393.55)</f>
        <v>393.55</v>
      </c>
      <c r="I251" s="45">
        <f>IFERROR(__xludf.DUMMYFUNCTION("to_date(index(sort(GOOGLEFINANCE(A251, ""low"", today()-52*7, today(), ""DAILY""),2,1),1,1))"),46043.64583333333)</f>
        <v>46043.64583</v>
      </c>
      <c r="J251" s="46" t="str">
        <f t="shared" si="1"/>
        <v>Do Not Buy Today</v>
      </c>
    </row>
    <row r="252">
      <c r="A252" s="73" t="s">
        <v>254</v>
      </c>
      <c r="B252" s="59">
        <f>IFERROR(__xludf.DUMMYFUNCTION("GOOGLEFINANCE(A252,""price"")"),388.35)</f>
        <v>388.35</v>
      </c>
      <c r="C252" s="60">
        <f>IFERROR(__xludf.DUMMYFUNCTION("GOOGLEFINANCE(A252,""closeyest"")"),366.25)</f>
        <v>366.25</v>
      </c>
      <c r="D252" s="61">
        <f>IFERROR(__xludf.DUMMYFUNCTION("MIN(index(GOOGLEFINANCE(A252,""ALL"",TODAY()-180,TODAY()),0,5))*1.2"),345.47999999999996)</f>
        <v>345.48</v>
      </c>
      <c r="E252" s="62">
        <f>IFERROR(__xludf.DUMMYFUNCTION("AVERAGE(QUERY(SORT(GOOGLEFINANCE(A252,""price"",TODAY()-320,TODAY()),1,0),""select Col2 limit 100""))"),335.04150000000004)</f>
        <v>335.0415</v>
      </c>
      <c r="F252" s="44">
        <f>IFERROR(__xludf.DUMMYFUNCTION("GOOGLEFINANCE(A252,""high52"")"),431.0)</f>
        <v>431</v>
      </c>
      <c r="G252" s="45">
        <f>IFERROR(__xludf.DUMMYFUNCTION("to_date(index(sort(GOOGLEFINANCE(A252, ""high"", today()-52*7, today(), ""DAILY""),2,0),2,1))"),45910.64583333333)</f>
        <v>45910.64583</v>
      </c>
      <c r="H252" s="44">
        <f>IFERROR(__xludf.DUMMYFUNCTION("GOOGLEFINANCE(A252,""low52"")"),287.0)</f>
        <v>287</v>
      </c>
      <c r="I252" s="45">
        <f>IFERROR(__xludf.DUMMYFUNCTION("to_date(index(sort(GOOGLEFINANCE(A252, ""low"", today()-52*7, today(), ""DAILY""),2,1),1,1))"),46111.64583333333)</f>
        <v>46111.64583</v>
      </c>
      <c r="J252" s="46" t="str">
        <f t="shared" si="1"/>
        <v>Do Not Buy Today</v>
      </c>
    </row>
    <row r="253">
      <c r="A253" s="73" t="s">
        <v>496</v>
      </c>
      <c r="B253" s="59">
        <f>IFERROR(__xludf.DUMMYFUNCTION("GOOGLEFINANCE(A253,""price"")"),4637.4)</f>
        <v>4637.4</v>
      </c>
      <c r="C253" s="60">
        <f>IFERROR(__xludf.DUMMYFUNCTION("GOOGLEFINANCE(A253,""closeyest"")"),4641.8)</f>
        <v>4641.8</v>
      </c>
      <c r="D253" s="61">
        <f>IFERROR(__xludf.DUMMYFUNCTION("MIN(index(GOOGLEFINANCE(A253,""ALL"",TODAY()-180,TODAY()),0,5))*1.2"),5461.2)</f>
        <v>5461.2</v>
      </c>
      <c r="E253" s="62">
        <f>IFERROR(__xludf.DUMMYFUNCTION("AVERAGE(QUERY(SORT(GOOGLEFINANCE(A253,""price"",TODAY()-320,TODAY()),1,0),""select Col2 limit 100""))"),4812.797)</f>
        <v>4812.797</v>
      </c>
      <c r="F253" s="44">
        <f>IFERROR(__xludf.DUMMYFUNCTION("GOOGLEFINANCE(A253,""high52"")"),5993.0)</f>
        <v>5993</v>
      </c>
      <c r="G253" s="45">
        <f>IFERROR(__xludf.DUMMYFUNCTION("to_date(index(sort(GOOGLEFINANCE(A253, ""high"", today()-52*7, today(), ""DAILY""),2,0),2,1))"),45824.64583333333)</f>
        <v>45824.64583</v>
      </c>
      <c r="H253" s="44">
        <f>IFERROR(__xludf.DUMMYFUNCTION("GOOGLEFINANCE(A253,""low52"")"),4460.0)</f>
        <v>4460</v>
      </c>
      <c r="I253" s="45">
        <f>IFERROR(__xludf.DUMMYFUNCTION("to_date(index(sort(GOOGLEFINANCE(A253, ""low"", today()-52*7, today(), ""DAILY""),2,1),1,1))"),46055.64583333333)</f>
        <v>46055.64583</v>
      </c>
      <c r="J253" s="46" t="str">
        <f t="shared" si="1"/>
        <v>Do Not Buy Today</v>
      </c>
    </row>
    <row r="254">
      <c r="A254" s="73" t="s">
        <v>497</v>
      </c>
      <c r="B254" s="59">
        <f>IFERROR(__xludf.DUMMYFUNCTION("GOOGLEFINANCE(A254,""price"")"),3014.8)</f>
        <v>3014.8</v>
      </c>
      <c r="C254" s="60">
        <f>IFERROR(__xludf.DUMMYFUNCTION("GOOGLEFINANCE(A254,""closeyest"")"),3097.1)</f>
        <v>3097.1</v>
      </c>
      <c r="D254" s="61">
        <f>IFERROR(__xludf.DUMMYFUNCTION("MIN(index(GOOGLEFINANCE(A254,""ALL"",TODAY()-180,TODAY()),0,5))*1.2"),3072.96)</f>
        <v>3072.96</v>
      </c>
      <c r="E254" s="62">
        <f>IFERROR(__xludf.DUMMYFUNCTION("AVERAGE(QUERY(SORT(GOOGLEFINANCE(A254,""price"",TODAY()-320,TODAY()),1,0),""select Col2 limit 100""))"),2891.5919999999996)</f>
        <v>2891.592</v>
      </c>
      <c r="F254" s="44">
        <f>IFERROR(__xludf.DUMMYFUNCTION("GOOGLEFINANCE(A254,""high52"")"),3314.9)</f>
        <v>3314.9</v>
      </c>
      <c r="G254" s="45">
        <f>IFERROR(__xludf.DUMMYFUNCTION("to_date(index(sort(GOOGLEFINANCE(A254, ""high"", today()-52*7, today(), ""DAILY""),2,0),2,1))"),46161.64583333333)</f>
        <v>46161.64583</v>
      </c>
      <c r="H254" s="44">
        <f>IFERROR(__xludf.DUMMYFUNCTION("GOOGLEFINANCE(A254,""low52"")"),2329.9)</f>
        <v>2329.9</v>
      </c>
      <c r="I254" s="45">
        <f>IFERROR(__xludf.DUMMYFUNCTION("to_date(index(sort(GOOGLEFINANCE(A254, ""low"", today()-52*7, today(), ""DAILY""),2,1),1,1))"),45930.64583333333)</f>
        <v>45930.64583</v>
      </c>
      <c r="J254" s="46" t="str">
        <f t="shared" si="1"/>
        <v>Do Not Buy Today</v>
      </c>
    </row>
    <row r="255">
      <c r="A255" s="73" t="s">
        <v>259</v>
      </c>
      <c r="B255" s="59">
        <f>IFERROR(__xludf.DUMMYFUNCTION("GOOGLEFINANCE(A255,""price"")"),656.9)</f>
        <v>656.9</v>
      </c>
      <c r="C255" s="60">
        <f>IFERROR(__xludf.DUMMYFUNCTION("GOOGLEFINANCE(A255,""closeyest"")"),655.0)</f>
        <v>655</v>
      </c>
      <c r="D255" s="61">
        <f>IFERROR(__xludf.DUMMYFUNCTION("MIN(index(GOOGLEFINANCE(A255,""ALL"",TODAY()-180,TODAY()),0,5))*1.2"),681.5400000000001)</f>
        <v>681.54</v>
      </c>
      <c r="E255" s="62">
        <f>IFERROR(__xludf.DUMMYFUNCTION("AVERAGE(QUERY(SORT(GOOGLEFINANCE(A255,""price"",TODAY()-320,TODAY()),1,0),""select Col2 limit 100""))"),679.9785)</f>
        <v>679.9785</v>
      </c>
      <c r="F255" s="44">
        <f>IFERROR(__xludf.DUMMYFUNCTION("GOOGLEFINANCE(A255,""high52"")"),812.2)</f>
        <v>812.2</v>
      </c>
      <c r="G255" s="45">
        <f>IFERROR(__xludf.DUMMYFUNCTION("to_date(index(sort(GOOGLEFINANCE(A255, ""high"", today()-52*7, today(), ""DAILY""),2,0),2,1))"),46024.64583333333)</f>
        <v>46024.64583</v>
      </c>
      <c r="H255" s="44">
        <f>IFERROR(__xludf.DUMMYFUNCTION("GOOGLEFINANCE(A255,""low52"")"),565.15)</f>
        <v>565.15</v>
      </c>
      <c r="I255" s="45">
        <f>IFERROR(__xludf.DUMMYFUNCTION("to_date(index(sort(GOOGLEFINANCE(A255, ""low"", today()-52*7, today(), ""DAILY""),2,1),1,1))"),46111.64583333333)</f>
        <v>46111.64583</v>
      </c>
      <c r="J255" s="46" t="str">
        <f t="shared" si="1"/>
        <v>Do Not Buy Today</v>
      </c>
    </row>
    <row r="256">
      <c r="A256" s="73" t="s">
        <v>498</v>
      </c>
      <c r="B256" s="59">
        <f>IFERROR(__xludf.DUMMYFUNCTION("GOOGLEFINANCE(A256,""price"")"),315.2)</f>
        <v>315.2</v>
      </c>
      <c r="C256" s="60">
        <f>IFERROR(__xludf.DUMMYFUNCTION("GOOGLEFINANCE(A256,""closeyest"")"),314.45)</f>
        <v>314.45</v>
      </c>
      <c r="D256" s="61">
        <f>IFERROR(__xludf.DUMMYFUNCTION("MIN(index(GOOGLEFINANCE(A256,""ALL"",TODAY()-180,TODAY()),0,5))*1.2"),360.42)</f>
        <v>360.42</v>
      </c>
      <c r="E256" s="62">
        <f>IFERROR(__xludf.DUMMYFUNCTION("AVERAGE(QUERY(SORT(GOOGLEFINANCE(A256,""price"",TODAY()-320,TODAY()),1,0),""select Col2 limit 100""))"),323.2275)</f>
        <v>323.2275</v>
      </c>
      <c r="F256" s="44">
        <f>IFERROR(__xludf.DUMMYFUNCTION("GOOGLEFINANCE(A256,""high52"")"),409.75)</f>
        <v>409.75</v>
      </c>
      <c r="G256" s="45">
        <f>IFERROR(__xludf.DUMMYFUNCTION("to_date(index(sort(GOOGLEFINANCE(A256, ""high"", today()-52*7, today(), ""DAILY""),2,0),2,1))"),45862.64583333333)</f>
        <v>45862.64583</v>
      </c>
      <c r="H256" s="44">
        <f>IFERROR(__xludf.DUMMYFUNCTION("GOOGLEFINANCE(A256,""low52"")"),290.0)</f>
        <v>290</v>
      </c>
      <c r="I256" s="45">
        <f>IFERROR(__xludf.DUMMYFUNCTION("to_date(index(sort(GOOGLEFINANCE(A256, ""low"", today()-52*7, today(), ""DAILY""),2,1),1,1))"),46083.64583333333)</f>
        <v>46083.64583</v>
      </c>
      <c r="J256" s="46" t="str">
        <f t="shared" si="1"/>
        <v>Do Not Buy Today</v>
      </c>
    </row>
    <row r="257">
      <c r="A257" s="73" t="s">
        <v>260</v>
      </c>
      <c r="B257" s="59">
        <f>IFERROR(__xludf.DUMMYFUNCTION("GOOGLEFINANCE(A257,""price"")"),1780.0)</f>
        <v>1780</v>
      </c>
      <c r="C257" s="60">
        <f>IFERROR(__xludf.DUMMYFUNCTION("GOOGLEFINANCE(A257,""closeyest"")"),1785.4)</f>
        <v>1785.4</v>
      </c>
      <c r="D257" s="61">
        <f>IFERROR(__xludf.DUMMYFUNCTION("MIN(index(GOOGLEFINANCE(A257,""ALL"",TODAY()-180,TODAY()),0,5))*1.2"),1772.88)</f>
        <v>1772.88</v>
      </c>
      <c r="E257" s="62">
        <f>IFERROR(__xludf.DUMMYFUNCTION("AVERAGE(QUERY(SORT(GOOGLEFINANCE(A257,""price"",TODAY()-320,TODAY()),1,0),""select Col2 limit 100""))"),1731.5770000000005)</f>
        <v>1731.577</v>
      </c>
      <c r="F257" s="44">
        <f>IFERROR(__xludf.DUMMYFUNCTION("GOOGLEFINANCE(A257,""high52"")"),1993.0)</f>
        <v>1993</v>
      </c>
      <c r="G257" s="45">
        <f>IFERROR(__xludf.DUMMYFUNCTION("to_date(index(sort(GOOGLEFINANCE(A257, ""high"", today()-52*7, today(), ""DAILY""),2,0),2,1))"),46034.64583333333)</f>
        <v>46034.64583</v>
      </c>
      <c r="H257" s="44">
        <f>IFERROR(__xludf.DUMMYFUNCTION("GOOGLEFINANCE(A257,""low52"")"),1402.5)</f>
        <v>1402.5</v>
      </c>
      <c r="I257" s="45">
        <f>IFERROR(__xludf.DUMMYFUNCTION("to_date(index(sort(GOOGLEFINANCE(A257, ""low"", today()-52*7, today(), ""DAILY""),2,1),1,1))"),45880.64583333333)</f>
        <v>45880.64583</v>
      </c>
      <c r="J257" s="46" t="str">
        <f t="shared" si="1"/>
        <v>Do Not Buy Today</v>
      </c>
    </row>
    <row r="258">
      <c r="A258" s="73" t="s">
        <v>261</v>
      </c>
      <c r="B258" s="59">
        <f>IFERROR(__xludf.DUMMYFUNCTION("GOOGLEFINANCE(A258,""price"")"),2091.7)</f>
        <v>2091.7</v>
      </c>
      <c r="C258" s="60">
        <f>IFERROR(__xludf.DUMMYFUNCTION("GOOGLEFINANCE(A258,""closeyest"")"),2077.1)</f>
        <v>2077.1</v>
      </c>
      <c r="D258" s="61">
        <f>IFERROR(__xludf.DUMMYFUNCTION("MIN(index(GOOGLEFINANCE(A258,""ALL"",TODAY()-180,TODAY()),0,5))*1.2"),2146.44)</f>
        <v>2146.44</v>
      </c>
      <c r="E258" s="62">
        <f>IFERROR(__xludf.DUMMYFUNCTION("AVERAGE(QUERY(SORT(GOOGLEFINANCE(A258,""price"",TODAY()-320,TODAY()),1,0),""select Col2 limit 100""))"),2088.831)</f>
        <v>2088.831</v>
      </c>
      <c r="F258" s="44">
        <f>IFERROR(__xludf.DUMMYFUNCTION("GOOGLEFINANCE(A258,""high52"")"),2519.0)</f>
        <v>2519</v>
      </c>
      <c r="G258" s="45">
        <f>IFERROR(__xludf.DUMMYFUNCTION("to_date(index(sort(GOOGLEFINANCE(A258, ""high"", today()-52*7, today(), ""DAILY""),2,0),2,1))"),45805.64583333333)</f>
        <v>45805.64583</v>
      </c>
      <c r="H258" s="44">
        <f>IFERROR(__xludf.DUMMYFUNCTION("GOOGLEFINANCE(A258,""low52"")"),1782.0)</f>
        <v>1782</v>
      </c>
      <c r="I258" s="45">
        <f>IFERROR(__xludf.DUMMYFUNCTION("to_date(index(sort(GOOGLEFINANCE(A258, ""low"", today()-52*7, today(), ""DAILY""),2,1),1,1))"),46111.64583333333)</f>
        <v>46111.64583</v>
      </c>
      <c r="J258" s="46" t="str">
        <f t="shared" si="1"/>
        <v>Do Not Buy Today</v>
      </c>
    </row>
    <row r="259">
      <c r="A259" s="73" t="s">
        <v>262</v>
      </c>
      <c r="B259" s="59">
        <f>IFERROR(__xludf.DUMMYFUNCTION("GOOGLEFINANCE(A259,""price"")"),204.6)</f>
        <v>204.6</v>
      </c>
      <c r="C259" s="60">
        <f>IFERROR(__xludf.DUMMYFUNCTION("GOOGLEFINANCE(A259,""closeyest"")"),200.4)</f>
        <v>200.4</v>
      </c>
      <c r="D259" s="61">
        <f>IFERROR(__xludf.DUMMYFUNCTION("MIN(index(GOOGLEFINANCE(A259,""ALL"",TODAY()-180,TODAY()),0,5))*1.2"),162.564)</f>
        <v>162.564</v>
      </c>
      <c r="E259" s="62">
        <f>IFERROR(__xludf.DUMMYFUNCTION("AVERAGE(QUERY(SORT(GOOGLEFINANCE(A259,""price"",TODAY()-320,TODAY()),1,0),""select Col2 limit 100""))"),168.2132)</f>
        <v>168.2132</v>
      </c>
      <c r="F259" s="44">
        <f>IFERROR(__xludf.DUMMYFUNCTION("GOOGLEFINANCE(A259,""high52"")"),212.66)</f>
        <v>212.66</v>
      </c>
      <c r="G259" s="45">
        <f>IFERROR(__xludf.DUMMYFUNCTION("to_date(index(sort(GOOGLEFINANCE(A259, ""high"", today()-52*7, today(), ""DAILY""),2,0),2,1))"),46146.64583333333)</f>
        <v>46146.64583</v>
      </c>
      <c r="H259" s="44">
        <f>IFERROR(__xludf.DUMMYFUNCTION("GOOGLEFINANCE(A259,""low52"")"),134.25)</f>
        <v>134.25</v>
      </c>
      <c r="I259" s="45">
        <f>IFERROR(__xludf.DUMMYFUNCTION("to_date(index(sort(GOOGLEFINANCE(A259, ""low"", today()-52*7, today(), ""DAILY""),2,1),1,1))"),46000.64583333333)</f>
        <v>46000.64583</v>
      </c>
      <c r="J259" s="46" t="str">
        <f t="shared" si="1"/>
        <v>Do Not Buy Today</v>
      </c>
    </row>
    <row r="260">
      <c r="A260" s="73" t="s">
        <v>499</v>
      </c>
      <c r="B260" s="59">
        <f>IFERROR(__xludf.DUMMYFUNCTION("GOOGLEFINANCE(A260,""price"")"),1351.3)</f>
        <v>1351.3</v>
      </c>
      <c r="C260" s="60">
        <f>IFERROR(__xludf.DUMMYFUNCTION("GOOGLEFINANCE(A260,""closeyest"")"),1365.4)</f>
        <v>1365.4</v>
      </c>
      <c r="D260" s="61">
        <f>IFERROR(__xludf.DUMMYFUNCTION("MIN(index(GOOGLEFINANCE(A260,""ALL"",TODAY()-180,TODAY()),0,5))*1.2"),1324.56)</f>
        <v>1324.56</v>
      </c>
      <c r="E260" s="62">
        <f>IFERROR(__xludf.DUMMYFUNCTION("AVERAGE(QUERY(SORT(GOOGLEFINANCE(A260,""price"",TODAY()-320,TODAY()),1,0),""select Col2 limit 100""))"),1232.3560000000004)</f>
        <v>1232.356</v>
      </c>
      <c r="F260" s="44">
        <f>IFERROR(__xludf.DUMMYFUNCTION("GOOGLEFINANCE(A260,""high52"")"),1645.7)</f>
        <v>1645.7</v>
      </c>
      <c r="G260" s="45">
        <f>IFERROR(__xludf.DUMMYFUNCTION("to_date(index(sort(GOOGLEFINANCE(A260, ""high"", today()-52*7, today(), ""DAILY""),2,0),2,1))"),45862.64583333333)</f>
        <v>45862.64583</v>
      </c>
      <c r="H260" s="44">
        <f>IFERROR(__xludf.DUMMYFUNCTION("GOOGLEFINANCE(A260,""low52"")"),1084.0)</f>
        <v>1084</v>
      </c>
      <c r="I260" s="45">
        <f>IFERROR(__xludf.DUMMYFUNCTION("to_date(index(sort(GOOGLEFINANCE(A260, ""low"", today()-52*7, today(), ""DAILY""),2,1),1,1))"),46104.64583333333)</f>
        <v>46104.64583</v>
      </c>
      <c r="J260" s="46" t="str">
        <f t="shared" si="1"/>
        <v>Do Not Buy Today</v>
      </c>
    </row>
    <row r="261">
      <c r="A261" s="73" t="s">
        <v>263</v>
      </c>
      <c r="B261" s="59">
        <f>IFERROR(__xludf.DUMMYFUNCTION("GOOGLEFINANCE(A261,""price"")"),2253.3)</f>
        <v>2253.3</v>
      </c>
      <c r="C261" s="60">
        <f>IFERROR(__xludf.DUMMYFUNCTION("GOOGLEFINANCE(A261,""closeyest"")"),2265.3)</f>
        <v>2265.3</v>
      </c>
      <c r="D261" s="61">
        <f>IFERROR(__xludf.DUMMYFUNCTION("MIN(index(GOOGLEFINANCE(A261,""ALL"",TODAY()-180,TODAY()),0,5))*1.2"),2456.88)</f>
        <v>2456.88</v>
      </c>
      <c r="E261" s="62">
        <f>IFERROR(__xludf.DUMMYFUNCTION("AVERAGE(QUERY(SORT(GOOGLEFINANCE(A261,""price"",TODAY()-320,TODAY()),1,0),""select Col2 limit 100""))"),2422.014000000001)</f>
        <v>2422.014</v>
      </c>
      <c r="F261" s="44">
        <f>IFERROR(__xludf.DUMMYFUNCTION("GOOGLEFINANCE(A261,""high52"")"),3037.2)</f>
        <v>3037.2</v>
      </c>
      <c r="G261" s="45">
        <f>IFERROR(__xludf.DUMMYFUNCTION("to_date(index(sort(GOOGLEFINANCE(A261, ""high"", today()-52*7, today(), ""DAILY""),2,0),2,1))"),45918.64583333333)</f>
        <v>45918.64583</v>
      </c>
      <c r="H261" s="44">
        <f>IFERROR(__xludf.DUMMYFUNCTION("GOOGLEFINANCE(A261,""low52"")"),2013.0)</f>
        <v>2013</v>
      </c>
      <c r="I261" s="45">
        <f>IFERROR(__xludf.DUMMYFUNCTION("to_date(index(sort(GOOGLEFINANCE(A261, ""low"", today()-52*7, today(), ""DAILY""),2,1),1,1))"),46111.64583333333)</f>
        <v>46111.64583</v>
      </c>
      <c r="J261" s="46" t="str">
        <f t="shared" si="1"/>
        <v>Do Not Buy Today</v>
      </c>
    </row>
    <row r="262">
      <c r="A262" s="73" t="s">
        <v>264</v>
      </c>
      <c r="B262" s="59">
        <f>IFERROR(__xludf.DUMMYFUNCTION("GOOGLEFINANCE(A262,""price"")"),2913.3)</f>
        <v>2913.3</v>
      </c>
      <c r="C262" s="60">
        <f>IFERROR(__xludf.DUMMYFUNCTION("GOOGLEFINANCE(A262,""closeyest"")"),2939.6)</f>
        <v>2939.6</v>
      </c>
      <c r="D262" s="61">
        <f>IFERROR(__xludf.DUMMYFUNCTION("MIN(index(GOOGLEFINANCE(A262,""ALL"",TODAY()-180,TODAY()),0,5))*1.2"),3288.36)</f>
        <v>3288.36</v>
      </c>
      <c r="E262" s="62">
        <f>IFERROR(__xludf.DUMMYFUNCTION("AVERAGE(QUERY(SORT(GOOGLEFINANCE(A262,""price"",TODAY()-320,TODAY()),1,0),""select Col2 limit 100""))"),3342.8469999999984)</f>
        <v>3342.847</v>
      </c>
      <c r="F262" s="44">
        <f>IFERROR(__xludf.DUMMYFUNCTION("GOOGLEFINANCE(A262,""high52"")"),4180.0)</f>
        <v>4180</v>
      </c>
      <c r="G262" s="45">
        <f>IFERROR(__xludf.DUMMYFUNCTION("to_date(index(sort(GOOGLEFINANCE(A262, ""high"", today()-52*7, today(), ""DAILY""),2,0),2,1))"),45904.64583333333)</f>
        <v>45904.64583</v>
      </c>
      <c r="H262" s="44">
        <f>IFERROR(__xludf.DUMMYFUNCTION("GOOGLEFINANCE(A262,""low52"")"),2710.1)</f>
        <v>2710.1</v>
      </c>
      <c r="I262" s="45">
        <f>IFERROR(__xludf.DUMMYFUNCTION("to_date(index(sort(GOOGLEFINANCE(A262, ""low"", today()-52*7, today(), ""DAILY""),2,1),1,1))"),46114.64583333333)</f>
        <v>46114.64583</v>
      </c>
      <c r="J262" s="46" t="str">
        <f t="shared" si="1"/>
        <v>Do Not Buy Today</v>
      </c>
    </row>
    <row r="263">
      <c r="A263" s="73" t="s">
        <v>500</v>
      </c>
      <c r="B263" s="59">
        <f>IFERROR(__xludf.DUMMYFUNCTION("GOOGLEFINANCE(A263,""price"")"),1407.7)</f>
        <v>1407.7</v>
      </c>
      <c r="C263" s="60">
        <f>IFERROR(__xludf.DUMMYFUNCTION("GOOGLEFINANCE(A263,""closeyest"")"),1376.8)</f>
        <v>1376.8</v>
      </c>
      <c r="D263" s="61">
        <f>IFERROR(__xludf.DUMMYFUNCTION("MIN(index(GOOGLEFINANCE(A263,""ALL"",TODAY()-180,TODAY()),0,5))*1.2"),695.0400000000001)</f>
        <v>695.04</v>
      </c>
      <c r="E263" s="62">
        <f>IFERROR(__xludf.DUMMYFUNCTION("AVERAGE(QUERY(SORT(GOOGLEFINANCE(A263,""price"",TODAY()-320,TODAY()),1,0),""select Col2 limit 100""))"),924.4089999999995)</f>
        <v>924.409</v>
      </c>
      <c r="F263" s="44">
        <f>IFERROR(__xludf.DUMMYFUNCTION("GOOGLEFINANCE(A263,""high52"")"),1417.8)</f>
        <v>1417.8</v>
      </c>
      <c r="G263" s="45">
        <f>IFERROR(__xludf.DUMMYFUNCTION("to_date(index(sort(GOOGLEFINANCE(A263, ""high"", today()-52*7, today(), ""DAILY""),2,0),2,1))"),46168.64583333333)</f>
        <v>46168.64583</v>
      </c>
      <c r="H263" s="44">
        <f>IFERROR(__xludf.DUMMYFUNCTION("GOOGLEFINANCE(A263,""low52"")"),571.85)</f>
        <v>571.85</v>
      </c>
      <c r="I263" s="45">
        <f>IFERROR(__xludf.DUMMYFUNCTION("to_date(index(sort(GOOGLEFINANCE(A263, ""low"", today()-52*7, today(), ""DAILY""),2,1),1,1))"),46129.64583333333)</f>
        <v>46129.64583</v>
      </c>
      <c r="J263" s="46" t="str">
        <f t="shared" si="1"/>
        <v>Do Not Buy Today</v>
      </c>
    </row>
    <row r="264">
      <c r="A264" s="73" t="s">
        <v>265</v>
      </c>
      <c r="B264" s="59">
        <f>IFERROR(__xludf.DUMMYFUNCTION("GOOGLEFINANCE(A264,""price"")"),160.76)</f>
        <v>160.76</v>
      </c>
      <c r="C264" s="60">
        <f>IFERROR(__xludf.DUMMYFUNCTION("GOOGLEFINANCE(A264,""closeyest"")"),160.54)</f>
        <v>160.54</v>
      </c>
      <c r="D264" s="61">
        <f>IFERROR(__xludf.DUMMYFUNCTION("MIN(index(GOOGLEFINANCE(A264,""ALL"",TODAY()-180,TODAY()),0,5))*1.2"),178.128)</f>
        <v>178.128</v>
      </c>
      <c r="E264" s="62">
        <f>IFERROR(__xludf.DUMMYFUNCTION("AVERAGE(QUERY(SORT(GOOGLEFINANCE(A264,""price"",TODAY()-320,TODAY()),1,0),""select Col2 limit 100""))"),180.5698)</f>
        <v>180.5698</v>
      </c>
      <c r="F264" s="44">
        <f>IFERROR(__xludf.DUMMYFUNCTION("GOOGLEFINANCE(A264,""high52"")"),215.42)</f>
        <v>215.42</v>
      </c>
      <c r="G264" s="45">
        <f>IFERROR(__xludf.DUMMYFUNCTION("to_date(index(sort(GOOGLEFINANCE(A264, ""high"", today()-52*7, today(), ""DAILY""),2,0),2,1))"),46064.64583333333)</f>
        <v>46064.64583</v>
      </c>
      <c r="H264" s="44">
        <f>IFERROR(__xludf.DUMMYFUNCTION("GOOGLEFINANCE(A264,""low52"")"),114.96)</f>
        <v>114.96</v>
      </c>
      <c r="I264" s="45">
        <f>IFERROR(__xludf.DUMMYFUNCTION("to_date(index(sort(GOOGLEFINANCE(A264, ""low"", today()-52*7, today(), ""DAILY""),2,1),1,1))"),45880.64583333333)</f>
        <v>45880.64583</v>
      </c>
      <c r="J264" s="46" t="str">
        <f t="shared" si="1"/>
        <v>Do Not Buy Today</v>
      </c>
    </row>
    <row r="265">
      <c r="A265" s="73" t="s">
        <v>266</v>
      </c>
      <c r="B265" s="59">
        <f>IFERROR(__xludf.DUMMYFUNCTION("GOOGLEFINANCE(A265,""price"")"),277.85)</f>
        <v>277.85</v>
      </c>
      <c r="C265" s="60">
        <f>IFERROR(__xludf.DUMMYFUNCTION("GOOGLEFINANCE(A265,""closeyest"")"),280.2)</f>
        <v>280.2</v>
      </c>
      <c r="D265" s="61">
        <f>IFERROR(__xludf.DUMMYFUNCTION("MIN(index(GOOGLEFINANCE(A265,""ALL"",TODAY()-180,TODAY()),0,5))*1.2"),285.66)</f>
        <v>285.66</v>
      </c>
      <c r="E265" s="62">
        <f>IFERROR(__xludf.DUMMYFUNCTION("AVERAGE(QUERY(SORT(GOOGLEFINANCE(A265,""price"",TODAY()-320,TODAY()),1,0),""select Col2 limit 100""))"),281.80740000000003)</f>
        <v>281.8074</v>
      </c>
      <c r="F265" s="44">
        <f>IFERROR(__xludf.DUMMYFUNCTION("GOOGLEFINANCE(A265,""high52"")"),326.4)</f>
        <v>326.4</v>
      </c>
      <c r="G265" s="45">
        <f>IFERROR(__xludf.DUMMYFUNCTION("to_date(index(sort(GOOGLEFINANCE(A265, ""high"", today()-52*7, today(), ""DAILY""),2,0),2,1))"),46080.64583333333)</f>
        <v>46080.64583</v>
      </c>
      <c r="H265" s="44">
        <f>IFERROR(__xludf.DUMMYFUNCTION("GOOGLEFINANCE(A265,""low52"")"),235.35)</f>
        <v>235.35</v>
      </c>
      <c r="I265" s="45">
        <f>IFERROR(__xludf.DUMMYFUNCTION("to_date(index(sort(GOOGLEFINANCE(A265, ""low"", today()-52*7, today(), ""DAILY""),2,1),1,1))"),46104.64583333333)</f>
        <v>46104.64583</v>
      </c>
      <c r="J265" s="46" t="str">
        <f t="shared" si="1"/>
        <v>Do Not Buy Today</v>
      </c>
    </row>
    <row r="266">
      <c r="A266" s="73" t="s">
        <v>501</v>
      </c>
      <c r="B266" s="59">
        <f>IFERROR(__xludf.DUMMYFUNCTION("GOOGLEFINANCE(A266,""price"")"),1723.5)</f>
        <v>1723.5</v>
      </c>
      <c r="C266" s="60">
        <f>IFERROR(__xludf.DUMMYFUNCTION("GOOGLEFINANCE(A266,""closeyest"")"),1727.1)</f>
        <v>1727.1</v>
      </c>
      <c r="D266" s="61">
        <f>IFERROR(__xludf.DUMMYFUNCTION("MIN(index(GOOGLEFINANCE(A266,""ALL"",TODAY()-180,TODAY()),0,5))*1.2"),1544.1599999999999)</f>
        <v>1544.16</v>
      </c>
      <c r="E266" s="62">
        <f>IFERROR(__xludf.DUMMYFUNCTION("AVERAGE(QUERY(SORT(GOOGLEFINANCE(A266,""price"",TODAY()-320,TODAY()),1,0),""select Col2 limit 100""))"),1604.9979999999998)</f>
        <v>1604.998</v>
      </c>
      <c r="F266" s="44">
        <f>IFERROR(__xludf.DUMMYFUNCTION("GOOGLEFINANCE(A266,""high52"")"),2128.9)</f>
        <v>2128.9</v>
      </c>
      <c r="G266" s="45">
        <f>IFERROR(__xludf.DUMMYFUNCTION("to_date(index(sort(GOOGLEFINANCE(A266, ""high"", today()-52*7, today(), ""DAILY""),2,0),2,1))"),45806.64583333333)</f>
        <v>45806.64583</v>
      </c>
      <c r="H266" s="44">
        <f>IFERROR(__xludf.DUMMYFUNCTION("GOOGLEFINANCE(A266,""low52"")"),1280.0)</f>
        <v>1280</v>
      </c>
      <c r="I266" s="45">
        <f>IFERROR(__xludf.DUMMYFUNCTION("to_date(index(sort(GOOGLEFINANCE(A266, ""low"", today()-52*7, today(), ""DAILY""),2,1),1,1))"),46111.64583333333)</f>
        <v>46111.64583</v>
      </c>
      <c r="J266" s="46" t="str">
        <f t="shared" si="1"/>
        <v>Do Not Buy Today</v>
      </c>
    </row>
    <row r="267">
      <c r="A267" s="73" t="s">
        <v>268</v>
      </c>
      <c r="B267" s="59">
        <f>IFERROR(__xludf.DUMMYFUNCTION("GOOGLEFINANCE(A267,""price"")"),2745.1)</f>
        <v>2745.1</v>
      </c>
      <c r="C267" s="60">
        <f>IFERROR(__xludf.DUMMYFUNCTION("GOOGLEFINANCE(A267,""closeyest"")"),2749.7)</f>
        <v>2749.7</v>
      </c>
      <c r="D267" s="61">
        <f>IFERROR(__xludf.DUMMYFUNCTION("MIN(index(GOOGLEFINANCE(A267,""ALL"",TODAY()-180,TODAY()),0,5))*1.2"),2869.7999999999997)</f>
        <v>2869.8</v>
      </c>
      <c r="E267" s="62">
        <f>IFERROR(__xludf.DUMMYFUNCTION("AVERAGE(QUERY(SORT(GOOGLEFINANCE(A267,""price"",TODAY()-320,TODAY()),1,0),""select Col2 limit 100""))"),2697.4720000000007)</f>
        <v>2697.472</v>
      </c>
      <c r="F267" s="44">
        <f>IFERROR(__xludf.DUMMYFUNCTION("GOOGLEFINANCE(A267,""high52"")"),3325.0)</f>
        <v>3325</v>
      </c>
      <c r="G267" s="45">
        <f>IFERROR(__xludf.DUMMYFUNCTION("to_date(index(sort(GOOGLEFINANCE(A267, ""high"", today()-52*7, today(), ""DAILY""),2,0),2,1))"),45848.64583333333)</f>
        <v>45848.64583</v>
      </c>
      <c r="H267" s="44">
        <f>IFERROR(__xludf.DUMMYFUNCTION("GOOGLEFINANCE(A267,""low52"")"),2355.0)</f>
        <v>2355</v>
      </c>
      <c r="I267" s="45">
        <f>IFERROR(__xludf.DUMMYFUNCTION("to_date(index(sort(GOOGLEFINANCE(A267, ""low"", today()-52*7, today(), ""DAILY""),2,1),1,1))"),46118.64583333333)</f>
        <v>46118.64583</v>
      </c>
      <c r="J267" s="46" t="str">
        <f t="shared" si="1"/>
        <v>Do Not Buy Today</v>
      </c>
    </row>
    <row r="268">
      <c r="A268" s="73" t="s">
        <v>269</v>
      </c>
      <c r="B268" s="59">
        <f>IFERROR(__xludf.DUMMYFUNCTION("GOOGLEFINANCE(A268,""price"")"),438.25)</f>
        <v>438.25</v>
      </c>
      <c r="C268" s="60">
        <f>IFERROR(__xludf.DUMMYFUNCTION("GOOGLEFINANCE(A268,""closeyest"")"),433.25)</f>
        <v>433.25</v>
      </c>
      <c r="D268" s="61">
        <f>IFERROR(__xludf.DUMMYFUNCTION("MIN(index(GOOGLEFINANCE(A268,""ALL"",TODAY()-180,TODAY()),0,5))*1.2"),475.92)</f>
        <v>475.92</v>
      </c>
      <c r="E268" s="62">
        <f>IFERROR(__xludf.DUMMYFUNCTION("AVERAGE(QUERY(SORT(GOOGLEFINANCE(A268,""price"",TODAY()-320,TODAY()),1,0),""select Col2 limit 100""))"),432.3500000000002)</f>
        <v>432.35</v>
      </c>
      <c r="F268" s="44">
        <f>IFERROR(__xludf.DUMMYFUNCTION("GOOGLEFINANCE(A268,""high52"")"),481.5)</f>
        <v>481.5</v>
      </c>
      <c r="G268" s="45">
        <f>IFERROR(__xludf.DUMMYFUNCTION("to_date(index(sort(GOOGLEFINANCE(A268, ""high"", today()-52*7, today(), ""DAILY""),2,0),2,1))"),46072.64583333333)</f>
        <v>46072.64583</v>
      </c>
      <c r="H268" s="44">
        <f>IFERROR(__xludf.DUMMYFUNCTION("GOOGLEFINANCE(A268,""low52"")"),312.55)</f>
        <v>312.55</v>
      </c>
      <c r="I268" s="45">
        <f>IFERROR(__xludf.DUMMYFUNCTION("to_date(index(sort(GOOGLEFINANCE(A268, ""low"", today()-52*7, today(), ""DAILY""),2,1),1,1))"),45903.64583333333)</f>
        <v>45903.64583</v>
      </c>
      <c r="J268" s="46" t="str">
        <f t="shared" si="1"/>
        <v>Do Not Buy Today</v>
      </c>
    </row>
    <row r="269">
      <c r="A269" s="73" t="s">
        <v>502</v>
      </c>
      <c r="B269" s="59">
        <f>IFERROR(__xludf.DUMMYFUNCTION("GOOGLEFINANCE(A269,""price"")"),1776.4)</f>
        <v>1776.4</v>
      </c>
      <c r="C269" s="60">
        <f>IFERROR(__xludf.DUMMYFUNCTION("GOOGLEFINANCE(A269,""closeyest"")"),1750.8)</f>
        <v>1750.8</v>
      </c>
      <c r="D269" s="61">
        <f>IFERROR(__xludf.DUMMYFUNCTION("MIN(index(GOOGLEFINANCE(A269,""ALL"",TODAY()-180,TODAY()),0,5))*1.2"),1302.24)</f>
        <v>1302.24</v>
      </c>
      <c r="E269" s="62">
        <f>IFERROR(__xludf.DUMMYFUNCTION("AVERAGE(QUERY(SORT(GOOGLEFINANCE(A269,""price"",TODAY()-320,TODAY()),1,0),""select Col2 limit 100""))"),1413.7769999999998)</f>
        <v>1413.777</v>
      </c>
      <c r="F269" s="44">
        <f>IFERROR(__xludf.DUMMYFUNCTION("GOOGLEFINANCE(A269,""high52"")"),1794.0)</f>
        <v>1794</v>
      </c>
      <c r="G269" s="45">
        <f>IFERROR(__xludf.DUMMYFUNCTION("to_date(index(sort(GOOGLEFINANCE(A269, ""high"", today()-52*7, today(), ""DAILY""),2,0),2,1))"),46157.64583333333)</f>
        <v>46157.64583</v>
      </c>
      <c r="H269" s="44">
        <f>IFERROR(__xludf.DUMMYFUNCTION("GOOGLEFINANCE(A269,""low52"")"),825.6)</f>
        <v>825.6</v>
      </c>
      <c r="I269" s="45">
        <f>IFERROR(__xludf.DUMMYFUNCTION("to_date(index(sort(GOOGLEFINANCE(A269, ""low"", today()-52*7, today(), ""DAILY""),2,1),1,1))"),45828.64583333333)</f>
        <v>45828.64583</v>
      </c>
      <c r="J269" s="46" t="str">
        <f t="shared" si="1"/>
        <v>Do Not Buy Today</v>
      </c>
    </row>
    <row r="270">
      <c r="A270" s="73" t="s">
        <v>503</v>
      </c>
      <c r="B270" s="59">
        <f>IFERROR(__xludf.DUMMYFUNCTION("GOOGLEFINANCE(A270,""price"")"),131.92)</f>
        <v>131.92</v>
      </c>
      <c r="C270" s="60">
        <f>IFERROR(__xludf.DUMMYFUNCTION("GOOGLEFINANCE(A270,""closeyest"")"),132.09)</f>
        <v>132.09</v>
      </c>
      <c r="D270" s="61">
        <f>IFERROR(__xludf.DUMMYFUNCTION("MIN(index(GOOGLEFINANCE(A270,""ALL"",TODAY()-180,TODAY()),0,5))*1.2"),128.004)</f>
        <v>128.004</v>
      </c>
      <c r="E270" s="62">
        <f>IFERROR(__xludf.DUMMYFUNCTION("AVERAGE(QUERY(SORT(GOOGLEFINANCE(A270,""price"",TODAY()-320,TODAY()),1,0),""select Col2 limit 100""))"),129.06529999999992)</f>
        <v>129.0653</v>
      </c>
      <c r="F270" s="44">
        <f>IFERROR(__xludf.DUMMYFUNCTION("GOOGLEFINANCE(A270,""high52"")"),166.5)</f>
        <v>166.5</v>
      </c>
      <c r="G270" s="45">
        <f>IFERROR(__xludf.DUMMYFUNCTION("to_date(index(sort(GOOGLEFINANCE(A270, ""high"", today()-52*7, today(), ""DAILY""),2,0),2,1))"),45819.64583333333)</f>
        <v>45819.64583</v>
      </c>
      <c r="H270" s="44">
        <f>IFERROR(__xludf.DUMMYFUNCTION("GOOGLEFINANCE(A270,""low52"")"),106.0)</f>
        <v>106</v>
      </c>
      <c r="I270" s="45">
        <f>IFERROR(__xludf.DUMMYFUNCTION("to_date(index(sort(GOOGLEFINANCE(A270, ""low"", today()-52*7, today(), ""DAILY""),2,1),1,1))"),46111.64583333333)</f>
        <v>46111.64583</v>
      </c>
      <c r="J270" s="46" t="str">
        <f t="shared" si="1"/>
        <v>Do Not Buy Today</v>
      </c>
    </row>
    <row r="271">
      <c r="A271" s="73" t="s">
        <v>504</v>
      </c>
      <c r="B271" s="59">
        <f>IFERROR(__xludf.DUMMYFUNCTION("GOOGLEFINANCE(A271,""price"")"),1084.1)</f>
        <v>1084.1</v>
      </c>
      <c r="C271" s="60">
        <f>IFERROR(__xludf.DUMMYFUNCTION("GOOGLEFINANCE(A271,""closeyest"")"),1065.9)</f>
        <v>1065.9</v>
      </c>
      <c r="D271" s="61">
        <f>IFERROR(__xludf.DUMMYFUNCTION("MIN(index(GOOGLEFINANCE(A271,""ALL"",TODAY()-180,TODAY()),0,5))*1.2"),1060.3799999999999)</f>
        <v>1060.38</v>
      </c>
      <c r="E271" s="62">
        <f>IFERROR(__xludf.DUMMYFUNCTION("AVERAGE(QUERY(SORT(GOOGLEFINANCE(A271,""price"",TODAY()-320,TODAY()),1,0),""select Col2 limit 100""))"),1009.6444999999997)</f>
        <v>1009.6445</v>
      </c>
      <c r="F271" s="44">
        <f>IFERROR(__xludf.DUMMYFUNCTION("GOOGLEFINANCE(A271,""high52"")"),1321.9)</f>
        <v>1321.9</v>
      </c>
      <c r="G271" s="45">
        <f>IFERROR(__xludf.DUMMYFUNCTION("to_date(index(sort(GOOGLEFINANCE(A271, ""high"", today()-52*7, today(), ""DAILY""),2,0),2,1))"),45877.64583333333)</f>
        <v>45877.64583</v>
      </c>
      <c r="H271" s="44">
        <f>IFERROR(__xludf.DUMMYFUNCTION("GOOGLEFINANCE(A271,""low52"")"),869.6)</f>
        <v>869.6</v>
      </c>
      <c r="I271" s="45">
        <f>IFERROR(__xludf.DUMMYFUNCTION("to_date(index(sort(GOOGLEFINANCE(A271, ""low"", today()-52*7, today(), ""DAILY""),2,1),1,1))"),46055.64583333333)</f>
        <v>46055.64583</v>
      </c>
      <c r="J271" s="46" t="str">
        <f t="shared" si="1"/>
        <v>Do Not Buy Today</v>
      </c>
    </row>
    <row r="272">
      <c r="A272" s="73" t="s">
        <v>505</v>
      </c>
      <c r="B272" s="59">
        <f>IFERROR(__xludf.DUMMYFUNCTION("GOOGLEFINANCE(A272,""price"")"),282.95)</f>
        <v>282.95</v>
      </c>
      <c r="C272" s="60">
        <f>IFERROR(__xludf.DUMMYFUNCTION("GOOGLEFINANCE(A272,""closeyest"")"),278.95)</f>
        <v>278.95</v>
      </c>
      <c r="D272" s="61">
        <f>IFERROR(__xludf.DUMMYFUNCTION("MIN(index(GOOGLEFINANCE(A272,""ALL"",TODAY()-180,TODAY()),0,5))*1.2"),281.17199999999997)</f>
        <v>281.172</v>
      </c>
      <c r="E272" s="62">
        <f>IFERROR(__xludf.DUMMYFUNCTION("AVERAGE(QUERY(SORT(GOOGLEFINANCE(A272,""price"",TODAY()-320,TODAY()),1,0),""select Col2 limit 100""))"),264.9881000000001)</f>
        <v>264.9881</v>
      </c>
      <c r="F272" s="44">
        <f>IFERROR(__xludf.DUMMYFUNCTION("GOOGLEFINANCE(A272,""high52"")"),349.0)</f>
        <v>349</v>
      </c>
      <c r="G272" s="45">
        <f>IFERROR(__xludf.DUMMYFUNCTION("to_date(index(sort(GOOGLEFINANCE(A272, ""high"", today()-52*7, today(), ""DAILY""),2,0),2,1))"),45924.64583333333)</f>
        <v>45924.64583</v>
      </c>
      <c r="H272" s="44">
        <f>IFERROR(__xludf.DUMMYFUNCTION("GOOGLEFINANCE(A272,""low52"")"),233.42)</f>
        <v>233.42</v>
      </c>
      <c r="I272" s="45">
        <f>IFERROR(__xludf.DUMMYFUNCTION("to_date(index(sort(GOOGLEFINANCE(A272, ""low"", today()-52*7, today(), ""DAILY""),2,1),1,1))"),46119.64583333333)</f>
        <v>46119.64583</v>
      </c>
      <c r="J272" s="46" t="str">
        <f t="shared" si="1"/>
        <v>Do Not Buy Today</v>
      </c>
    </row>
    <row r="273">
      <c r="A273" s="73" t="s">
        <v>506</v>
      </c>
      <c r="B273" s="59">
        <f>IFERROR(__xludf.DUMMYFUNCTION("GOOGLEFINANCE(A273,""price"")"),855.0)</f>
        <v>855</v>
      </c>
      <c r="C273" s="60">
        <f>IFERROR(__xludf.DUMMYFUNCTION("GOOGLEFINANCE(A273,""closeyest"")"),855.1)</f>
        <v>855.1</v>
      </c>
      <c r="D273" s="61">
        <f>IFERROR(__xludf.DUMMYFUNCTION("MIN(index(GOOGLEFINANCE(A273,""ALL"",TODAY()-180,TODAY()),0,5))*1.2"),928.56)</f>
        <v>928.56</v>
      </c>
      <c r="E273" s="62">
        <f>IFERROR(__xludf.DUMMYFUNCTION("AVERAGE(QUERY(SORT(GOOGLEFINANCE(A273,""price"",TODAY()-320,TODAY()),1,0),""select Col2 limit 100""))"),869.6575000000003)</f>
        <v>869.6575</v>
      </c>
      <c r="F273" s="44">
        <f>IFERROR(__xludf.DUMMYFUNCTION("GOOGLEFINANCE(A273,""high52"")"),1473.8)</f>
        <v>1473.8</v>
      </c>
      <c r="G273" s="45">
        <f>IFERROR(__xludf.DUMMYFUNCTION("to_date(index(sort(GOOGLEFINANCE(A273, ""high"", today()-52*7, today(), ""DAILY""),2,0),2,1))"),45861.64583333333)</f>
        <v>45861.64583</v>
      </c>
      <c r="H273" s="44">
        <f>IFERROR(__xludf.DUMMYFUNCTION("GOOGLEFINANCE(A273,""low52"")"),756.85)</f>
        <v>756.85</v>
      </c>
      <c r="I273" s="45">
        <f>IFERROR(__xludf.DUMMYFUNCTION("to_date(index(sort(GOOGLEFINANCE(A273, ""low"", today()-52*7, today(), ""DAILY""),2,1),1,1))"),46055.64583333333)</f>
        <v>46055.64583</v>
      </c>
      <c r="J273" s="46" t="str">
        <f t="shared" si="1"/>
        <v>Do Not Buy Today</v>
      </c>
    </row>
    <row r="274">
      <c r="A274" s="73" t="s">
        <v>507</v>
      </c>
      <c r="B274" s="59">
        <f>IFERROR(__xludf.DUMMYFUNCTION("GOOGLEFINANCE(A274,""price"")"),390.2)</f>
        <v>390.2</v>
      </c>
      <c r="C274" s="60">
        <f>IFERROR(__xludf.DUMMYFUNCTION("GOOGLEFINANCE(A274,""closeyest"")"),393.85)</f>
        <v>393.85</v>
      </c>
      <c r="D274" s="61">
        <f>IFERROR(__xludf.DUMMYFUNCTION("MIN(index(GOOGLEFINANCE(A274,""ALL"",TODAY()-180,TODAY()),0,5))*1.2"),331.37999999999994)</f>
        <v>331.38</v>
      </c>
      <c r="E274" s="62">
        <f>IFERROR(__xludf.DUMMYFUNCTION("AVERAGE(QUERY(SORT(GOOGLEFINANCE(A274,""price"",TODAY()-320,TODAY()),1,0),""select Col2 limit 100""))"),333.76099999999997)</f>
        <v>333.761</v>
      </c>
      <c r="F274" s="44">
        <f>IFERROR(__xludf.DUMMYFUNCTION("GOOGLEFINANCE(A274,""high52"")"),538.0)</f>
        <v>538</v>
      </c>
      <c r="G274" s="45">
        <f>IFERROR(__xludf.DUMMYFUNCTION("to_date(index(sort(GOOGLEFINANCE(A274, ""high"", today()-52*7, today(), ""DAILY""),2,0),2,1))"),45818.64583333333)</f>
        <v>45818.64583</v>
      </c>
      <c r="H274" s="44">
        <f>IFERROR(__xludf.DUMMYFUNCTION("GOOGLEFINANCE(A274,""low52"")"),273.0)</f>
        <v>273</v>
      </c>
      <c r="I274" s="45">
        <f>IFERROR(__xludf.DUMMYFUNCTION("to_date(index(sort(GOOGLEFINANCE(A274, ""low"", today()-52*7, today(), ""DAILY""),2,1),1,1))"),46049.64583333333)</f>
        <v>46049.64583</v>
      </c>
      <c r="J274" s="46" t="str">
        <f t="shared" si="1"/>
        <v>Do Not Buy Today</v>
      </c>
    </row>
    <row r="275">
      <c r="A275" s="73" t="s">
        <v>508</v>
      </c>
      <c r="B275" s="59">
        <f>IFERROR(__xludf.DUMMYFUNCTION("GOOGLEFINANCE(A275,""price"")"),502.25)</f>
        <v>502.25</v>
      </c>
      <c r="C275" s="60">
        <f>IFERROR(__xludf.DUMMYFUNCTION("GOOGLEFINANCE(A275,""closeyest"")"),501.4)</f>
        <v>501.4</v>
      </c>
      <c r="D275" s="61">
        <f>IFERROR(__xludf.DUMMYFUNCTION("MIN(index(GOOGLEFINANCE(A275,""ALL"",TODAY()-180,TODAY()),0,5))*1.2"),355.37999999999994)</f>
        <v>355.38</v>
      </c>
      <c r="E275" s="62">
        <f>IFERROR(__xludf.DUMMYFUNCTION("AVERAGE(QUERY(SORT(GOOGLEFINANCE(A275,""price"",TODAY()-320,TODAY()),1,0),""select Col2 limit 100""))"),409.724)</f>
        <v>409.724</v>
      </c>
      <c r="F275" s="44">
        <f>IFERROR(__xludf.DUMMYFUNCTION("GOOGLEFINANCE(A275,""high52"")"),750.0)</f>
        <v>750</v>
      </c>
      <c r="G275" s="45">
        <f>IFERROR(__xludf.DUMMYFUNCTION("to_date(index(sort(GOOGLEFINANCE(A275, ""high"", today()-52*7, today(), ""DAILY""),2,0),2,1))"),45814.64583333333)</f>
        <v>45814.64583</v>
      </c>
      <c r="H275" s="44">
        <f>IFERROR(__xludf.DUMMYFUNCTION("GOOGLEFINANCE(A275,""low52"")"),294.0)</f>
        <v>294</v>
      </c>
      <c r="I275" s="45">
        <f>IFERROR(__xludf.DUMMYFUNCTION("to_date(index(sort(GOOGLEFINANCE(A275, ""low"", today()-52*7, today(), ""DAILY""),2,1),1,1))"),46049.64583333333)</f>
        <v>46049.64583</v>
      </c>
      <c r="J275" s="46" t="str">
        <f t="shared" si="1"/>
        <v>Do Not Buy Today</v>
      </c>
    </row>
    <row r="276">
      <c r="A276" s="73" t="s">
        <v>509</v>
      </c>
      <c r="B276" s="59">
        <f>IFERROR(__xludf.DUMMYFUNCTION("GOOGLEFINANCE(A276,""price"")"),1098.6)</f>
        <v>1098.6</v>
      </c>
      <c r="C276" s="60">
        <f>IFERROR(__xludf.DUMMYFUNCTION("GOOGLEFINANCE(A276,""closeyest"")"),1096.0)</f>
        <v>1096</v>
      </c>
      <c r="D276" s="61">
        <f>IFERROR(__xludf.DUMMYFUNCTION("MIN(index(GOOGLEFINANCE(A276,""ALL"",TODAY()-180,TODAY()),0,5))*1.2"),1090.08)</f>
        <v>1090.08</v>
      </c>
      <c r="E276" s="62">
        <f>IFERROR(__xludf.DUMMYFUNCTION("AVERAGE(QUERY(SORT(GOOGLEFINANCE(A276,""price"",TODAY()-320,TODAY()),1,0),""select Col2 limit 100""))"),1083.4405000000006)</f>
        <v>1083.4405</v>
      </c>
      <c r="F276" s="44">
        <f>IFERROR(__xludf.DUMMYFUNCTION("GOOGLEFINANCE(A276,""high52"")"),1586.9)</f>
        <v>1586.9</v>
      </c>
      <c r="G276" s="45">
        <f>IFERROR(__xludf.DUMMYFUNCTION("to_date(index(sort(GOOGLEFINANCE(A276, ""high"", today()-52*7, today(), ""DAILY""),2,0),2,1))"),45842.64583333333)</f>
        <v>45842.64583</v>
      </c>
      <c r="H276" s="44">
        <f>IFERROR(__xludf.DUMMYFUNCTION("GOOGLEFINANCE(A276,""low52"")"),900.0)</f>
        <v>900</v>
      </c>
      <c r="I276" s="45">
        <f>IFERROR(__xludf.DUMMYFUNCTION("to_date(index(sort(GOOGLEFINANCE(A276, ""low"", today()-52*7, today(), ""DAILY""),2,1),1,1))"),46104.64583333333)</f>
        <v>46104.64583</v>
      </c>
      <c r="J276" s="46" t="str">
        <f t="shared" si="1"/>
        <v>Do Not Buy Today</v>
      </c>
    </row>
    <row r="277">
      <c r="A277" s="73" t="s">
        <v>271</v>
      </c>
      <c r="B277" s="59">
        <f>IFERROR(__xludf.DUMMYFUNCTION("GOOGLEFINANCE(A277,""price"")"),3336.0)</f>
        <v>3336</v>
      </c>
      <c r="C277" s="60">
        <f>IFERROR(__xludf.DUMMYFUNCTION("GOOGLEFINANCE(A277,""closeyest"")"),3331.5)</f>
        <v>3331.5</v>
      </c>
      <c r="D277" s="61">
        <f>IFERROR(__xludf.DUMMYFUNCTION("MIN(index(GOOGLEFINANCE(A277,""ALL"",TODAY()-180,TODAY()),0,5))*1.2"),3738.72)</f>
        <v>3738.72</v>
      </c>
      <c r="E277" s="62">
        <f>IFERROR(__xludf.DUMMYFUNCTION("AVERAGE(QUERY(SORT(GOOGLEFINANCE(A277,""price"",TODAY()-320,TODAY()),1,0),""select Col2 limit 100""))"),3550.6469999999995)</f>
        <v>3550.647</v>
      </c>
      <c r="F277" s="44">
        <f>IFERROR(__xludf.DUMMYFUNCTION("GOOGLEFINANCE(A277,""high52"")"),4149.5)</f>
        <v>4149.5</v>
      </c>
      <c r="G277" s="45">
        <f>IFERROR(__xludf.DUMMYFUNCTION("to_date(index(sort(GOOGLEFINANCE(A277, ""high"", today()-52*7, today(), ""DAILY""),2,0),2,1))"),46051.64583333333)</f>
        <v>46051.64583</v>
      </c>
      <c r="H277" s="44">
        <f>IFERROR(__xludf.DUMMYFUNCTION("GOOGLEFINANCE(A277,""low52"")"),2058.5)</f>
        <v>2058.5</v>
      </c>
      <c r="I277" s="45">
        <f>IFERROR(__xludf.DUMMYFUNCTION("to_date(index(sort(GOOGLEFINANCE(A277, ""low"", today()-52*7, today(), ""DAILY""),2,1),1,1))"),45806.64583333333)</f>
        <v>45806.64583</v>
      </c>
      <c r="J277" s="46" t="str">
        <f t="shared" si="1"/>
        <v>Do Not Buy Today</v>
      </c>
    </row>
    <row r="278">
      <c r="A278" s="73" t="s">
        <v>510</v>
      </c>
      <c r="B278" s="59">
        <f>IFERROR(__xludf.DUMMYFUNCTION("GOOGLEFINANCE(A278,""price"")"),563.6)</f>
        <v>563.6</v>
      </c>
      <c r="C278" s="60">
        <f>IFERROR(__xludf.DUMMYFUNCTION("GOOGLEFINANCE(A278,""closeyest"")"),569.35)</f>
        <v>569.35</v>
      </c>
      <c r="D278" s="61">
        <f>IFERROR(__xludf.DUMMYFUNCTION("MIN(index(GOOGLEFINANCE(A278,""ALL"",TODAY()-180,TODAY()),0,5))*1.2"),555.24)</f>
        <v>555.24</v>
      </c>
      <c r="E278" s="62">
        <f>IFERROR(__xludf.DUMMYFUNCTION("AVERAGE(QUERY(SORT(GOOGLEFINANCE(A278,""price"",TODAY()-320,TODAY()),1,0),""select Col2 limit 100""))"),542.712)</f>
        <v>542.712</v>
      </c>
      <c r="F278" s="44">
        <f>IFERROR(__xludf.DUMMYFUNCTION("GOOGLEFINANCE(A278,""high52"")"),691.5)</f>
        <v>691.5</v>
      </c>
      <c r="G278" s="45">
        <f>IFERROR(__xludf.DUMMYFUNCTION("to_date(index(sort(GOOGLEFINANCE(A278, ""high"", today()-52*7, today(), ""DAILY""),2,0),2,1))"),45838.64583333333)</f>
        <v>45838.64583</v>
      </c>
      <c r="H278" s="44">
        <f>IFERROR(__xludf.DUMMYFUNCTION("GOOGLEFINANCE(A278,""low52"")"),460.15)</f>
        <v>460.15</v>
      </c>
      <c r="I278" s="45">
        <f>IFERROR(__xludf.DUMMYFUNCTION("to_date(index(sort(GOOGLEFINANCE(A278, ""low"", today()-52*7, today(), ""DAILY""),2,1),1,1))"),46104.64583333333)</f>
        <v>46104.64583</v>
      </c>
      <c r="J278" s="46" t="str">
        <f t="shared" si="1"/>
        <v>Do Not Buy Today</v>
      </c>
    </row>
    <row r="279">
      <c r="A279" s="73" t="s">
        <v>511</v>
      </c>
      <c r="B279" s="59">
        <f>IFERROR(__xludf.DUMMYFUNCTION("GOOGLEFINANCE(A279,""price"")"),1275.9)</f>
        <v>1275.9</v>
      </c>
      <c r="C279" s="60">
        <f>IFERROR(__xludf.DUMMYFUNCTION("GOOGLEFINANCE(A279,""closeyest"")"),1298.3)</f>
        <v>1298.3</v>
      </c>
      <c r="D279" s="61">
        <f>IFERROR(__xludf.DUMMYFUNCTION("MIN(index(GOOGLEFINANCE(A279,""ALL"",TODAY()-180,TODAY()),0,5))*1.2"),1361.88)</f>
        <v>1361.88</v>
      </c>
      <c r="E279" s="62">
        <f>IFERROR(__xludf.DUMMYFUNCTION("AVERAGE(QUERY(SORT(GOOGLEFINANCE(A279,""price"",TODAY()-320,TODAY()),1,0),""select Col2 limit 100""))"),1275.2690000000002)</f>
        <v>1275.269</v>
      </c>
      <c r="F279" s="44">
        <f>IFERROR(__xludf.DUMMYFUNCTION("GOOGLEFINANCE(A279,""high52"")"),1568.0)</f>
        <v>1568</v>
      </c>
      <c r="G279" s="45">
        <f>IFERROR(__xludf.DUMMYFUNCTION("to_date(index(sort(GOOGLEFINANCE(A279, ""high"", today()-52*7, today(), ""DAILY""),2,0),2,1))"),46147.64583333333)</f>
        <v>46147.64583</v>
      </c>
      <c r="H279" s="44">
        <f>IFERROR(__xludf.DUMMYFUNCTION("GOOGLEFINANCE(A279,""low52"")"),1099.7)</f>
        <v>1099.7</v>
      </c>
      <c r="I279" s="45">
        <f>IFERROR(__xludf.DUMMYFUNCTION("to_date(index(sort(GOOGLEFINANCE(A279, ""low"", today()-52*7, today(), ""DAILY""),2,1),1,1))"),45828.64583333333)</f>
        <v>45828.64583</v>
      </c>
      <c r="J279" s="46" t="str">
        <f t="shared" si="1"/>
        <v>Do Not Buy Today</v>
      </c>
    </row>
    <row r="280">
      <c r="A280" s="73" t="s">
        <v>512</v>
      </c>
      <c r="B280" s="59">
        <f>IFERROR(__xludf.DUMMYFUNCTION("GOOGLEFINANCE(A280,""price"")"),636.0)</f>
        <v>636</v>
      </c>
      <c r="C280" s="60">
        <f>IFERROR(__xludf.DUMMYFUNCTION("GOOGLEFINANCE(A280,""closeyest"")"),638.9)</f>
        <v>638.9</v>
      </c>
      <c r="D280" s="61">
        <f>IFERROR(__xludf.DUMMYFUNCTION("MIN(index(GOOGLEFINANCE(A280,""ALL"",TODAY()-180,TODAY()),0,5))*1.2"),724.14)</f>
        <v>724.14</v>
      </c>
      <c r="E280" s="62">
        <f>IFERROR(__xludf.DUMMYFUNCTION("AVERAGE(QUERY(SORT(GOOGLEFINANCE(A280,""price"",TODAY()-320,TODAY()),1,0),""select Col2 limit 100""))"),659.2869999999999)</f>
        <v>659.287</v>
      </c>
      <c r="F280" s="44">
        <f>IFERROR(__xludf.DUMMYFUNCTION("GOOGLEFINANCE(A280,""high52"")"),818.7)</f>
        <v>818.7</v>
      </c>
      <c r="G280" s="45">
        <f>IFERROR(__xludf.DUMMYFUNCTION("to_date(index(sort(GOOGLEFINANCE(A280, ""high"", today()-52*7, today(), ""DAILY""),2,0),2,1))"),45904.64583333333)</f>
        <v>45904.64583</v>
      </c>
      <c r="H280" s="44">
        <f>IFERROR(__xludf.DUMMYFUNCTION("GOOGLEFINANCE(A280,""low52"")"),592.55)</f>
        <v>592.55</v>
      </c>
      <c r="I280" s="45">
        <f>IFERROR(__xludf.DUMMYFUNCTION("to_date(index(sort(GOOGLEFINANCE(A280, ""low"", today()-52*7, today(), ""DAILY""),2,1),1,1))"),46097.64583333333)</f>
        <v>46097.64583</v>
      </c>
      <c r="J280" s="46" t="str">
        <f t="shared" si="1"/>
        <v>Do Not Buy Today</v>
      </c>
    </row>
    <row r="281">
      <c r="A281" s="73" t="s">
        <v>513</v>
      </c>
      <c r="B281" s="59">
        <f>IFERROR(__xludf.DUMMYFUNCTION("GOOGLEFINANCE(A281,""price"")"),3618.4)</f>
        <v>3618.4</v>
      </c>
      <c r="C281" s="60">
        <f>IFERROR(__xludf.DUMMYFUNCTION("GOOGLEFINANCE(A281,""closeyest"")"),3784.2)</f>
        <v>3784.2</v>
      </c>
      <c r="D281" s="61">
        <f>IFERROR(__xludf.DUMMYFUNCTION("MIN(index(GOOGLEFINANCE(A281,""ALL"",TODAY()-180,TODAY()),0,5))*1.2"),3576.48)</f>
        <v>3576.48</v>
      </c>
      <c r="E281" s="62">
        <f>IFERROR(__xludf.DUMMYFUNCTION("AVERAGE(QUERY(SORT(GOOGLEFINANCE(A281,""price"",TODAY()-320,TODAY()),1,0),""select Col2 limit 100""))"),3405.982)</f>
        <v>3405.982</v>
      </c>
      <c r="F281" s="44">
        <f>IFERROR(__xludf.DUMMYFUNCTION("GOOGLEFINANCE(A281,""high52"")"),4050.0)</f>
        <v>4050</v>
      </c>
      <c r="G281" s="45">
        <f>IFERROR(__xludf.DUMMYFUNCTION("to_date(index(sort(GOOGLEFINANCE(A281, ""high"", today()-52*7, today(), ""DAILY""),2,0),2,1))"),45805.64583333333)</f>
        <v>45805.64583</v>
      </c>
      <c r="H281" s="44">
        <f>IFERROR(__xludf.DUMMYFUNCTION("GOOGLEFINANCE(A281,""low52"")"),2916.6)</f>
        <v>2916.6</v>
      </c>
      <c r="I281" s="45">
        <f>IFERROR(__xludf.DUMMYFUNCTION("to_date(index(sort(GOOGLEFINANCE(A281, ""low"", today()-52*7, today(), ""DAILY""),2,1),1,1))"),46050.64583333333)</f>
        <v>46050.64583</v>
      </c>
      <c r="J281" s="46" t="str">
        <f t="shared" si="1"/>
        <v>Do Not Buy Today</v>
      </c>
    </row>
    <row r="282">
      <c r="A282" s="73" t="s">
        <v>514</v>
      </c>
      <c r="B282" s="59">
        <f>IFERROR(__xludf.DUMMYFUNCTION("GOOGLEFINANCE(A282,""price"")"),835.0)</f>
        <v>835</v>
      </c>
      <c r="C282" s="60">
        <f>IFERROR(__xludf.DUMMYFUNCTION("GOOGLEFINANCE(A282,""closeyest"")"),816.55)</f>
        <v>816.55</v>
      </c>
      <c r="D282" s="61">
        <f>IFERROR(__xludf.DUMMYFUNCTION("MIN(index(GOOGLEFINANCE(A282,""ALL"",TODAY()-180,TODAY()),0,5))*1.2"),689.82)</f>
        <v>689.82</v>
      </c>
      <c r="E282" s="62">
        <f>IFERROR(__xludf.DUMMYFUNCTION("AVERAGE(QUERY(SORT(GOOGLEFINANCE(A282,""price"",TODAY()-320,TODAY()),1,0),""select Col2 limit 100""))"),751.1450000000001)</f>
        <v>751.145</v>
      </c>
      <c r="F282" s="44">
        <f>IFERROR(__xludf.DUMMYFUNCTION("GOOGLEFINANCE(A282,""high52"")"),973.8)</f>
        <v>973.8</v>
      </c>
      <c r="G282" s="45">
        <f>IFERROR(__xludf.DUMMYFUNCTION("to_date(index(sort(GOOGLEFINANCE(A282, ""high"", today()-52*7, today(), ""DAILY""),2,0),2,1))"),45817.64583333333)</f>
        <v>45817.64583</v>
      </c>
      <c r="H282" s="44">
        <f>IFERROR(__xludf.DUMMYFUNCTION("GOOGLEFINANCE(A282,""low52"")"),568.7)</f>
        <v>568.7</v>
      </c>
      <c r="I282" s="45">
        <f>IFERROR(__xludf.DUMMYFUNCTION("to_date(index(sort(GOOGLEFINANCE(A282, ""low"", today()-52*7, today(), ""DAILY""),2,1),1,1))"),46111.64583333333)</f>
        <v>46111.64583</v>
      </c>
      <c r="J282" s="46" t="str">
        <f t="shared" si="1"/>
        <v>Do Not Buy Today</v>
      </c>
    </row>
    <row r="283">
      <c r="A283" s="73" t="s">
        <v>515</v>
      </c>
      <c r="B283" s="59">
        <f>IFERROR(__xludf.DUMMYFUNCTION("GOOGLEFINANCE(A283,""price"")"),958.45)</f>
        <v>958.45</v>
      </c>
      <c r="C283" s="60">
        <f>IFERROR(__xludf.DUMMYFUNCTION("GOOGLEFINANCE(A283,""closeyest"")"),966.6)</f>
        <v>966.6</v>
      </c>
      <c r="D283" s="61">
        <f>IFERROR(__xludf.DUMMYFUNCTION("MIN(index(GOOGLEFINANCE(A283,""ALL"",TODAY()-180,TODAY()),0,5))*1.2"),946.5)</f>
        <v>946.5</v>
      </c>
      <c r="E283" s="62">
        <f>IFERROR(__xludf.DUMMYFUNCTION("AVERAGE(QUERY(SORT(GOOGLEFINANCE(A283,""price"",TODAY()-320,TODAY()),1,0),""select Col2 limit 100""))"),894.2594999999998)</f>
        <v>894.2595</v>
      </c>
      <c r="F283" s="44">
        <f>IFERROR(__xludf.DUMMYFUNCTION("GOOGLEFINANCE(A283,""high52"")"),1104.3)</f>
        <v>1104.3</v>
      </c>
      <c r="G283" s="45">
        <f>IFERROR(__xludf.DUMMYFUNCTION("to_date(index(sort(GOOGLEFINANCE(A283, ""high"", today()-52*7, today(), ""DAILY""),2,0),2,1))"),45947.64583333333)</f>
        <v>45947.64583</v>
      </c>
      <c r="H283" s="44">
        <f>IFERROR(__xludf.DUMMYFUNCTION("GOOGLEFINANCE(A283,""low52"")"),698.7)</f>
        <v>698.7</v>
      </c>
      <c r="I283" s="45">
        <f>IFERROR(__xludf.DUMMYFUNCTION("to_date(index(sort(GOOGLEFINANCE(A283, ""low"", today()-52*7, today(), ""DAILY""),2,1),1,1))"),45810.64583333333)</f>
        <v>45810.64583</v>
      </c>
      <c r="J283" s="46" t="str">
        <f t="shared" si="1"/>
        <v>Do Not Buy Today</v>
      </c>
    </row>
    <row r="284">
      <c r="A284" s="73" t="s">
        <v>272</v>
      </c>
      <c r="B284" s="59">
        <f>IFERROR(__xludf.DUMMYFUNCTION("GOOGLEFINANCE(A284,""price"")"),435.15)</f>
        <v>435.15</v>
      </c>
      <c r="C284" s="60">
        <f>IFERROR(__xludf.DUMMYFUNCTION("GOOGLEFINANCE(A284,""closeyest"")"),416.2)</f>
        <v>416.2</v>
      </c>
      <c r="D284" s="61">
        <f>IFERROR(__xludf.DUMMYFUNCTION("MIN(index(GOOGLEFINANCE(A284,""ALL"",TODAY()-180,TODAY()),0,5))*1.2"),311.976)</f>
        <v>311.976</v>
      </c>
      <c r="E284" s="62">
        <f>IFERROR(__xludf.DUMMYFUNCTION("AVERAGE(QUERY(SORT(GOOGLEFINANCE(A284,""price"",TODAY()-320,TODAY()),1,0),""select Col2 limit 100""))"),381.48800000000017)</f>
        <v>381.488</v>
      </c>
      <c r="F284" s="44">
        <f>IFERROR(__xludf.DUMMYFUNCTION("GOOGLEFINANCE(A284,""high52"")"),445.15)</f>
        <v>445.15</v>
      </c>
      <c r="G284" s="45">
        <f>IFERROR(__xludf.DUMMYFUNCTION("to_date(index(sort(GOOGLEFINANCE(A284, ""high"", today()-52*7, today(), ""DAILY""),2,0),2,1))"),46139.64583333333)</f>
        <v>46139.64583</v>
      </c>
      <c r="H284" s="44">
        <f>IFERROR(__xludf.DUMMYFUNCTION("GOOGLEFINANCE(A284,""low52"")"),176.34)</f>
        <v>176.34</v>
      </c>
      <c r="I284" s="45">
        <f>IFERROR(__xludf.DUMMYFUNCTION("to_date(index(sort(GOOGLEFINANCE(A284, ""low"", today()-52*7, today(), ""DAILY""),2,1),1,1))"),45810.64583333333)</f>
        <v>45810.64583</v>
      </c>
      <c r="J284" s="46" t="str">
        <f t="shared" si="1"/>
        <v>Do Not Buy Today</v>
      </c>
    </row>
    <row r="285">
      <c r="A285" s="73" t="s">
        <v>516</v>
      </c>
      <c r="B285" s="59">
        <f>IFERROR(__xludf.DUMMYFUNCTION("GOOGLEFINANCE(A285,""price"")"),175.75)</f>
        <v>175.75</v>
      </c>
      <c r="C285" s="60">
        <f>IFERROR(__xludf.DUMMYFUNCTION("GOOGLEFINANCE(A285,""closeyest"")"),178.86)</f>
        <v>178.86</v>
      </c>
      <c r="D285" s="61">
        <f>IFERROR(__xludf.DUMMYFUNCTION("MIN(index(GOOGLEFINANCE(A285,""ALL"",TODAY()-180,TODAY()),0,5))*1.2"),159.924)</f>
        <v>159.924</v>
      </c>
      <c r="E285" s="62">
        <f>IFERROR(__xludf.DUMMYFUNCTION("AVERAGE(QUERY(SORT(GOOGLEFINANCE(A285,""price"",TODAY()-320,TODAY()),1,0),""select Col2 limit 100""))"),159.9758)</f>
        <v>159.9758</v>
      </c>
      <c r="F285" s="44">
        <f>IFERROR(__xludf.DUMMYFUNCTION("GOOGLEFINANCE(A285,""high52"")"),220.85)</f>
        <v>220.85</v>
      </c>
      <c r="G285" s="45">
        <f>IFERROR(__xludf.DUMMYFUNCTION("to_date(index(sort(GOOGLEFINANCE(A285, ""high"", today()-52*7, today(), ""DAILY""),2,0),2,1))"),45854.64583333333)</f>
        <v>45854.64583</v>
      </c>
      <c r="H285" s="44">
        <f>IFERROR(__xludf.DUMMYFUNCTION("GOOGLEFINANCE(A285,""low52"")"),132.3)</f>
        <v>132.3</v>
      </c>
      <c r="I285" s="45">
        <f>IFERROR(__xludf.DUMMYFUNCTION("to_date(index(sort(GOOGLEFINANCE(A285, ""low"", today()-52*7, today(), ""DAILY""),2,1),1,1))"),46104.64583333333)</f>
        <v>46104.64583</v>
      </c>
      <c r="J285" s="46" t="str">
        <f t="shared" si="1"/>
        <v>Do Not Buy Today</v>
      </c>
    </row>
    <row r="286">
      <c r="A286" s="73" t="s">
        <v>517</v>
      </c>
      <c r="B286" s="59">
        <f>IFERROR(__xludf.DUMMYFUNCTION("GOOGLEFINANCE(A286,""price"")"),1121.5)</f>
        <v>1121.5</v>
      </c>
      <c r="C286" s="60">
        <f>IFERROR(__xludf.DUMMYFUNCTION("GOOGLEFINANCE(A286,""closeyest"")"),1201.2)</f>
        <v>1201.2</v>
      </c>
      <c r="D286" s="61">
        <f>IFERROR(__xludf.DUMMYFUNCTION("MIN(index(GOOGLEFINANCE(A286,""ALL"",TODAY()-180,TODAY()),0,5))*1.2"),1072.08)</f>
        <v>1072.08</v>
      </c>
      <c r="E286" s="62">
        <f>IFERROR(__xludf.DUMMYFUNCTION("AVERAGE(QUERY(SORT(GOOGLEFINANCE(A286,""price"",TODAY()-320,TODAY()),1,0),""select Col2 limit 100""))"),1115.3754999999996)</f>
        <v>1115.3755</v>
      </c>
      <c r="F286" s="44">
        <f>IFERROR(__xludf.DUMMYFUNCTION("GOOGLEFINANCE(A286,""high52"")"),1654.0)</f>
        <v>1654</v>
      </c>
      <c r="G286" s="45">
        <f>IFERROR(__xludf.DUMMYFUNCTION("to_date(index(sort(GOOGLEFINANCE(A286, ""high"", today()-52*7, today(), ""DAILY""),2,0),2,1))"),45848.64583333333)</f>
        <v>45848.64583</v>
      </c>
      <c r="H286" s="44">
        <f>IFERROR(__xludf.DUMMYFUNCTION("GOOGLEFINANCE(A286,""low52"")"),870.0)</f>
        <v>870</v>
      </c>
      <c r="I286" s="45">
        <f>IFERROR(__xludf.DUMMYFUNCTION("to_date(index(sort(GOOGLEFINANCE(A286, ""low"", today()-52*7, today(), ""DAILY""),2,1),1,1))"),46049.64583333333)</f>
        <v>46049.64583</v>
      </c>
      <c r="J286" s="46" t="str">
        <f t="shared" si="1"/>
        <v>Do Not Buy Today</v>
      </c>
    </row>
    <row r="287">
      <c r="A287" s="73" t="s">
        <v>518</v>
      </c>
      <c r="B287" s="59">
        <f>IFERROR(__xludf.DUMMYFUNCTION("GOOGLEFINANCE(A287,""price"")"),833.3)</f>
        <v>833.3</v>
      </c>
      <c r="C287" s="60">
        <f>IFERROR(__xludf.DUMMYFUNCTION("GOOGLEFINANCE(A287,""closeyest"")"),842.8)</f>
        <v>842.8</v>
      </c>
      <c r="D287" s="61">
        <f>IFERROR(__xludf.DUMMYFUNCTION("MIN(index(GOOGLEFINANCE(A287,""ALL"",TODAY()-180,TODAY()),0,5))*1.2"),961.3199999999999)</f>
        <v>961.32</v>
      </c>
      <c r="E287" s="62">
        <f>IFERROR(__xludf.DUMMYFUNCTION("AVERAGE(QUERY(SORT(GOOGLEFINANCE(A287,""price"",TODAY()-320,TODAY()),1,0),""select Col2 limit 100""))"),1126.6829999999995)</f>
        <v>1126.683</v>
      </c>
      <c r="F287" s="44">
        <f>IFERROR(__xludf.DUMMYFUNCTION("GOOGLEFINANCE(A287,""high52"")"),1998.0)</f>
        <v>1998</v>
      </c>
      <c r="G287" s="45">
        <f>IFERROR(__xludf.DUMMYFUNCTION("to_date(index(sort(GOOGLEFINANCE(A287, ""high"", today()-52*7, today(), ""DAILY""),2,0),2,1))"),45944.64583333333)</f>
        <v>45944.64583</v>
      </c>
      <c r="H287" s="44">
        <f>IFERROR(__xludf.DUMMYFUNCTION("GOOGLEFINANCE(A287,""low52"")"),795.0)</f>
        <v>795</v>
      </c>
      <c r="I287" s="45">
        <f>IFERROR(__xludf.DUMMYFUNCTION("to_date(index(sort(GOOGLEFINANCE(A287, ""low"", today()-52*7, today(), ""DAILY""),2,1),1,1))"),46111.64583333333)</f>
        <v>46111.64583</v>
      </c>
      <c r="J287" s="46" t="str">
        <f t="shared" si="1"/>
        <v>Do Not Buy Today</v>
      </c>
    </row>
    <row r="288">
      <c r="A288" s="73" t="s">
        <v>274</v>
      </c>
      <c r="B288" s="59">
        <f>IFERROR(__xludf.DUMMYFUNCTION("GOOGLEFINANCE(A288,""price"")"),75.66)</f>
        <v>75.66</v>
      </c>
      <c r="C288" s="60">
        <f>IFERROR(__xludf.DUMMYFUNCTION("GOOGLEFINANCE(A288,""closeyest"")"),73.79)</f>
        <v>73.79</v>
      </c>
      <c r="D288" s="61">
        <f>IFERROR(__xludf.DUMMYFUNCTION("MIN(index(GOOGLEFINANCE(A288,""ALL"",TODAY()-180,TODAY()),0,5))*1.2"),76.02)</f>
        <v>76.02</v>
      </c>
      <c r="E288" s="62">
        <f>IFERROR(__xludf.DUMMYFUNCTION("AVERAGE(QUERY(SORT(GOOGLEFINANCE(A288,""price"",TODAY()-320,TODAY()),1,0),""select Col2 limit 100""))"),74.33330000000001)</f>
        <v>74.3333</v>
      </c>
      <c r="F288" s="44">
        <f>IFERROR(__xludf.DUMMYFUNCTION("GOOGLEFINANCE(A288,""high52"")"),105.85)</f>
        <v>105.85</v>
      </c>
      <c r="G288" s="45">
        <f>IFERROR(__xludf.DUMMYFUNCTION("to_date(index(sort(GOOGLEFINANCE(A288, ""high"", today()-52*7, today(), ""DAILY""),2,0),2,1))"),45819.64583333333)</f>
        <v>45819.64583</v>
      </c>
      <c r="H288" s="44">
        <f>IFERROR(__xludf.DUMMYFUNCTION("GOOGLEFINANCE(A288,""low52"")"),63.02)</f>
        <v>63.02</v>
      </c>
      <c r="I288" s="45">
        <f>IFERROR(__xludf.DUMMYFUNCTION("to_date(index(sort(GOOGLEFINANCE(A288, ""low"", today()-52*7, today(), ""DAILY""),2,1),1,1))"),46111.64583333333)</f>
        <v>46111.64583</v>
      </c>
      <c r="J288" s="46" t="str">
        <f t="shared" si="1"/>
        <v>Do Not Buy Today</v>
      </c>
    </row>
    <row r="289">
      <c r="A289" s="73" t="s">
        <v>519</v>
      </c>
      <c r="B289" s="59">
        <f>IFERROR(__xludf.DUMMYFUNCTION("GOOGLEFINANCE(A289,""price"")"),255.95)</f>
        <v>255.95</v>
      </c>
      <c r="C289" s="60">
        <f>IFERROR(__xludf.DUMMYFUNCTION("GOOGLEFINANCE(A289,""closeyest"")"),250.5)</f>
        <v>250.5</v>
      </c>
      <c r="D289" s="61">
        <f>IFERROR(__xludf.DUMMYFUNCTION("MIN(index(GOOGLEFINANCE(A289,""ALL"",TODAY()-180,TODAY()),0,5))*1.2"),262.62)</f>
        <v>262.62</v>
      </c>
      <c r="E289" s="62">
        <f>IFERROR(__xludf.DUMMYFUNCTION("AVERAGE(QUERY(SORT(GOOGLEFINANCE(A289,""price"",TODAY()-320,TODAY()),1,0),""select Col2 limit 100""))"),249.49319999999992)</f>
        <v>249.4932</v>
      </c>
      <c r="F289" s="44">
        <f>IFERROR(__xludf.DUMMYFUNCTION("GOOGLEFINANCE(A289,""high52"")"),304.4)</f>
        <v>304.4</v>
      </c>
      <c r="G289" s="45">
        <f>IFERROR(__xludf.DUMMYFUNCTION("to_date(index(sort(GOOGLEFINANCE(A289, ""high"", today()-52*7, today(), ""DAILY""),2,0),2,1))"),45856.64583333333)</f>
        <v>45856.64583</v>
      </c>
      <c r="H289" s="44">
        <f>IFERROR(__xludf.DUMMYFUNCTION("GOOGLEFINANCE(A289,""low52"")"),215.2)</f>
        <v>215.2</v>
      </c>
      <c r="I289" s="45">
        <f>IFERROR(__xludf.DUMMYFUNCTION("to_date(index(sort(GOOGLEFINANCE(A289, ""low"", today()-52*7, today(), ""DAILY""),2,1),1,1))"),46111.64583333333)</f>
        <v>46111.64583</v>
      </c>
      <c r="J289" s="46" t="str">
        <f t="shared" si="1"/>
        <v>Do Not Buy Today</v>
      </c>
    </row>
    <row r="290">
      <c r="A290" s="73" t="s">
        <v>520</v>
      </c>
      <c r="B290" s="59">
        <f>IFERROR(__xludf.DUMMYFUNCTION("GOOGLEFINANCE(A290,""price"")"),116.45)</f>
        <v>116.45</v>
      </c>
      <c r="C290" s="60">
        <f>IFERROR(__xludf.DUMMYFUNCTION("GOOGLEFINANCE(A290,""closeyest"")"),116.39)</f>
        <v>116.39</v>
      </c>
      <c r="D290" s="61">
        <f>IFERROR(__xludf.DUMMYFUNCTION("MIN(index(GOOGLEFINANCE(A290,""ALL"",TODAY()-180,TODAY()),0,5))*1.2"),113.508)</f>
        <v>113.508</v>
      </c>
      <c r="E290" s="62">
        <f>IFERROR(__xludf.DUMMYFUNCTION("AVERAGE(QUERY(SORT(GOOGLEFINANCE(A290,""price"",TODAY()-320,TODAY()),1,0),""select Col2 limit 100""))"),120.60919999999996)</f>
        <v>120.6092</v>
      </c>
      <c r="F290" s="44">
        <f>IFERROR(__xludf.DUMMYFUNCTION("GOOGLEFINANCE(A290,""high52"")"),191.0)</f>
        <v>191</v>
      </c>
      <c r="G290" s="45">
        <f>IFERROR(__xludf.DUMMYFUNCTION("to_date(index(sort(GOOGLEFINANCE(A290, ""high"", today()-52*7, today(), ""DAILY""),2,0),2,1))"),45911.64583333333)</f>
        <v>45911.64583</v>
      </c>
      <c r="H290" s="44">
        <f>IFERROR(__xludf.DUMMYFUNCTION("GOOGLEFINANCE(A290,""low52"")"),91.55)</f>
        <v>91.55</v>
      </c>
      <c r="I290" s="45">
        <f>IFERROR(__xludf.DUMMYFUNCTION("to_date(index(sort(GOOGLEFINANCE(A290, ""low"", today()-52*7, today(), ""DAILY""),2,1),1,1))"),46114.64583333333)</f>
        <v>46114.64583</v>
      </c>
      <c r="J290" s="46" t="str">
        <f t="shared" si="1"/>
        <v>Do Not Buy Today</v>
      </c>
    </row>
    <row r="291">
      <c r="A291" s="73" t="s">
        <v>521</v>
      </c>
      <c r="B291" s="59">
        <f>IFERROR(__xludf.DUMMYFUNCTION("GOOGLEFINANCE(A291,""price"")"),33405.0)</f>
        <v>33405</v>
      </c>
      <c r="C291" s="60">
        <f>IFERROR(__xludf.DUMMYFUNCTION("GOOGLEFINANCE(A291,""closeyest"")"),33100.0)</f>
        <v>33100</v>
      </c>
      <c r="D291" s="61">
        <f>IFERROR(__xludf.DUMMYFUNCTION("MIN(index(GOOGLEFINANCE(A291,""ALL"",TODAY()-180,TODAY()),0,5))*1.2"),35112.0)</f>
        <v>35112</v>
      </c>
      <c r="E291" s="62">
        <f>IFERROR(__xludf.DUMMYFUNCTION("AVERAGE(QUERY(SORT(GOOGLEFINANCE(A291,""price"",TODAY()-320,TODAY()),1,0),""select Col2 limit 100""))"),33647.35)</f>
        <v>33647.35</v>
      </c>
      <c r="F291" s="44">
        <f>IFERROR(__xludf.DUMMYFUNCTION("GOOGLEFINANCE(A291,""high52"")"),38030.0)</f>
        <v>38030</v>
      </c>
      <c r="G291" s="45">
        <f>IFERROR(__xludf.DUMMYFUNCTION("to_date(index(sort(GOOGLEFINANCE(A291, ""high"", today()-52*7, today(), ""DAILY""),2,0),2,1))"),46063.64583333333)</f>
        <v>46063.64583</v>
      </c>
      <c r="H291" s="44">
        <f>IFERROR(__xludf.DUMMYFUNCTION("GOOGLEFINANCE(A291,""low52"")"),27830.0)</f>
        <v>27830</v>
      </c>
      <c r="I291" s="45">
        <f>IFERROR(__xludf.DUMMYFUNCTION("to_date(index(sort(GOOGLEFINANCE(A291, ""low"", today()-52*7, today(), ""DAILY""),2,1),1,1))"),45805.64583333333)</f>
        <v>45805.64583</v>
      </c>
      <c r="J291" s="46" t="str">
        <f t="shared" si="1"/>
        <v>Do Not Buy Today</v>
      </c>
    </row>
    <row r="292">
      <c r="A292" s="73" t="s">
        <v>522</v>
      </c>
      <c r="B292" s="59">
        <f>IFERROR(__xludf.DUMMYFUNCTION("GOOGLEFINANCE(A292,""price"")"),1376.4)</f>
        <v>1376.4</v>
      </c>
      <c r="C292" s="60">
        <f>IFERROR(__xludf.DUMMYFUNCTION("GOOGLEFINANCE(A292,""closeyest"")"),1393.3)</f>
        <v>1393.3</v>
      </c>
      <c r="D292" s="61">
        <f>IFERROR(__xludf.DUMMYFUNCTION("MIN(index(GOOGLEFINANCE(A292,""ALL"",TODAY()-180,TODAY()),0,5))*1.2"),1288.68)</f>
        <v>1288.68</v>
      </c>
      <c r="E292" s="62">
        <f>IFERROR(__xludf.DUMMYFUNCTION("AVERAGE(QUERY(SORT(GOOGLEFINANCE(A292,""price"",TODAY()-320,TODAY()),1,0),""select Col2 limit 100""))"),1330.9379999999999)</f>
        <v>1330.938</v>
      </c>
      <c r="F292" s="44">
        <f>IFERROR(__xludf.DUMMYFUNCTION("GOOGLEFINANCE(A292,""high52"")"),2152.9)</f>
        <v>2152.9</v>
      </c>
      <c r="G292" s="45">
        <f>IFERROR(__xludf.DUMMYFUNCTION("to_date(index(sort(GOOGLEFINANCE(A292, ""high"", today()-52*7, today(), ""DAILY""),2,0),2,1))"),45838.64583333333)</f>
        <v>45838.64583</v>
      </c>
      <c r="H292" s="44">
        <f>IFERROR(__xludf.DUMMYFUNCTION("GOOGLEFINANCE(A292,""low52"")"),1060.4)</f>
        <v>1060.4</v>
      </c>
      <c r="I292" s="45">
        <f>IFERROR(__xludf.DUMMYFUNCTION("to_date(index(sort(GOOGLEFINANCE(A292, ""low"", today()-52*7, today(), ""DAILY""),2,1),1,1))"),46104.64583333333)</f>
        <v>46104.64583</v>
      </c>
      <c r="J292" s="46" t="str">
        <f t="shared" si="1"/>
        <v>Do Not Buy Today</v>
      </c>
    </row>
    <row r="293">
      <c r="A293" s="73" t="s">
        <v>523</v>
      </c>
      <c r="B293" s="59">
        <f>IFERROR(__xludf.DUMMYFUNCTION("GOOGLEFINANCE(A293,""price"")"),302.5)</f>
        <v>302.5</v>
      </c>
      <c r="C293" s="60">
        <f>IFERROR(__xludf.DUMMYFUNCTION("GOOGLEFINANCE(A293,""closeyest"")"),300.3)</f>
        <v>300.3</v>
      </c>
      <c r="D293" s="61">
        <f>IFERROR(__xludf.DUMMYFUNCTION("MIN(index(GOOGLEFINANCE(A293,""ALL"",TODAY()-180,TODAY()),0,5))*1.2"),286.86)</f>
        <v>286.86</v>
      </c>
      <c r="E293" s="62">
        <f>IFERROR(__xludf.DUMMYFUNCTION("AVERAGE(QUERY(SORT(GOOGLEFINANCE(A293,""price"",TODAY()-320,TODAY()),1,0),""select Col2 limit 100""))"),285.3958999999998)</f>
        <v>285.3959</v>
      </c>
      <c r="F293" s="44">
        <f>IFERROR(__xludf.DUMMYFUNCTION("GOOGLEFINANCE(A293,""high52"")"),372.85)</f>
        <v>372.85</v>
      </c>
      <c r="G293" s="45">
        <f>IFERROR(__xludf.DUMMYFUNCTION("to_date(index(sort(GOOGLEFINANCE(A293, ""high"", today()-52*7, today(), ""DAILY""),2,0),2,1))"),45938.64583333333)</f>
        <v>45938.64583</v>
      </c>
      <c r="H293" s="44">
        <f>IFERROR(__xludf.DUMMYFUNCTION("GOOGLEFINANCE(A293,""low52"")"),237.0)</f>
        <v>237</v>
      </c>
      <c r="I293" s="45">
        <f>IFERROR(__xludf.DUMMYFUNCTION("to_date(index(sort(GOOGLEFINANCE(A293, ""low"", today()-52*7, today(), ""DAILY""),2,1),1,1))"),46111.64583333333)</f>
        <v>46111.64583</v>
      </c>
      <c r="J293" s="46" t="str">
        <f t="shared" si="1"/>
        <v>Do Not Buy Today</v>
      </c>
    </row>
    <row r="294">
      <c r="A294" s="73" t="s">
        <v>524</v>
      </c>
      <c r="B294" s="59">
        <f>IFERROR(__xludf.DUMMYFUNCTION("GOOGLEFINANCE(A294,""price"")"),218.24)</f>
        <v>218.24</v>
      </c>
      <c r="C294" s="60">
        <f>IFERROR(__xludf.DUMMYFUNCTION("GOOGLEFINANCE(A294,""closeyest"")"),217.76)</f>
        <v>217.76</v>
      </c>
      <c r="D294" s="61">
        <f>IFERROR(__xludf.DUMMYFUNCTION("MIN(index(GOOGLEFINANCE(A294,""ALL"",TODAY()-180,TODAY()),0,5))*1.2"),190.884)</f>
        <v>190.884</v>
      </c>
      <c r="E294" s="62">
        <f>IFERROR(__xludf.DUMMYFUNCTION("AVERAGE(QUERY(SORT(GOOGLEFINANCE(A294,""price"",TODAY()-320,TODAY()),1,0),""select Col2 limit 100""))"),206.50939999999994)</f>
        <v>206.5094</v>
      </c>
      <c r="F294" s="44">
        <f>IFERROR(__xludf.DUMMYFUNCTION("GOOGLEFINANCE(A294,""high52"")"),264.0)</f>
        <v>264</v>
      </c>
      <c r="G294" s="45">
        <f>IFERROR(__xludf.DUMMYFUNCTION("to_date(index(sort(GOOGLEFINANCE(A294, ""high"", today()-52*7, today(), ""DAILY""),2,0),2,1))"),46015.64583333333)</f>
        <v>46015.64583</v>
      </c>
      <c r="H294" s="44">
        <f>IFERROR(__xludf.DUMMYFUNCTION("GOOGLEFINANCE(A294,""low52"")"),157.91)</f>
        <v>157.91</v>
      </c>
      <c r="I294" s="45">
        <f>IFERROR(__xludf.DUMMYFUNCTION("to_date(index(sort(GOOGLEFINANCE(A294, ""low"", today()-52*7, today(), ""DAILY""),2,1),1,1))"),46104.64583333333)</f>
        <v>46104.64583</v>
      </c>
      <c r="J294" s="46" t="str">
        <f t="shared" si="1"/>
        <v>Do Not Buy Today</v>
      </c>
    </row>
    <row r="295">
      <c r="A295" s="73" t="s">
        <v>275</v>
      </c>
      <c r="B295" s="59">
        <f>IFERROR(__xludf.DUMMYFUNCTION("GOOGLEFINANCE(A295,""price"")"),2406.9)</f>
        <v>2406.9</v>
      </c>
      <c r="C295" s="60">
        <f>IFERROR(__xludf.DUMMYFUNCTION("GOOGLEFINANCE(A295,""closeyest"")"),2423.6)</f>
        <v>2423.6</v>
      </c>
      <c r="D295" s="61">
        <f>IFERROR(__xludf.DUMMYFUNCTION("MIN(index(GOOGLEFINANCE(A295,""ALL"",TODAY()-180,TODAY()),0,5))*1.2"),2312.88)</f>
        <v>2312.88</v>
      </c>
      <c r="E295" s="62">
        <f>IFERROR(__xludf.DUMMYFUNCTION("AVERAGE(QUERY(SORT(GOOGLEFINANCE(A295,""price"",TODAY()-320,TODAY()),1,0),""select Col2 limit 100""))"),2184.552999999999)</f>
        <v>2184.553</v>
      </c>
      <c r="F295" s="44">
        <f>IFERROR(__xludf.DUMMYFUNCTION("GOOGLEFINANCE(A295,""high52"")"),2716.5)</f>
        <v>2716.5</v>
      </c>
      <c r="G295" s="45">
        <f>IFERROR(__xludf.DUMMYFUNCTION("to_date(index(sort(GOOGLEFINANCE(A295, ""high"", today()-52*7, today(), ""DAILY""),2,0),2,1))"),45853.64583333333)</f>
        <v>45853.64583</v>
      </c>
      <c r="H295" s="44">
        <f>IFERROR(__xludf.DUMMYFUNCTION("GOOGLEFINANCE(A295,""low52"")"),1909.7)</f>
        <v>1909.7</v>
      </c>
      <c r="I295" s="45">
        <f>IFERROR(__xludf.DUMMYFUNCTION("to_date(index(sort(GOOGLEFINANCE(A295, ""low"", today()-52*7, today(), ""DAILY""),2,1),1,1))"),46104.64583333333)</f>
        <v>46104.64583</v>
      </c>
      <c r="J295" s="46" t="str">
        <f t="shared" si="1"/>
        <v>Do Not Buy Today</v>
      </c>
    </row>
    <row r="296">
      <c r="A296" s="73" t="s">
        <v>525</v>
      </c>
      <c r="B296" s="59">
        <f>IFERROR(__xludf.DUMMYFUNCTION("GOOGLEFINANCE(A296,""price"")"),290.4)</f>
        <v>290.4</v>
      </c>
      <c r="C296" s="60">
        <f>IFERROR(__xludf.DUMMYFUNCTION("GOOGLEFINANCE(A296,""closeyest"")"),289.6)</f>
        <v>289.6</v>
      </c>
      <c r="D296" s="61">
        <f>IFERROR(__xludf.DUMMYFUNCTION("MIN(index(GOOGLEFINANCE(A296,""ALL"",TODAY()-180,TODAY()),0,5))*1.2"),278.58)</f>
        <v>278.58</v>
      </c>
      <c r="E296" s="62">
        <f>IFERROR(__xludf.DUMMYFUNCTION("AVERAGE(QUERY(SORT(GOOGLEFINANCE(A296,""price"",TODAY()-320,TODAY()),1,0),""select Col2 limit 100""))"),282.5944)</f>
        <v>282.5944</v>
      </c>
      <c r="F296" s="44">
        <f>IFERROR(__xludf.DUMMYFUNCTION("GOOGLEFINANCE(A296,""high52"")"),437.3)</f>
        <v>437.3</v>
      </c>
      <c r="G296" s="45">
        <f>IFERROR(__xludf.DUMMYFUNCTION("to_date(index(sort(GOOGLEFINANCE(A296, ""high"", today()-52*7, today(), ""DAILY""),2,0),2,1))"),45848.64583333333)</f>
        <v>45848.64583</v>
      </c>
      <c r="H296" s="44">
        <f>IFERROR(__xludf.DUMMYFUNCTION("GOOGLEFINANCE(A296,""low52"")"),226.5)</f>
        <v>226.5</v>
      </c>
      <c r="I296" s="45">
        <f>IFERROR(__xludf.DUMMYFUNCTION("to_date(index(sort(GOOGLEFINANCE(A296, ""low"", today()-52*7, today(), ""DAILY""),2,1),1,1))"),46105.64583333333)</f>
        <v>46105.64583</v>
      </c>
      <c r="J296" s="46" t="str">
        <f t="shared" si="1"/>
        <v>Do Not Buy Today</v>
      </c>
    </row>
    <row r="297">
      <c r="A297" s="73" t="s">
        <v>526</v>
      </c>
      <c r="B297" s="59">
        <f>IFERROR(__xludf.DUMMYFUNCTION("GOOGLEFINANCE(A297,""price"")"),3539.2)</f>
        <v>3539.2</v>
      </c>
      <c r="C297" s="60">
        <f>IFERROR(__xludf.DUMMYFUNCTION("GOOGLEFINANCE(A297,""closeyest"")"),3578.4)</f>
        <v>3578.4</v>
      </c>
      <c r="D297" s="61">
        <f>IFERROR(__xludf.DUMMYFUNCTION("MIN(index(GOOGLEFINANCE(A297,""ALL"",TODAY()-180,TODAY()),0,5))*1.2"),3049.4399999999996)</f>
        <v>3049.44</v>
      </c>
      <c r="E297" s="62">
        <f>IFERROR(__xludf.DUMMYFUNCTION("AVERAGE(QUERY(SORT(GOOGLEFINANCE(A297,""price"",TODAY()-320,TODAY()),1,0),""select Col2 limit 100""))"),2984.9089999999997)</f>
        <v>2984.909</v>
      </c>
      <c r="F297" s="44">
        <f>IFERROR(__xludf.DUMMYFUNCTION("GOOGLEFINANCE(A297,""high52"")"),3679.0)</f>
        <v>3679</v>
      </c>
      <c r="G297" s="45">
        <f>IFERROR(__xludf.DUMMYFUNCTION("to_date(index(sort(GOOGLEFINANCE(A297, ""high"", today()-52*7, today(), ""DAILY""),2,0),2,1))"),46162.64583333333)</f>
        <v>46162.64583</v>
      </c>
      <c r="H297" s="44">
        <f>IFERROR(__xludf.DUMMYFUNCTION("GOOGLEFINANCE(A297,""low52"")"),2438.2)</f>
        <v>2438.2</v>
      </c>
      <c r="I297" s="45">
        <f>IFERROR(__xludf.DUMMYFUNCTION("to_date(index(sort(GOOGLEFINANCE(A297, ""low"", today()-52*7, today(), ""DAILY""),2,1),1,1))"),45805.64583333333)</f>
        <v>45805.64583</v>
      </c>
      <c r="J297" s="46" t="str">
        <f t="shared" si="1"/>
        <v>Do Not Buy Today</v>
      </c>
    </row>
    <row r="298">
      <c r="A298" s="73" t="s">
        <v>527</v>
      </c>
      <c r="B298" s="59">
        <f>IFERROR(__xludf.DUMMYFUNCTION("GOOGLEFINANCE(A298,""price"")"),153.4)</f>
        <v>153.4</v>
      </c>
      <c r="C298" s="60">
        <f>IFERROR(__xludf.DUMMYFUNCTION("GOOGLEFINANCE(A298,""closeyest"")"),150.05)</f>
        <v>150.05</v>
      </c>
      <c r="D298" s="61">
        <f>IFERROR(__xludf.DUMMYFUNCTION("MIN(index(GOOGLEFINANCE(A298,""ALL"",TODAY()-180,TODAY()),0,5))*1.2"),157.128)</f>
        <v>157.128</v>
      </c>
      <c r="E298" s="62">
        <f>IFERROR(__xludf.DUMMYFUNCTION("AVERAGE(QUERY(SORT(GOOGLEFINANCE(A298,""price"",TODAY()-320,TODAY()),1,0),""select Col2 limit 100""))"),151.8693)</f>
        <v>151.8693</v>
      </c>
      <c r="F298" s="44">
        <f>IFERROR(__xludf.DUMMYFUNCTION("GOOGLEFINANCE(A298,""high52"")"),242.15)</f>
        <v>242.15</v>
      </c>
      <c r="G298" s="45">
        <f>IFERROR(__xludf.DUMMYFUNCTION("to_date(index(sort(GOOGLEFINANCE(A298, ""high"", today()-52*7, today(), ""DAILY""),2,0),2,1))"),45817.64583333333)</f>
        <v>45817.64583</v>
      </c>
      <c r="H298" s="44">
        <f>IFERROR(__xludf.DUMMYFUNCTION("GOOGLEFINANCE(A298,""low52"")"),130.0)</f>
        <v>130</v>
      </c>
      <c r="I298" s="45">
        <f>IFERROR(__xludf.DUMMYFUNCTION("to_date(index(sort(GOOGLEFINANCE(A298, ""low"", today()-52*7, today(), ""DAILY""),2,1),1,1))"),46111.64583333333)</f>
        <v>46111.64583</v>
      </c>
      <c r="J298" s="46" t="str">
        <f t="shared" si="1"/>
        <v>Do Not Buy Today</v>
      </c>
    </row>
    <row r="299">
      <c r="A299" s="73" t="s">
        <v>528</v>
      </c>
      <c r="B299" s="59">
        <f>IFERROR(__xludf.DUMMYFUNCTION("GOOGLEFINANCE(A299,""price"")"),1100.2)</f>
        <v>1100.2</v>
      </c>
      <c r="C299" s="60">
        <f>IFERROR(__xludf.DUMMYFUNCTION("GOOGLEFINANCE(A299,""closeyest"")"),1087.9)</f>
        <v>1087.9</v>
      </c>
      <c r="D299" s="61">
        <f>IFERROR(__xludf.DUMMYFUNCTION("MIN(index(GOOGLEFINANCE(A299,""ALL"",TODAY()-180,TODAY()),0,5))*1.2"),1156.8)</f>
        <v>1156.8</v>
      </c>
      <c r="E299" s="62">
        <f>IFERROR(__xludf.DUMMYFUNCTION("AVERAGE(QUERY(SORT(GOOGLEFINANCE(A299,""price"",TODAY()-320,TODAY()),1,0),""select Col2 limit 100""))"),1138.2390000000003)</f>
        <v>1138.239</v>
      </c>
      <c r="F299" s="44">
        <f>IFERROR(__xludf.DUMMYFUNCTION("GOOGLEFINANCE(A299,""high52"")"),1502.3)</f>
        <v>1502.3</v>
      </c>
      <c r="G299" s="45">
        <f>IFERROR(__xludf.DUMMYFUNCTION("to_date(index(sort(GOOGLEFINANCE(A299, ""high"", today()-52*7, today(), ""DAILY""),2,0),2,1))"),45862.64583333333)</f>
        <v>45862.64583</v>
      </c>
      <c r="H299" s="44">
        <f>IFERROR(__xludf.DUMMYFUNCTION("GOOGLEFINANCE(A299,""low52"")"),945.1)</f>
        <v>945.1</v>
      </c>
      <c r="I299" s="45">
        <f>IFERROR(__xludf.DUMMYFUNCTION("to_date(index(sort(GOOGLEFINANCE(A299, ""low"", today()-52*7, today(), ""DAILY""),2,1),1,1))"),46090.64583333333)</f>
        <v>46090.64583</v>
      </c>
      <c r="J299" s="46" t="str">
        <f t="shared" si="1"/>
        <v>Do Not Buy Today</v>
      </c>
    </row>
    <row r="300">
      <c r="A300" s="73" t="s">
        <v>276</v>
      </c>
      <c r="B300" s="59">
        <f>IFERROR(__xludf.DUMMYFUNCTION("GOOGLEFINANCE(A300,""price"")"),21.73)</f>
        <v>21.73</v>
      </c>
      <c r="C300" s="60">
        <f>IFERROR(__xludf.DUMMYFUNCTION("GOOGLEFINANCE(A300,""closeyest"")"),21.66)</f>
        <v>21.66</v>
      </c>
      <c r="D300" s="61">
        <f>IFERROR(__xludf.DUMMYFUNCTION("MIN(index(GOOGLEFINANCE(A300,""ALL"",TODAY()-180,TODAY()),0,5))*1.2"),23.4)</f>
        <v>23.4</v>
      </c>
      <c r="E300" s="62">
        <f>IFERROR(__xludf.DUMMYFUNCTION("AVERAGE(QUERY(SORT(GOOGLEFINANCE(A300,""price"",TODAY()-320,TODAY()),1,0),""select Col2 limit 100""))"),21.030799999999996)</f>
        <v>21.0308</v>
      </c>
      <c r="F300" s="44">
        <f>IFERROR(__xludf.DUMMYFUNCTION("GOOGLEFINANCE(A300,""high52"")"),27.14)</f>
        <v>27.14</v>
      </c>
      <c r="G300" s="45">
        <f>IFERROR(__xludf.DUMMYFUNCTION("to_date(index(sort(GOOGLEFINANCE(A300, ""high"", today()-52*7, today(), ""DAILY""),2,0),2,1))"),45818.64583333333)</f>
        <v>45818.64583</v>
      </c>
      <c r="H300" s="44">
        <f>IFERROR(__xludf.DUMMYFUNCTION("GOOGLEFINANCE(A300,""low52"")"),19.15)</f>
        <v>19.15</v>
      </c>
      <c r="I300" s="45">
        <f>IFERROR(__xludf.DUMMYFUNCTION("to_date(index(sort(GOOGLEFINANCE(A300, ""low"", today()-52*7, today(), ""DAILY""),2,1),1,1))"),46083.64583333333)</f>
        <v>46083.64583</v>
      </c>
      <c r="J300" s="46" t="str">
        <f t="shared" si="1"/>
        <v>Do Not Buy Today</v>
      </c>
    </row>
    <row r="301">
      <c r="A301" s="73" t="s">
        <v>529</v>
      </c>
      <c r="B301" s="59">
        <f>IFERROR(__xludf.DUMMYFUNCTION("GOOGLEFINANCE(A301,""price"")"),3630.1)</f>
        <v>3630.1</v>
      </c>
      <c r="C301" s="60">
        <f>IFERROR(__xludf.DUMMYFUNCTION("GOOGLEFINANCE(A301,""closeyest"")"),3604.8)</f>
        <v>3604.8</v>
      </c>
      <c r="D301" s="61">
        <f>IFERROR(__xludf.DUMMYFUNCTION("MIN(index(GOOGLEFINANCE(A301,""ALL"",TODAY()-180,TODAY()),0,5))*1.2"),3529.9199999999996)</f>
        <v>3529.92</v>
      </c>
      <c r="E301" s="62">
        <f>IFERROR(__xludf.DUMMYFUNCTION("AVERAGE(QUERY(SORT(GOOGLEFINANCE(A301,""price"",TODAY()-320,TODAY()),1,0),""select Col2 limit 100""))"),3292.2070000000003)</f>
        <v>3292.207</v>
      </c>
      <c r="F301" s="44">
        <f>IFERROR(__xludf.DUMMYFUNCTION("GOOGLEFINANCE(A301,""high52"")"),3775.0)</f>
        <v>3775</v>
      </c>
      <c r="G301" s="45">
        <f>IFERROR(__xludf.DUMMYFUNCTION("to_date(index(sort(GOOGLEFINANCE(A301, ""high"", today()-52*7, today(), ""DAILY""),2,0),2,1))"),46167.64583333333)</f>
        <v>46167.64583</v>
      </c>
      <c r="H301" s="44">
        <f>IFERROR(__xludf.DUMMYFUNCTION("GOOGLEFINANCE(A301,""low52"")"),2800.5)</f>
        <v>2800.5</v>
      </c>
      <c r="I301" s="45">
        <f>IFERROR(__xludf.DUMMYFUNCTION("to_date(index(sort(GOOGLEFINANCE(A301, ""low"", today()-52*7, today(), ""DAILY""),2,1),1,1))"),45989.64583333333)</f>
        <v>45989.64583</v>
      </c>
      <c r="J301" s="46" t="str">
        <f t="shared" si="1"/>
        <v>Do Not Buy Today</v>
      </c>
    </row>
    <row r="302">
      <c r="A302" s="73" t="s">
        <v>530</v>
      </c>
      <c r="B302" s="59">
        <f>IFERROR(__xludf.DUMMYFUNCTION("GOOGLEFINANCE(A302,""price"")"),43.56)</f>
        <v>43.56</v>
      </c>
      <c r="C302" s="60">
        <f>IFERROR(__xludf.DUMMYFUNCTION("GOOGLEFINANCE(A302,""closeyest"")"),42.95)</f>
        <v>42.95</v>
      </c>
      <c r="D302" s="61">
        <f>IFERROR(__xludf.DUMMYFUNCTION("MIN(index(GOOGLEFINANCE(A302,""ALL"",TODAY()-180,TODAY()),0,5))*1.2"),37.632)</f>
        <v>37.632</v>
      </c>
      <c r="E302" s="62">
        <f>IFERROR(__xludf.DUMMYFUNCTION("AVERAGE(QUERY(SORT(GOOGLEFINANCE(A302,""price"",TODAY()-320,TODAY()),1,0),""select Col2 limit 100""))"),42.69459999999997)</f>
        <v>42.6946</v>
      </c>
      <c r="F302" s="44">
        <f>IFERROR(__xludf.DUMMYFUNCTION("GOOGLEFINANCE(A302,""high52"")"),81.12)</f>
        <v>81.12</v>
      </c>
      <c r="G302" s="45">
        <f>IFERROR(__xludf.DUMMYFUNCTION("to_date(index(sort(GOOGLEFINANCE(A302, ""high"", today()-52*7, today(), ""DAILY""),2,0),2,1))"),45819.64583333333)</f>
        <v>45819.64583</v>
      </c>
      <c r="H302" s="44">
        <f>IFERROR(__xludf.DUMMYFUNCTION("GOOGLEFINANCE(A302,""low52"")"),31.22)</f>
        <v>31.22</v>
      </c>
      <c r="I302" s="45">
        <f>IFERROR(__xludf.DUMMYFUNCTION("to_date(index(sort(GOOGLEFINANCE(A302, ""low"", today()-52*7, today(), ""DAILY""),2,1),1,1))"),46111.64583333333)</f>
        <v>46111.64583</v>
      </c>
      <c r="J302" s="46" t="str">
        <f t="shared" si="1"/>
        <v>Do Not Buy Today</v>
      </c>
    </row>
    <row r="303">
      <c r="A303" s="73" t="s">
        <v>277</v>
      </c>
      <c r="B303" s="59">
        <f>IFERROR(__xludf.DUMMYFUNCTION("GOOGLEFINANCE(A303,""price"")"),434.15)</f>
        <v>434.15</v>
      </c>
      <c r="C303" s="60">
        <f>IFERROR(__xludf.DUMMYFUNCTION("GOOGLEFINANCE(A303,""closeyest"")"),436.15)</f>
        <v>436.15</v>
      </c>
      <c r="D303" s="61">
        <f>IFERROR(__xludf.DUMMYFUNCTION("MIN(index(GOOGLEFINANCE(A303,""ALL"",TODAY()-180,TODAY()),0,5))*1.2"),408.06)</f>
        <v>408.06</v>
      </c>
      <c r="E303" s="62">
        <f>IFERROR(__xludf.DUMMYFUNCTION("AVERAGE(QUERY(SORT(GOOGLEFINANCE(A303,""price"",TODAY()-320,TODAY()),1,0),""select Col2 limit 100""))"),379.48099999999994)</f>
        <v>379.481</v>
      </c>
      <c r="F303" s="44">
        <f>IFERROR(__xludf.DUMMYFUNCTION("GOOGLEFINANCE(A303,""high52"")"),438.45)</f>
        <v>438.45</v>
      </c>
      <c r="G303" s="45">
        <f>IFERROR(__xludf.DUMMYFUNCTION("to_date(index(sort(GOOGLEFINANCE(A303, ""high"", today()-52*7, today(), ""DAILY""),2,0),2,1))"),46168.64583333333)</f>
        <v>46168.64583</v>
      </c>
      <c r="H303" s="44">
        <f>IFERROR(__xludf.DUMMYFUNCTION("GOOGLEFINANCE(A303,""low52"")"),327.6)</f>
        <v>327.6</v>
      </c>
      <c r="I303" s="45">
        <f>IFERROR(__xludf.DUMMYFUNCTION("to_date(index(sort(GOOGLEFINANCE(A303, ""low"", today()-52*7, today(), ""DAILY""),2,1),1,1))"),45814.64583333333)</f>
        <v>45814.64583</v>
      </c>
      <c r="J303" s="46" t="str">
        <f t="shared" si="1"/>
        <v>Do Not Buy Today</v>
      </c>
    </row>
    <row r="304">
      <c r="A304" s="73" t="s">
        <v>531</v>
      </c>
      <c r="B304" s="59">
        <f>IFERROR(__xludf.DUMMYFUNCTION("GOOGLEFINANCE(A304,""price"")"),184.61)</f>
        <v>184.61</v>
      </c>
      <c r="C304" s="60">
        <f>IFERROR(__xludf.DUMMYFUNCTION("GOOGLEFINANCE(A304,""closeyest"")"),184.02)</f>
        <v>184.02</v>
      </c>
      <c r="D304" s="61">
        <f>IFERROR(__xludf.DUMMYFUNCTION("MIN(index(GOOGLEFINANCE(A304,""ALL"",TODAY()-180,TODAY()),0,5))*1.2"),208.22400000000002)</f>
        <v>208.224</v>
      </c>
      <c r="E304" s="62">
        <f>IFERROR(__xludf.DUMMYFUNCTION("AVERAGE(QUERY(SORT(GOOGLEFINANCE(A304,""price"",TODAY()-320,TODAY()),1,0),""select Col2 limit 100""))"),184.65089999999992)</f>
        <v>184.6509</v>
      </c>
      <c r="F304" s="44">
        <f>IFERROR(__xludf.DUMMYFUNCTION("GOOGLEFINANCE(A304,""high52"")"),232.43)</f>
        <v>232.43</v>
      </c>
      <c r="G304" s="45">
        <f>IFERROR(__xludf.DUMMYFUNCTION("to_date(index(sort(GOOGLEFINANCE(A304, ""high"", today()-52*7, today(), ""DAILY""),2,0),2,1))"),45852.64583333333)</f>
        <v>45852.64583</v>
      </c>
      <c r="H304" s="44">
        <f>IFERROR(__xludf.DUMMYFUNCTION("GOOGLEFINANCE(A304,""low52"")"),170.1)</f>
        <v>170.1</v>
      </c>
      <c r="I304" s="45">
        <f>IFERROR(__xludf.DUMMYFUNCTION("to_date(index(sort(GOOGLEFINANCE(A304, ""low"", today()-52*7, today(), ""DAILY""),2,1),1,1))"),46105.64583333333)</f>
        <v>46105.64583</v>
      </c>
      <c r="J304" s="46" t="str">
        <f t="shared" si="1"/>
        <v>Do Not Buy Today</v>
      </c>
    </row>
    <row r="305">
      <c r="A305" s="73" t="s">
        <v>532</v>
      </c>
      <c r="B305" s="59">
        <f>IFERROR(__xludf.DUMMYFUNCTION("GOOGLEFINANCE(A305,""price"")"),418.4)</f>
        <v>418.4</v>
      </c>
      <c r="C305" s="60">
        <f>IFERROR(__xludf.DUMMYFUNCTION("GOOGLEFINANCE(A305,""closeyest"")"),415.0)</f>
        <v>415</v>
      </c>
      <c r="D305" s="61">
        <f>IFERROR(__xludf.DUMMYFUNCTION("MIN(index(GOOGLEFINANCE(A305,""ALL"",TODAY()-180,TODAY()),0,5))*1.2"),404.52000000000004)</f>
        <v>404.52</v>
      </c>
      <c r="E305" s="62">
        <f>IFERROR(__xludf.DUMMYFUNCTION("AVERAGE(QUERY(SORT(GOOGLEFINANCE(A305,""price"",TODAY()-320,TODAY()),1,0),""select Col2 limit 100""))"),444.2365000000001)</f>
        <v>444.2365</v>
      </c>
      <c r="F305" s="44">
        <f>IFERROR(__xludf.DUMMYFUNCTION("GOOGLEFINANCE(A305,""high52"")"),849.9)</f>
        <v>849.9</v>
      </c>
      <c r="G305" s="45">
        <f>IFERROR(__xludf.DUMMYFUNCTION("to_date(index(sort(GOOGLEFINANCE(A305, ""high"", today()-52*7, today(), ""DAILY""),2,0),2,1))"),45814.64583333333)</f>
        <v>45814.64583</v>
      </c>
      <c r="H305" s="44">
        <f>IFERROR(__xludf.DUMMYFUNCTION("GOOGLEFINANCE(A305,""low52"")"),329.2)</f>
        <v>329.2</v>
      </c>
      <c r="I305" s="45">
        <f>IFERROR(__xludf.DUMMYFUNCTION("to_date(index(sort(GOOGLEFINANCE(A305, ""low"", today()-52*7, today(), ""DAILY""),2,1),1,1))"),46097.64583333333)</f>
        <v>46097.64583</v>
      </c>
      <c r="J305" s="46" t="str">
        <f t="shared" si="1"/>
        <v>Do Not Buy Today</v>
      </c>
    </row>
    <row r="306">
      <c r="A306" s="73" t="s">
        <v>278</v>
      </c>
      <c r="B306" s="59">
        <f>IFERROR(__xludf.DUMMYFUNCTION("GOOGLEFINANCE(A306,""price"")"),2343.5)</f>
        <v>2343.5</v>
      </c>
      <c r="C306" s="60">
        <f>IFERROR(__xludf.DUMMYFUNCTION("GOOGLEFINANCE(A306,""closeyest"")"),2351.4)</f>
        <v>2351.4</v>
      </c>
      <c r="D306" s="61">
        <f>IFERROR(__xludf.DUMMYFUNCTION("MIN(index(GOOGLEFINANCE(A306,""ALL"",TODAY()-180,TODAY()),0,5))*1.2"),2304.48)</f>
        <v>2304.48</v>
      </c>
      <c r="E306" s="62">
        <f>IFERROR(__xludf.DUMMYFUNCTION("AVERAGE(QUERY(SORT(GOOGLEFINANCE(A306,""price"",TODAY()-320,TODAY()),1,0),""select Col2 limit 100""))"),2142.4830000000006)</f>
        <v>2142.483</v>
      </c>
      <c r="F306" s="44">
        <f>IFERROR(__xludf.DUMMYFUNCTION("GOOGLEFINANCE(A306,""high52"")"),2474.0)</f>
        <v>2474</v>
      </c>
      <c r="G306" s="45">
        <f>IFERROR(__xludf.DUMMYFUNCTION("to_date(index(sort(GOOGLEFINANCE(A306, ""high"", today()-52*7, today(), ""DAILY""),2,0),2,1))"),46141.64583333333)</f>
        <v>46141.64583</v>
      </c>
      <c r="H306" s="44">
        <f>IFERROR(__xludf.DUMMYFUNCTION("GOOGLEFINANCE(A306,""low52"")"),1375.6)</f>
        <v>1375.6</v>
      </c>
      <c r="I306" s="45">
        <f>IFERROR(__xludf.DUMMYFUNCTION("to_date(index(sort(GOOGLEFINANCE(A306, ""low"", today()-52*7, today(), ""DAILY""),2,1),1,1))"),45805.64583333333)</f>
        <v>45805.64583</v>
      </c>
      <c r="J306" s="46" t="str">
        <f t="shared" si="1"/>
        <v>Do Not Buy Today</v>
      </c>
    </row>
    <row r="307">
      <c r="A307" s="73" t="s">
        <v>533</v>
      </c>
      <c r="B307" s="59">
        <f>IFERROR(__xludf.DUMMYFUNCTION("GOOGLEFINANCE(A307,""price"")"),1125.1)</f>
        <v>1125.1</v>
      </c>
      <c r="C307" s="60">
        <f>IFERROR(__xludf.DUMMYFUNCTION("GOOGLEFINANCE(A307,""closeyest"")"),1141.0)</f>
        <v>1141</v>
      </c>
      <c r="D307" s="61">
        <f>IFERROR(__xludf.DUMMYFUNCTION("MIN(index(GOOGLEFINANCE(A307,""ALL"",TODAY()-180,TODAY()),0,5))*1.2"),954.0)</f>
        <v>954</v>
      </c>
      <c r="E307" s="62">
        <f>IFERROR(__xludf.DUMMYFUNCTION("AVERAGE(QUERY(SORT(GOOGLEFINANCE(A307,""price"",TODAY()-320,TODAY()),1,0),""select Col2 limit 100""))"),973.4855000000005)</f>
        <v>973.4855</v>
      </c>
      <c r="F307" s="44">
        <f>IFERROR(__xludf.DUMMYFUNCTION("GOOGLEFINANCE(A307,""high52"")"),1184.8)</f>
        <v>1184.8</v>
      </c>
      <c r="G307" s="45">
        <f>IFERROR(__xludf.DUMMYFUNCTION("to_date(index(sort(GOOGLEFINANCE(A307, ""high"", today()-52*7, today(), ""DAILY""),2,0),2,1))"),46167.64583333333)</f>
        <v>46167.64583</v>
      </c>
      <c r="H307" s="44">
        <f>IFERROR(__xludf.DUMMYFUNCTION("GOOGLEFINANCE(A307,""low52"")"),707.0)</f>
        <v>707</v>
      </c>
      <c r="I307" s="45">
        <f>IFERROR(__xludf.DUMMYFUNCTION("to_date(index(sort(GOOGLEFINANCE(A307, ""low"", today()-52*7, today(), ""DAILY""),2,1),1,1))"),45806.64583333333)</f>
        <v>45806.64583</v>
      </c>
      <c r="J307" s="46" t="str">
        <f t="shared" si="1"/>
        <v>Do Not Buy Today</v>
      </c>
    </row>
    <row r="308">
      <c r="A308" s="73" t="s">
        <v>534</v>
      </c>
      <c r="B308" s="59">
        <f>IFERROR(__xludf.DUMMYFUNCTION("GOOGLEFINANCE(A308,""price"")"),1046.6)</f>
        <v>1046.6</v>
      </c>
      <c r="C308" s="60">
        <f>IFERROR(__xludf.DUMMYFUNCTION("GOOGLEFINANCE(A308,""closeyest"")"),1019.8)</f>
        <v>1019.8</v>
      </c>
      <c r="D308" s="61">
        <f>IFERROR(__xludf.DUMMYFUNCTION("MIN(index(GOOGLEFINANCE(A308,""ALL"",TODAY()-180,TODAY()),0,5))*1.2"),939.24)</f>
        <v>939.24</v>
      </c>
      <c r="E308" s="62">
        <f>IFERROR(__xludf.DUMMYFUNCTION("AVERAGE(QUERY(SORT(GOOGLEFINANCE(A308,""price"",TODAY()-320,TODAY()),1,0),""select Col2 limit 100""))"),945.919)</f>
        <v>945.919</v>
      </c>
      <c r="F308" s="44">
        <f>IFERROR(__xludf.DUMMYFUNCTION("GOOGLEFINANCE(A308,""high52"")"),1159.7)</f>
        <v>1159.7</v>
      </c>
      <c r="G308" s="45">
        <f>IFERROR(__xludf.DUMMYFUNCTION("to_date(index(sort(GOOGLEFINANCE(A308, ""high"", today()-52*7, today(), ""DAILY""),2,0),2,1))"),46142.64583333333)</f>
        <v>46142.64583</v>
      </c>
      <c r="H308" s="44">
        <f>IFERROR(__xludf.DUMMYFUNCTION("GOOGLEFINANCE(A308,""low52"")"),603.1)</f>
        <v>603.1</v>
      </c>
      <c r="I308" s="45">
        <f>IFERROR(__xludf.DUMMYFUNCTION("to_date(index(sort(GOOGLEFINANCE(A308, ""low"", today()-52*7, today(), ""DAILY""),2,1),1,1))"),45827.64583333333)</f>
        <v>45827.64583</v>
      </c>
      <c r="J308" s="46" t="str">
        <f t="shared" si="1"/>
        <v>Do Not Buy Today</v>
      </c>
    </row>
    <row r="309">
      <c r="A309" s="73" t="s">
        <v>535</v>
      </c>
      <c r="B309" s="59">
        <f>IFERROR(__xludf.DUMMYFUNCTION("GOOGLEFINANCE(A309,""price"")"),510.65)</f>
        <v>510.65</v>
      </c>
      <c r="C309" s="60">
        <f>IFERROR(__xludf.DUMMYFUNCTION("GOOGLEFINANCE(A309,""closeyest"")"),493.2)</f>
        <v>493.2</v>
      </c>
      <c r="D309" s="61">
        <f>IFERROR(__xludf.DUMMYFUNCTION("MIN(index(GOOGLEFINANCE(A309,""ALL"",TODAY()-180,TODAY()),0,5))*1.2"),584.04)</f>
        <v>584.04</v>
      </c>
      <c r="E309" s="62">
        <f>IFERROR(__xludf.DUMMYFUNCTION("AVERAGE(QUERY(SORT(GOOGLEFINANCE(A309,""price"",TODAY()-320,TODAY()),1,0),""select Col2 limit 100""))"),576.8929999999999)</f>
        <v>576.893</v>
      </c>
      <c r="F309" s="44">
        <f>IFERROR(__xludf.DUMMYFUNCTION("GOOGLEFINANCE(A309,""high52"")"),660.7)</f>
        <v>660.7</v>
      </c>
      <c r="G309" s="45">
        <f>IFERROR(__xludf.DUMMYFUNCTION("to_date(index(sort(GOOGLEFINANCE(A309, ""high"", today()-52*7, today(), ""DAILY""),2,0),2,1))"),46132.64583333333)</f>
        <v>46132.64583</v>
      </c>
      <c r="H309" s="44">
        <f>IFERROR(__xludf.DUMMYFUNCTION("GOOGLEFINANCE(A309,""low52"")"),480.2)</f>
        <v>480.2</v>
      </c>
      <c r="I309" s="45">
        <f>IFERROR(__xludf.DUMMYFUNCTION("to_date(index(sort(GOOGLEFINANCE(A309, ""low"", today()-52*7, today(), ""DAILY""),2,1),1,1))"),46045.64583333333)</f>
        <v>46045.64583</v>
      </c>
      <c r="J309" s="46" t="str">
        <f t="shared" si="1"/>
        <v>Do Not Buy Today</v>
      </c>
    </row>
    <row r="310">
      <c r="A310" s="73" t="s">
        <v>280</v>
      </c>
      <c r="B310" s="59">
        <f>IFERROR(__xludf.DUMMYFUNCTION("GOOGLEFINANCE(A310,""price"")"),462.7)</f>
        <v>462.7</v>
      </c>
      <c r="C310" s="60">
        <f>IFERROR(__xludf.DUMMYFUNCTION("GOOGLEFINANCE(A310,""closeyest"")"),465.75)</f>
        <v>465.75</v>
      </c>
      <c r="D310" s="61">
        <f>IFERROR(__xludf.DUMMYFUNCTION("MIN(index(GOOGLEFINANCE(A310,""ALL"",TODAY()-180,TODAY()),0,5))*1.2"),529.26)</f>
        <v>529.26</v>
      </c>
      <c r="E310" s="62">
        <f>IFERROR(__xludf.DUMMYFUNCTION("AVERAGE(QUERY(SORT(GOOGLEFINANCE(A310,""price"",TODAY()-320,TODAY()),1,0),""select Col2 limit 100""))"),496.3665000000001)</f>
        <v>496.3665</v>
      </c>
      <c r="F310" s="44">
        <f>IFERROR(__xludf.DUMMYFUNCTION("GOOGLEFINANCE(A310,""high52"")"),653.93)</f>
        <v>653.93</v>
      </c>
      <c r="G310" s="45">
        <f>IFERROR(__xludf.DUMMYFUNCTION("to_date(index(sort(GOOGLEFINANCE(A310, ""high"", today()-52*7, today(), ""DAILY""),2,0),2,1))"),45860.64583333333)</f>
        <v>45860.64583</v>
      </c>
      <c r="H310" s="44">
        <f>IFERROR(__xludf.DUMMYFUNCTION("GOOGLEFINANCE(A310,""low52"")"),438.0)</f>
        <v>438</v>
      </c>
      <c r="I310" s="45">
        <f>IFERROR(__xludf.DUMMYFUNCTION("to_date(index(sort(GOOGLEFINANCE(A310, ""low"", today()-52*7, today(), ""DAILY""),2,1),1,1))"),46154.64583333333)</f>
        <v>46154.64583</v>
      </c>
      <c r="J310" s="46" t="str">
        <f t="shared" si="1"/>
        <v>Do Not Buy Today</v>
      </c>
    </row>
    <row r="311">
      <c r="A311" s="73" t="s">
        <v>536</v>
      </c>
      <c r="B311" s="59">
        <f>IFERROR(__xludf.DUMMYFUNCTION("GOOGLEFINANCE(A311,""price"")"),5416.0)</f>
        <v>5416</v>
      </c>
      <c r="C311" s="60">
        <f>IFERROR(__xludf.DUMMYFUNCTION("GOOGLEFINANCE(A311,""closeyest"")"),5305.5)</f>
        <v>5305.5</v>
      </c>
      <c r="D311" s="61">
        <f>IFERROR(__xludf.DUMMYFUNCTION("MIN(index(GOOGLEFINANCE(A311,""ALL"",TODAY()-180,TODAY()),0,5))*1.2"),4566.24)</f>
        <v>4566.24</v>
      </c>
      <c r="E311" s="62">
        <f>IFERROR(__xludf.DUMMYFUNCTION("AVERAGE(QUERY(SORT(GOOGLEFINANCE(A311,""price"",TODAY()-320,TODAY()),1,0),""select Col2 limit 100""))"),4576.814999999999)</f>
        <v>4576.815</v>
      </c>
      <c r="F311" s="44">
        <f>IFERROR(__xludf.DUMMYFUNCTION("GOOGLEFINANCE(A311,""high52"")"),5424.3)</f>
        <v>5424.3</v>
      </c>
      <c r="G311" s="45">
        <f>IFERROR(__xludf.DUMMYFUNCTION("to_date(index(sort(GOOGLEFINANCE(A311, ""high"", today()-52*7, today(), ""DAILY""),2,0),2,1))"),46167.64583333333)</f>
        <v>46167.64583</v>
      </c>
      <c r="H311" s="44">
        <f>IFERROR(__xludf.DUMMYFUNCTION("GOOGLEFINANCE(A311,""low52"")"),3484.0)</f>
        <v>3484</v>
      </c>
      <c r="I311" s="45">
        <f>IFERROR(__xludf.DUMMYFUNCTION("to_date(index(sort(GOOGLEFINANCE(A311, ""low"", today()-52*7, today(), ""DAILY""),2,1),1,1))"),45812.64583333333)</f>
        <v>45812.64583</v>
      </c>
      <c r="J311" s="46" t="str">
        <f t="shared" si="1"/>
        <v>Do Not Buy Today</v>
      </c>
    </row>
    <row r="312">
      <c r="A312" s="73" t="s">
        <v>537</v>
      </c>
      <c r="B312" s="59">
        <f>IFERROR(__xludf.DUMMYFUNCTION("GOOGLEFINANCE(A312,""price"")"),2212.1)</f>
        <v>2212.1</v>
      </c>
      <c r="C312" s="60">
        <f>IFERROR(__xludf.DUMMYFUNCTION("GOOGLEFINANCE(A312,""closeyest"")"),2202.7)</f>
        <v>2202.7</v>
      </c>
      <c r="D312" s="61">
        <f>IFERROR(__xludf.DUMMYFUNCTION("MIN(index(GOOGLEFINANCE(A312,""ALL"",TODAY()-180,TODAY()),0,5))*1.2"),2466.96)</f>
        <v>2466.96</v>
      </c>
      <c r="E312" s="62">
        <f>IFERROR(__xludf.DUMMYFUNCTION("AVERAGE(QUERY(SORT(GOOGLEFINANCE(A312,""price"",TODAY()-320,TODAY()),1,0),""select Col2 limit 100""))"),2352.769)</f>
        <v>2352.769</v>
      </c>
      <c r="F312" s="44">
        <f>IFERROR(__xludf.DUMMYFUNCTION("GOOGLEFINANCE(A312,""high52"")"),2770.0)</f>
        <v>2770</v>
      </c>
      <c r="G312" s="45">
        <f>IFERROR(__xludf.DUMMYFUNCTION("to_date(index(sort(GOOGLEFINANCE(A312, ""high"", today()-52*7, today(), ""DAILY""),2,0),2,1))"),45904.64583333333)</f>
        <v>45904.64583</v>
      </c>
      <c r="H312" s="44">
        <f>IFERROR(__xludf.DUMMYFUNCTION("GOOGLEFINANCE(A312,""low52"")"),2023.9)</f>
        <v>2023.9</v>
      </c>
      <c r="I312" s="45">
        <f>IFERROR(__xludf.DUMMYFUNCTION("to_date(index(sort(GOOGLEFINANCE(A312, ""low"", today()-52*7, today(), ""DAILY""),2,1),1,1))"),46090.64583333333)</f>
        <v>46090.64583</v>
      </c>
      <c r="J312" s="46" t="str">
        <f t="shared" si="1"/>
        <v>Do Not Buy Today</v>
      </c>
    </row>
    <row r="313">
      <c r="A313" s="73" t="s">
        <v>538</v>
      </c>
      <c r="B313" s="59">
        <f>IFERROR(__xludf.DUMMYFUNCTION("GOOGLEFINANCE(A313,""price"")"),713.85)</f>
        <v>713.85</v>
      </c>
      <c r="C313" s="60">
        <f>IFERROR(__xludf.DUMMYFUNCTION("GOOGLEFINANCE(A313,""closeyest"")"),721.9)</f>
        <v>721.9</v>
      </c>
      <c r="D313" s="61">
        <f>IFERROR(__xludf.DUMMYFUNCTION("MIN(index(GOOGLEFINANCE(A313,""ALL"",TODAY()-180,TODAY()),0,5))*1.2"),855.06)</f>
        <v>855.06</v>
      </c>
      <c r="E313" s="62">
        <f>IFERROR(__xludf.DUMMYFUNCTION("AVERAGE(QUERY(SORT(GOOGLEFINANCE(A313,""price"",TODAY()-320,TODAY()),1,0),""select Col2 limit 100""))"),868.1450000000001)</f>
        <v>868.145</v>
      </c>
      <c r="F313" s="44">
        <f>IFERROR(__xludf.DUMMYFUNCTION("GOOGLEFINANCE(A313,""high52"")"),1411.9)</f>
        <v>1411.9</v>
      </c>
      <c r="G313" s="45">
        <f>IFERROR(__xludf.DUMMYFUNCTION("to_date(index(sort(GOOGLEFINANCE(A313, ""high"", today()-52*7, today(), ""DAILY""),2,0),2,1))"),45838.64583333333)</f>
        <v>45838.64583</v>
      </c>
      <c r="H313" s="44">
        <f>IFERROR(__xludf.DUMMYFUNCTION("GOOGLEFINANCE(A313,""low52"")"),709.0)</f>
        <v>709</v>
      </c>
      <c r="I313" s="45">
        <f>IFERROR(__xludf.DUMMYFUNCTION("to_date(index(sort(GOOGLEFINANCE(A313, ""low"", today()-52*7, today(), ""DAILY""),2,1),1,1))"),46164.64583333333)</f>
        <v>46164.64583</v>
      </c>
      <c r="J313" s="46" t="str">
        <f t="shared" si="1"/>
        <v>Do Not Buy Today</v>
      </c>
    </row>
    <row r="314">
      <c r="A314" s="73" t="s">
        <v>539</v>
      </c>
      <c r="B314" s="59">
        <f>IFERROR(__xludf.DUMMYFUNCTION("GOOGLEFINANCE(A314,""price"")"),97.51)</f>
        <v>97.51</v>
      </c>
      <c r="C314" s="60">
        <f>IFERROR(__xludf.DUMMYFUNCTION("GOOGLEFINANCE(A314,""closeyest"")"),95.55)</f>
        <v>95.55</v>
      </c>
      <c r="D314" s="61">
        <f>IFERROR(__xludf.DUMMYFUNCTION("MIN(index(GOOGLEFINANCE(A314,""ALL"",TODAY()-180,TODAY()),0,5))*1.2"),93.02399999999999)</f>
        <v>93.024</v>
      </c>
      <c r="E314" s="62">
        <f>IFERROR(__xludf.DUMMYFUNCTION("AVERAGE(QUERY(SORT(GOOGLEFINANCE(A314,""price"",TODAY()-320,TODAY()),1,0),""select Col2 limit 100""))"),95.95320000000004)</f>
        <v>95.9532</v>
      </c>
      <c r="F314" s="44">
        <f>IFERROR(__xludf.DUMMYFUNCTION("GOOGLEFINANCE(A314,""high52"")"),130.7)</f>
        <v>130.7</v>
      </c>
      <c r="G314" s="45">
        <f>IFERROR(__xludf.DUMMYFUNCTION("to_date(index(sort(GOOGLEFINANCE(A314, ""high"", today()-52*7, today(), ""DAILY""),2,0),2,1))"),45817.64583333333)</f>
        <v>45817.64583</v>
      </c>
      <c r="H314" s="44">
        <f>IFERROR(__xludf.DUMMYFUNCTION("GOOGLEFINANCE(A314,""low52"")"),77.18)</f>
        <v>77.18</v>
      </c>
      <c r="I314" s="45">
        <f>IFERROR(__xludf.DUMMYFUNCTION("to_date(index(sort(GOOGLEFINANCE(A314, ""low"", today()-52*7, today(), ""DAILY""),2,1),1,1))"),46111.64583333333)</f>
        <v>46111.64583</v>
      </c>
      <c r="J314" s="46" t="str">
        <f t="shared" si="1"/>
        <v>Buy Today</v>
      </c>
    </row>
    <row r="315">
      <c r="A315" s="73" t="s">
        <v>540</v>
      </c>
      <c r="B315" s="59">
        <f>IFERROR(__xludf.DUMMYFUNCTION("GOOGLEFINANCE(A315,""price"")"),3474.1)</f>
        <v>3474.1</v>
      </c>
      <c r="C315" s="60">
        <f>IFERROR(__xludf.DUMMYFUNCTION("GOOGLEFINANCE(A315,""closeyest"")"),3491.4)</f>
        <v>3491.4</v>
      </c>
      <c r="D315" s="61">
        <f>IFERROR(__xludf.DUMMYFUNCTION("MIN(index(GOOGLEFINANCE(A315,""ALL"",TODAY()-180,TODAY()),0,5))*1.2"),3796.08)</f>
        <v>3796.08</v>
      </c>
      <c r="E315" s="62">
        <f>IFERROR(__xludf.DUMMYFUNCTION("AVERAGE(QUERY(SORT(GOOGLEFINANCE(A315,""price"",TODAY()-320,TODAY()),1,0),""select Col2 limit 100""))"),3626.292000000001)</f>
        <v>3626.292</v>
      </c>
      <c r="F315" s="44">
        <f>IFERROR(__xludf.DUMMYFUNCTION("GOOGLEFINANCE(A315,""high52"")"),5400.0)</f>
        <v>5400</v>
      </c>
      <c r="G315" s="45">
        <f>IFERROR(__xludf.DUMMYFUNCTION("to_date(index(sort(GOOGLEFINANCE(A315, ""high"", today()-52*7, today(), ""DAILY""),2,0),2,1))"),45806.64583333333)</f>
        <v>45806.64583</v>
      </c>
      <c r="H315" s="44">
        <f>IFERROR(__xludf.DUMMYFUNCTION("GOOGLEFINANCE(A315,""low52"")"),3122.2)</f>
        <v>3122.2</v>
      </c>
      <c r="I315" s="45">
        <f>IFERROR(__xludf.DUMMYFUNCTION("to_date(index(sort(GOOGLEFINANCE(A315, ""low"", today()-52*7, today(), ""DAILY""),2,1),1,1))"),46104.64583333333)</f>
        <v>46104.64583</v>
      </c>
      <c r="J315" s="46" t="str">
        <f t="shared" si="1"/>
        <v>Do Not Buy Today</v>
      </c>
    </row>
    <row r="316">
      <c r="A316" s="73" t="s">
        <v>541</v>
      </c>
      <c r="B316" s="59">
        <f>IFERROR(__xludf.DUMMYFUNCTION("GOOGLEFINANCE(A316,""price"")"),1055.7)</f>
        <v>1055.7</v>
      </c>
      <c r="C316" s="60">
        <f>IFERROR(__xludf.DUMMYFUNCTION("GOOGLEFINANCE(A316,""closeyest"")"),1057.3)</f>
        <v>1057.3</v>
      </c>
      <c r="D316" s="61">
        <f>IFERROR(__xludf.DUMMYFUNCTION("MIN(index(GOOGLEFINANCE(A316,""ALL"",TODAY()-180,TODAY()),0,5))*1.2"),768.18)</f>
        <v>768.18</v>
      </c>
      <c r="E316" s="62">
        <f>IFERROR(__xludf.DUMMYFUNCTION("AVERAGE(QUERY(SORT(GOOGLEFINANCE(A316,""price"",TODAY()-320,TODAY()),1,0),""select Col2 limit 100""))"),843.2499999999995)</f>
        <v>843.25</v>
      </c>
      <c r="F316" s="44">
        <f>IFERROR(__xludf.DUMMYFUNCTION("GOOGLEFINANCE(A316,""high52"")"),1188.0)</f>
        <v>1188</v>
      </c>
      <c r="G316" s="45">
        <f>IFERROR(__xludf.DUMMYFUNCTION("to_date(index(sort(GOOGLEFINANCE(A316, ""high"", today()-52*7, today(), ""DAILY""),2,0),2,1))"),46154.64583333333)</f>
        <v>46154.64583</v>
      </c>
      <c r="H316" s="44">
        <f>IFERROR(__xludf.DUMMYFUNCTION("GOOGLEFINANCE(A316,""low52"")"),500.0)</f>
        <v>500</v>
      </c>
      <c r="I316" s="45">
        <f>IFERROR(__xludf.DUMMYFUNCTION("to_date(index(sort(GOOGLEFINANCE(A316, ""low"", today()-52*7, today(), ""DAILY""),2,1),1,1))"),45831.64583333333)</f>
        <v>45831.64583</v>
      </c>
      <c r="J316" s="46" t="str">
        <f t="shared" si="1"/>
        <v>Do Not Buy Today</v>
      </c>
    </row>
    <row r="317">
      <c r="A317" s="73" t="s">
        <v>542</v>
      </c>
      <c r="B317" s="59">
        <f>IFERROR(__xludf.DUMMYFUNCTION("GOOGLEFINANCE(A317,""price"")"),294.05)</f>
        <v>294.05</v>
      </c>
      <c r="C317" s="60">
        <f>IFERROR(__xludf.DUMMYFUNCTION("GOOGLEFINANCE(A317,""closeyest"")"),289.75)</f>
        <v>289.75</v>
      </c>
      <c r="D317" s="61">
        <f>IFERROR(__xludf.DUMMYFUNCTION("MIN(index(GOOGLEFINANCE(A317,""ALL"",TODAY()-180,TODAY()),0,5))*1.2"),285.71999999999997)</f>
        <v>285.72</v>
      </c>
      <c r="E317" s="62">
        <f>IFERROR(__xludf.DUMMYFUNCTION("AVERAGE(QUERY(SORT(GOOGLEFINANCE(A317,""price"",TODAY()-320,TODAY()),1,0),""select Col2 limit 100""))"),289.73900000000003)</f>
        <v>289.739</v>
      </c>
      <c r="F317" s="44">
        <f>IFERROR(__xludf.DUMMYFUNCTION("GOOGLEFINANCE(A317,""high52"")"),419.4)</f>
        <v>419.4</v>
      </c>
      <c r="G317" s="45">
        <f>IFERROR(__xludf.DUMMYFUNCTION("to_date(index(sort(GOOGLEFINANCE(A317, ""high"", today()-52*7, today(), ""DAILY""),2,0),2,1))"),45805.64583333333)</f>
        <v>45805.64583</v>
      </c>
      <c r="H317" s="44">
        <f>IFERROR(__xludf.DUMMYFUNCTION("GOOGLEFINANCE(A317,""low52"")"),235.65)</f>
        <v>235.65</v>
      </c>
      <c r="I317" s="45">
        <f>IFERROR(__xludf.DUMMYFUNCTION("to_date(index(sort(GOOGLEFINANCE(A317, ""low"", today()-52*7, today(), ""DAILY""),2,1),1,1))"),46111.64583333333)</f>
        <v>46111.64583</v>
      </c>
      <c r="J317" s="46" t="str">
        <f t="shared" si="1"/>
        <v>Do Not Buy Today</v>
      </c>
    </row>
    <row r="318">
      <c r="A318" s="73" t="s">
        <v>543</v>
      </c>
      <c r="B318" s="59">
        <f>IFERROR(__xludf.DUMMYFUNCTION("GOOGLEFINANCE(A318,""price"")"),16998.0)</f>
        <v>16998</v>
      </c>
      <c r="C318" s="60">
        <f>IFERROR(__xludf.DUMMYFUNCTION("GOOGLEFINANCE(A318,""closeyest"")"),17071.0)</f>
        <v>17071</v>
      </c>
      <c r="D318" s="61">
        <f>IFERROR(__xludf.DUMMYFUNCTION("MIN(index(GOOGLEFINANCE(A318,""ALL"",TODAY()-180,TODAY()),0,5))*1.2"),13866.0)</f>
        <v>13866</v>
      </c>
      <c r="E318" s="62">
        <f>IFERROR(__xludf.DUMMYFUNCTION("AVERAGE(QUERY(SORT(GOOGLEFINANCE(A318,""price"",TODAY()-320,TODAY()),1,0),""select Col2 limit 100""))"),14156.77)</f>
        <v>14156.77</v>
      </c>
      <c r="F318" s="44">
        <f>IFERROR(__xludf.DUMMYFUNCTION("GOOGLEFINANCE(A318,""high52"")"),19747.0)</f>
        <v>19747</v>
      </c>
      <c r="G318" s="45">
        <f>IFERROR(__xludf.DUMMYFUNCTION("to_date(index(sort(GOOGLEFINANCE(A318, ""high"", today()-52*7, today(), ""DAILY""),2,0),2,1))"),45971.64583333333)</f>
        <v>45971.64583</v>
      </c>
      <c r="H318" s="44">
        <f>IFERROR(__xludf.DUMMYFUNCTION("GOOGLEFINANCE(A318,""low52"")"),11011.0)</f>
        <v>11011</v>
      </c>
      <c r="I318" s="45">
        <f>IFERROR(__xludf.DUMMYFUNCTION("to_date(index(sort(GOOGLEFINANCE(A318, ""low"", today()-52*7, today(), ""DAILY""),2,1),1,1))"),45805.64583333333)</f>
        <v>45805.64583</v>
      </c>
      <c r="J318" s="46" t="str">
        <f t="shared" si="1"/>
        <v>Do Not Buy Today</v>
      </c>
    </row>
    <row r="319">
      <c r="A319" s="73" t="s">
        <v>544</v>
      </c>
      <c r="B319" s="59">
        <f>IFERROR(__xludf.DUMMYFUNCTION("GOOGLEFINANCE(A319,""price"")"),834.95)</f>
        <v>834.95</v>
      </c>
      <c r="C319" s="60">
        <f>IFERROR(__xludf.DUMMYFUNCTION("GOOGLEFINANCE(A319,""closeyest"")"),839.55)</f>
        <v>839.55</v>
      </c>
      <c r="D319" s="61">
        <f>IFERROR(__xludf.DUMMYFUNCTION("MIN(index(GOOGLEFINANCE(A319,""ALL"",TODAY()-180,TODAY()),0,5))*1.2"),950.4599999999999)</f>
        <v>950.46</v>
      </c>
      <c r="E319" s="62">
        <f>IFERROR(__xludf.DUMMYFUNCTION("AVERAGE(QUERY(SORT(GOOGLEFINANCE(A319,""price"",TODAY()-320,TODAY()),1,0),""select Col2 limit 100""))"),875.8945)</f>
        <v>875.8945</v>
      </c>
      <c r="F319" s="44">
        <f>IFERROR(__xludf.DUMMYFUNCTION("GOOGLEFINANCE(A319,""high52"")"),971.5)</f>
        <v>971.5</v>
      </c>
      <c r="G319" s="45">
        <f>IFERROR(__xludf.DUMMYFUNCTION("to_date(index(sort(GOOGLEFINANCE(A319, ""high"", today()-52*7, today(), ""DAILY""),2,0),2,1))"),46017.64583333333)</f>
        <v>46017.64583</v>
      </c>
      <c r="H319" s="44">
        <f>IFERROR(__xludf.DUMMYFUNCTION("GOOGLEFINANCE(A319,""low52"")"),708.6)</f>
        <v>708.6</v>
      </c>
      <c r="I319" s="45">
        <f>IFERROR(__xludf.DUMMYFUNCTION("to_date(index(sort(GOOGLEFINANCE(A319, ""low"", today()-52*7, today(), ""DAILY""),2,1),1,1))"),45898.64583333333)</f>
        <v>45898.64583</v>
      </c>
      <c r="J319" s="46" t="str">
        <f t="shared" si="1"/>
        <v>Do Not Buy Today</v>
      </c>
    </row>
    <row r="320">
      <c r="A320" s="73" t="s">
        <v>545</v>
      </c>
      <c r="B320" s="59">
        <f>IFERROR(__xludf.DUMMYFUNCTION("GOOGLEFINANCE(A320,""price"")"),234.3)</f>
        <v>234.3</v>
      </c>
      <c r="C320" s="60">
        <f>IFERROR(__xludf.DUMMYFUNCTION("GOOGLEFINANCE(A320,""closeyest"")"),230.5)</f>
        <v>230.5</v>
      </c>
      <c r="D320" s="61">
        <f>IFERROR(__xludf.DUMMYFUNCTION("MIN(index(GOOGLEFINANCE(A320,""ALL"",TODAY()-180,TODAY()),0,5))*1.2"),197.472)</f>
        <v>197.472</v>
      </c>
      <c r="E320" s="62">
        <f>IFERROR(__xludf.DUMMYFUNCTION("AVERAGE(QUERY(SORT(GOOGLEFINANCE(A320,""price"",TODAY()-320,TODAY()),1,0),""select Col2 limit 100""))"),209.42519999999996)</f>
        <v>209.4252</v>
      </c>
      <c r="F320" s="44">
        <f>IFERROR(__xludf.DUMMYFUNCTION("GOOGLEFINANCE(A320,""high52"")"),267.0)</f>
        <v>267</v>
      </c>
      <c r="G320" s="45">
        <f>IFERROR(__xludf.DUMMYFUNCTION("to_date(index(sort(GOOGLEFINANCE(A320, ""high"", today()-52*7, today(), ""DAILY""),2,0),2,1))"),46149.64583333333)</f>
        <v>46149.64583</v>
      </c>
      <c r="H320" s="44">
        <f>IFERROR(__xludf.DUMMYFUNCTION("GOOGLEFINANCE(A320,""low52"")"),163.55)</f>
        <v>163.55</v>
      </c>
      <c r="I320" s="45">
        <f>IFERROR(__xludf.DUMMYFUNCTION("to_date(index(sort(GOOGLEFINANCE(A320, ""low"", today()-52*7, today(), ""DAILY""),2,1),1,1))"),46049.64583333333)</f>
        <v>46049.64583</v>
      </c>
      <c r="J320" s="46" t="str">
        <f t="shared" si="1"/>
        <v>Do Not Buy Today</v>
      </c>
    </row>
    <row r="321">
      <c r="A321" s="73" t="s">
        <v>546</v>
      </c>
      <c r="B321" s="59">
        <f>IFERROR(__xludf.DUMMYFUNCTION("GOOGLEFINANCE(A321,""price"")"),322.6)</f>
        <v>322.6</v>
      </c>
      <c r="C321" s="60">
        <f>IFERROR(__xludf.DUMMYFUNCTION("GOOGLEFINANCE(A321,""closeyest"")"),322.5)</f>
        <v>322.5</v>
      </c>
      <c r="D321" s="61">
        <f>IFERROR(__xludf.DUMMYFUNCTION("MIN(index(GOOGLEFINANCE(A321,""ALL"",TODAY()-180,TODAY()),0,5))*1.2"),325.44)</f>
        <v>325.44</v>
      </c>
      <c r="E321" s="62">
        <f>IFERROR(__xludf.DUMMYFUNCTION("AVERAGE(QUERY(SORT(GOOGLEFINANCE(A321,""price"",TODAY()-320,TODAY()),1,0),""select Col2 limit 100""))"),324.34899999999993)</f>
        <v>324.349</v>
      </c>
      <c r="F321" s="44">
        <f>IFERROR(__xludf.DUMMYFUNCTION("GOOGLEFINANCE(A321,""high52"")"),479.4)</f>
        <v>479.4</v>
      </c>
      <c r="G321" s="45">
        <f>IFERROR(__xludf.DUMMYFUNCTION("to_date(index(sort(GOOGLEFINANCE(A321, ""high"", today()-52*7, today(), ""DAILY""),2,0),2,1))"),45940.64583333333)</f>
        <v>45940.64583</v>
      </c>
      <c r="H321" s="44">
        <f>IFERROR(__xludf.DUMMYFUNCTION("GOOGLEFINANCE(A321,""low52"")"),265.8)</f>
        <v>265.8</v>
      </c>
      <c r="I321" s="45">
        <f>IFERROR(__xludf.DUMMYFUNCTION("to_date(index(sort(GOOGLEFINANCE(A321, ""low"", today()-52*7, today(), ""DAILY""),2,1),1,1))"),46104.64583333333)</f>
        <v>46104.64583</v>
      </c>
      <c r="J321" s="46" t="str">
        <f t="shared" si="1"/>
        <v>Do Not Buy Today</v>
      </c>
    </row>
    <row r="322">
      <c r="A322" s="73" t="s">
        <v>283</v>
      </c>
      <c r="B322" s="59">
        <f>IFERROR(__xludf.DUMMYFUNCTION("GOOGLEFINANCE(A322,""price"")"),1264.0)</f>
        <v>1264</v>
      </c>
      <c r="C322" s="60">
        <f>IFERROR(__xludf.DUMMYFUNCTION("GOOGLEFINANCE(A322,""closeyest"")"),1271.4)</f>
        <v>1271.4</v>
      </c>
      <c r="D322" s="61">
        <f>IFERROR(__xludf.DUMMYFUNCTION("MIN(index(GOOGLEFINANCE(A322,""ALL"",TODAY()-180,TODAY()),0,5))*1.2"),1464.24)</f>
        <v>1464.24</v>
      </c>
      <c r="E322" s="62">
        <f>IFERROR(__xludf.DUMMYFUNCTION("AVERAGE(QUERY(SORT(GOOGLEFINANCE(A322,""price"",TODAY()-320,TODAY()),1,0),""select Col2 limit 100""))"),1397.91)</f>
        <v>1397.91</v>
      </c>
      <c r="F322" s="44">
        <f>IFERROR(__xludf.DUMMYFUNCTION("GOOGLEFINANCE(A322,""high52"")"),1582.5)</f>
        <v>1582.5</v>
      </c>
      <c r="G322" s="45">
        <f>IFERROR(__xludf.DUMMYFUNCTION("to_date(index(sort(GOOGLEFINANCE(A322, ""high"", today()-52*7, today(), ""DAILY""),2,0),2,1))"),46080.64583333333)</f>
        <v>46080.64583</v>
      </c>
      <c r="H322" s="44">
        <f>IFERROR(__xludf.DUMMYFUNCTION("GOOGLEFINANCE(A322,""low52"")"),1186.8)</f>
        <v>1186.8</v>
      </c>
      <c r="I322" s="45">
        <f>IFERROR(__xludf.DUMMYFUNCTION("to_date(index(sort(GOOGLEFINANCE(A322, ""low"", today()-52*7, today(), ""DAILY""),2,1),1,1))"),46114.64583333333)</f>
        <v>46114.64583</v>
      </c>
      <c r="J322" s="46" t="str">
        <f t="shared" si="1"/>
        <v>Do Not Buy Today</v>
      </c>
    </row>
    <row r="323">
      <c r="A323" s="73" t="s">
        <v>547</v>
      </c>
      <c r="B323" s="59">
        <f>IFERROR(__xludf.DUMMYFUNCTION("GOOGLEFINANCE(A323,""price"")"),5780.0)</f>
        <v>5780</v>
      </c>
      <c r="C323" s="60">
        <f>IFERROR(__xludf.DUMMYFUNCTION("GOOGLEFINANCE(A323,""closeyest"")"),5743.0)</f>
        <v>5743</v>
      </c>
      <c r="D323" s="61">
        <f>IFERROR(__xludf.DUMMYFUNCTION("MIN(index(GOOGLEFINANCE(A323,""ALL"",TODAY()-180,TODAY()),0,5))*1.2"),5429.16)</f>
        <v>5429.16</v>
      </c>
      <c r="E323" s="62">
        <f>IFERROR(__xludf.DUMMYFUNCTION("AVERAGE(QUERY(SORT(GOOGLEFINANCE(A323,""price"",TODAY()-320,TODAY()),1,0),""select Col2 limit 100""))"),5133.065)</f>
        <v>5133.065</v>
      </c>
      <c r="F323" s="44">
        <f>IFERROR(__xludf.DUMMYFUNCTION("GOOGLEFINANCE(A323,""high52"")"),7275.0)</f>
        <v>7275</v>
      </c>
      <c r="G323" s="45">
        <f>IFERROR(__xludf.DUMMYFUNCTION("to_date(index(sort(GOOGLEFINANCE(A323, ""high"", today()-52*7, today(), ""DAILY""),2,0),2,1))"),45825.64583333333)</f>
        <v>45825.64583</v>
      </c>
      <c r="H323" s="44">
        <f>IFERROR(__xludf.DUMMYFUNCTION("GOOGLEFINANCE(A323,""low52"")"),4461.1)</f>
        <v>4461.1</v>
      </c>
      <c r="I323" s="45">
        <f>IFERROR(__xludf.DUMMYFUNCTION("to_date(index(sort(GOOGLEFINANCE(A323, ""low"", today()-52*7, today(), ""DAILY""),2,1),1,1))"),46097.64583333333)</f>
        <v>46097.64583</v>
      </c>
      <c r="J323" s="46" t="str">
        <f t="shared" si="1"/>
        <v>Do Not Buy Today</v>
      </c>
    </row>
    <row r="324">
      <c r="A324" s="73" t="s">
        <v>284</v>
      </c>
      <c r="B324" s="59">
        <f>IFERROR(__xludf.DUMMYFUNCTION("GOOGLEFINANCE(A324,""price"")"),65.05)</f>
        <v>65.05</v>
      </c>
      <c r="C324" s="60">
        <f>IFERROR(__xludf.DUMMYFUNCTION("GOOGLEFINANCE(A324,""closeyest"")"),64.87)</f>
        <v>64.87</v>
      </c>
      <c r="D324" s="61">
        <f>IFERROR(__xludf.DUMMYFUNCTION("MIN(index(GOOGLEFINANCE(A324,""ALL"",TODAY()-180,TODAY()),0,5))*1.2"),64.66799999999999)</f>
        <v>64.668</v>
      </c>
      <c r="E324" s="62">
        <f>IFERROR(__xludf.DUMMYFUNCTION("AVERAGE(QUERY(SORT(GOOGLEFINANCE(A324,""price"",TODAY()-320,TODAY()),1,0),""select Col2 limit 100""))"),66.01580000000001)</f>
        <v>66.0158</v>
      </c>
      <c r="F324" s="44">
        <f>IFERROR(__xludf.DUMMYFUNCTION("GOOGLEFINANCE(A324,""high52"")"),94.95)</f>
        <v>94.95</v>
      </c>
      <c r="G324" s="45">
        <f>IFERROR(__xludf.DUMMYFUNCTION("to_date(index(sort(GOOGLEFINANCE(A324, ""high"", today()-52*7, today(), ""DAILY""),2,0),2,1))"),45922.64583333333)</f>
        <v>45922.64583</v>
      </c>
      <c r="H324" s="44">
        <f>IFERROR(__xludf.DUMMYFUNCTION("GOOGLEFINANCE(A324,""low52"")"),53.51)</f>
        <v>53.51</v>
      </c>
      <c r="I324" s="45">
        <f>IFERROR(__xludf.DUMMYFUNCTION("to_date(index(sort(GOOGLEFINANCE(A324, ""low"", today()-52*7, today(), ""DAILY""),2,1),1,1))"),46111.64583333333)</f>
        <v>46111.64583</v>
      </c>
      <c r="J324" s="46" t="str">
        <f t="shared" si="1"/>
        <v>Do Not Buy Today</v>
      </c>
    </row>
    <row r="325">
      <c r="A325" s="73" t="s">
        <v>548</v>
      </c>
      <c r="B325" s="59">
        <f>IFERROR(__xludf.DUMMYFUNCTION("GOOGLEFINANCE(A325,""price"")"),305.05)</f>
        <v>305.05</v>
      </c>
      <c r="C325" s="60">
        <f>IFERROR(__xludf.DUMMYFUNCTION("GOOGLEFINANCE(A325,""closeyest"")"),305.7)</f>
        <v>305.7</v>
      </c>
      <c r="D325" s="61">
        <f>IFERROR(__xludf.DUMMYFUNCTION("MIN(index(GOOGLEFINANCE(A325,""ALL"",TODAY()-180,TODAY()),0,5))*1.2"),364.44)</f>
        <v>364.44</v>
      </c>
      <c r="E325" s="62">
        <f>IFERROR(__xludf.DUMMYFUNCTION("AVERAGE(QUERY(SORT(GOOGLEFINANCE(A325,""price"",TODAY()-320,TODAY()),1,0),""select Col2 limit 100""))"),325.0034999999999)</f>
        <v>325.0035</v>
      </c>
      <c r="F325" s="44">
        <f>IFERROR(__xludf.DUMMYFUNCTION("GOOGLEFINANCE(A325,""high52"")"),381.4)</f>
        <v>381.4</v>
      </c>
      <c r="G325" s="45">
        <f>IFERROR(__xludf.DUMMYFUNCTION("to_date(index(sort(GOOGLEFINANCE(A325, ""high"", today()-52*7, today(), ""DAILY""),2,0),2,1))"),45924.64583333333)</f>
        <v>45924.64583</v>
      </c>
      <c r="H325" s="44">
        <f>IFERROR(__xludf.DUMMYFUNCTION("GOOGLEFINANCE(A325,""low52"")"),300.35)</f>
        <v>300.35</v>
      </c>
      <c r="I325" s="45">
        <f>IFERROR(__xludf.DUMMYFUNCTION("to_date(index(sort(GOOGLEFINANCE(A325, ""low"", today()-52*7, today(), ""DAILY""),2,1),1,1))"),46146.64583333333)</f>
        <v>46146.64583</v>
      </c>
      <c r="J325" s="46" t="str">
        <f t="shared" si="1"/>
        <v>Do Not Buy Today</v>
      </c>
    </row>
    <row r="326">
      <c r="A326" s="73" t="s">
        <v>549</v>
      </c>
      <c r="B326" s="59">
        <f>IFERROR(__xludf.DUMMYFUNCTION("GOOGLEFINANCE(A326,""price"")"),3306.8)</f>
        <v>3306.8</v>
      </c>
      <c r="C326" s="60">
        <f>IFERROR(__xludf.DUMMYFUNCTION("GOOGLEFINANCE(A326,""closeyest"")"),3298.1)</f>
        <v>3298.1</v>
      </c>
      <c r="D326" s="61">
        <f>IFERROR(__xludf.DUMMYFUNCTION("MIN(index(GOOGLEFINANCE(A326,""ALL"",TODAY()-180,TODAY()),0,5))*1.2"),3756.6)</f>
        <v>3756.6</v>
      </c>
      <c r="E326" s="62">
        <f>IFERROR(__xludf.DUMMYFUNCTION("AVERAGE(QUERY(SORT(GOOGLEFINANCE(A326,""price"",TODAY()-320,TODAY()),1,0),""select Col2 limit 100""))"),3600.8199999999983)</f>
        <v>3600.82</v>
      </c>
      <c r="F326" s="44">
        <f>IFERROR(__xludf.DUMMYFUNCTION("GOOGLEFINANCE(A326,""high52"")"),4438.0)</f>
        <v>4438</v>
      </c>
      <c r="G326" s="45">
        <f>IFERROR(__xludf.DUMMYFUNCTION("to_date(index(sort(GOOGLEFINANCE(A326, ""high"", today()-52*7, today(), ""DAILY""),2,0),2,1))"),45953.64583333333)</f>
        <v>45953.64583</v>
      </c>
      <c r="H326" s="44">
        <f>IFERROR(__xludf.DUMMYFUNCTION("GOOGLEFINANCE(A326,""low52"")"),3000.5)</f>
        <v>3000.5</v>
      </c>
      <c r="I326" s="45">
        <f>IFERROR(__xludf.DUMMYFUNCTION("to_date(index(sort(GOOGLEFINANCE(A326, ""low"", today()-52*7, today(), ""DAILY""),2,1),1,1))"),45895.64583333333)</f>
        <v>45895.64583</v>
      </c>
      <c r="J326" s="46" t="str">
        <f t="shared" si="1"/>
        <v>Do Not Buy Today</v>
      </c>
    </row>
    <row r="327">
      <c r="A327" s="73" t="s">
        <v>550</v>
      </c>
      <c r="B327" s="59">
        <f>IFERROR(__xludf.DUMMYFUNCTION("GOOGLEFINANCE(A327,""price"")"),600.35)</f>
        <v>600.35</v>
      </c>
      <c r="C327" s="60">
        <f>IFERROR(__xludf.DUMMYFUNCTION("GOOGLEFINANCE(A327,""closeyest"")"),598.65)</f>
        <v>598.65</v>
      </c>
      <c r="D327" s="61">
        <f>IFERROR(__xludf.DUMMYFUNCTION("MIN(index(GOOGLEFINANCE(A327,""ALL"",TODAY()-180,TODAY()),0,5))*1.2"),483.42)</f>
        <v>483.42</v>
      </c>
      <c r="E327" s="62">
        <f>IFERROR(__xludf.DUMMYFUNCTION("AVERAGE(QUERY(SORT(GOOGLEFINANCE(A327,""price"",TODAY()-320,TODAY()),1,0),""select Col2 limit 100""))"),521.63)</f>
        <v>521.63</v>
      </c>
      <c r="F327" s="44">
        <f>IFERROR(__xludf.DUMMYFUNCTION("GOOGLEFINANCE(A327,""high52"")"),647.0)</f>
        <v>647</v>
      </c>
      <c r="G327" s="45">
        <f>IFERROR(__xludf.DUMMYFUNCTION("to_date(index(sort(GOOGLEFINANCE(A327, ""high"", today()-52*7, today(), ""DAILY""),2,0),2,1))"),46148.64583333333)</f>
        <v>46148.64583</v>
      </c>
      <c r="H327" s="44">
        <f>IFERROR(__xludf.DUMMYFUNCTION("GOOGLEFINANCE(A327,""low52"")"),383.7)</f>
        <v>383.7</v>
      </c>
      <c r="I327" s="45">
        <f>IFERROR(__xludf.DUMMYFUNCTION("to_date(index(sort(GOOGLEFINANCE(A327, ""low"", today()-52*7, today(), ""DAILY""),2,1),1,1))"),45880.64583333333)</f>
        <v>45880.64583</v>
      </c>
      <c r="J327" s="46" t="str">
        <f t="shared" si="1"/>
        <v>Do Not Buy Today</v>
      </c>
    </row>
    <row r="328">
      <c r="A328" s="73" t="s">
        <v>287</v>
      </c>
      <c r="B328" s="59">
        <f>IFERROR(__xludf.DUMMYFUNCTION("GOOGLEFINANCE(A328,""price"")"),38060.0)</f>
        <v>38060</v>
      </c>
      <c r="C328" s="60">
        <f>IFERROR(__xludf.DUMMYFUNCTION("GOOGLEFINANCE(A328,""closeyest"")"),38305.0)</f>
        <v>38305</v>
      </c>
      <c r="D328" s="61">
        <f>IFERROR(__xludf.DUMMYFUNCTION("MIN(index(GOOGLEFINANCE(A328,""ALL"",TODAY()-180,TODAY()),0,5))*1.2"),36240.0)</f>
        <v>36240</v>
      </c>
      <c r="E328" s="62">
        <f>IFERROR(__xludf.DUMMYFUNCTION("AVERAGE(QUERY(SORT(GOOGLEFINANCE(A328,""price"",TODAY()-320,TODAY()),1,0),""select Col2 limit 100""))"),34599.45)</f>
        <v>34599.45</v>
      </c>
      <c r="F328" s="44">
        <f>IFERROR(__xludf.DUMMYFUNCTION("GOOGLEFINANCE(A328,""high52"")"),50590.0)</f>
        <v>50590</v>
      </c>
      <c r="G328" s="45">
        <f>IFERROR(__xludf.DUMMYFUNCTION("to_date(index(sort(GOOGLEFINANCE(A328, ""high"", today()-52*7, today(), ""DAILY""),2,0),2,1))"),45835.64583333333)</f>
        <v>45835.64583</v>
      </c>
      <c r="H328" s="44">
        <f>IFERROR(__xludf.DUMMYFUNCTION("GOOGLEFINANCE(A328,""low52"")"),29805.0)</f>
        <v>29805</v>
      </c>
      <c r="I328" s="45">
        <f>IFERROR(__xludf.DUMMYFUNCTION("to_date(index(sort(GOOGLEFINANCE(A328, ""low"", today()-52*7, today(), ""DAILY""),2,1),1,1))"),46097.64583333333)</f>
        <v>46097.64583</v>
      </c>
      <c r="J328" s="46" t="str">
        <f t="shared" si="1"/>
        <v>Do Not Buy Today</v>
      </c>
    </row>
    <row r="329">
      <c r="A329" s="73" t="s">
        <v>551</v>
      </c>
      <c r="B329" s="59">
        <f>IFERROR(__xludf.DUMMYFUNCTION("GOOGLEFINANCE(A329,""price"")"),1355.2)</f>
        <v>1355.2</v>
      </c>
      <c r="C329" s="60">
        <f>IFERROR(__xludf.DUMMYFUNCTION("GOOGLEFINANCE(A329,""closeyest"")"),1319.0)</f>
        <v>1319</v>
      </c>
      <c r="D329" s="61">
        <f>IFERROR(__xludf.DUMMYFUNCTION("MIN(index(GOOGLEFINANCE(A329,""ALL"",TODAY()-180,TODAY()),0,5))*1.2"),866.22)</f>
        <v>866.22</v>
      </c>
      <c r="E329" s="62">
        <f>IFERROR(__xludf.DUMMYFUNCTION("AVERAGE(QUERY(SORT(GOOGLEFINANCE(A329,""price"",TODAY()-320,TODAY()),1,0),""select Col2 limit 100""))"),930.7135000000003)</f>
        <v>930.7135</v>
      </c>
      <c r="F329" s="44">
        <f>IFERROR(__xludf.DUMMYFUNCTION("GOOGLEFINANCE(A329,""high52"")"),1380.0)</f>
        <v>1380</v>
      </c>
      <c r="G329" s="45">
        <f>IFERROR(__xludf.DUMMYFUNCTION("to_date(index(sort(GOOGLEFINANCE(A329, ""high"", today()-52*7, today(), ""DAILY""),2,0),2,1))"),46157.64583333333)</f>
        <v>46157.64583</v>
      </c>
      <c r="H329" s="44">
        <f>IFERROR(__xludf.DUMMYFUNCTION("GOOGLEFINANCE(A329,""low52"")"),710.0)</f>
        <v>710</v>
      </c>
      <c r="I329" s="45">
        <f>IFERROR(__xludf.DUMMYFUNCTION("to_date(index(sort(GOOGLEFINANCE(A329, ""low"", today()-52*7, today(), ""DAILY""),2,1),1,1))"),46055.64583333333)</f>
        <v>46055.64583</v>
      </c>
      <c r="J329" s="46" t="str">
        <f t="shared" si="1"/>
        <v>Do Not Buy Today</v>
      </c>
    </row>
    <row r="330">
      <c r="A330" s="73" t="s">
        <v>552</v>
      </c>
      <c r="B330" s="59">
        <f>IFERROR(__xludf.DUMMYFUNCTION("GOOGLEFINANCE(A330,""price"")"),2017.6)</f>
        <v>2017.6</v>
      </c>
      <c r="C330" s="60">
        <f>IFERROR(__xludf.DUMMYFUNCTION("GOOGLEFINANCE(A330,""closeyest"")"),2037.9)</f>
        <v>2037.9</v>
      </c>
      <c r="D330" s="61">
        <f>IFERROR(__xludf.DUMMYFUNCTION("MIN(index(GOOGLEFINANCE(A330,""ALL"",TODAY()-180,TODAY()),0,5))*1.2"),2338.7999999999997)</f>
        <v>2338.8</v>
      </c>
      <c r="E330" s="62">
        <f>IFERROR(__xludf.DUMMYFUNCTION("AVERAGE(QUERY(SORT(GOOGLEFINANCE(A330,""price"",TODAY()-320,TODAY()),1,0),""select Col2 limit 100""))"),2128.9309999999987)</f>
        <v>2128.931</v>
      </c>
      <c r="F330" s="44">
        <f>IFERROR(__xludf.DUMMYFUNCTION("GOOGLEFINANCE(A330,""high52"")"),2799.0)</f>
        <v>2799</v>
      </c>
      <c r="G330" s="45">
        <f>IFERROR(__xludf.DUMMYFUNCTION("to_date(index(sort(GOOGLEFINANCE(A330, ""high"", today()-52*7, today(), ""DAILY""),2,0),2,1))"),45852.64583333333)</f>
        <v>45852.64583</v>
      </c>
      <c r="H330" s="44">
        <f>IFERROR(__xludf.DUMMYFUNCTION("GOOGLEFINANCE(A330,""low52"")"),1911.0)</f>
        <v>1911</v>
      </c>
      <c r="I330" s="45">
        <f>IFERROR(__xludf.DUMMYFUNCTION("to_date(index(sort(GOOGLEFINANCE(A330, ""low"", today()-52*7, today(), ""DAILY""),2,1),1,1))"),46160.64583333333)</f>
        <v>46160.64583</v>
      </c>
      <c r="J330" s="46" t="str">
        <f t="shared" si="1"/>
        <v>Do Not Buy Today</v>
      </c>
    </row>
    <row r="331">
      <c r="A331" s="73" t="s">
        <v>288</v>
      </c>
      <c r="B331" s="59">
        <f>IFERROR(__xludf.DUMMYFUNCTION("GOOGLEFINANCE(A331,""price"")"),11832.0)</f>
        <v>11832</v>
      </c>
      <c r="C331" s="60">
        <f>IFERROR(__xludf.DUMMYFUNCTION("GOOGLEFINANCE(A331,""closeyest"")"),11673.0)</f>
        <v>11673</v>
      </c>
      <c r="D331" s="61">
        <f>IFERROR(__xludf.DUMMYFUNCTION("MIN(index(GOOGLEFINANCE(A331,""ALL"",TODAY()-180,TODAY()),0,5))*1.2"),11607.6)</f>
        <v>11607.6</v>
      </c>
      <c r="E331" s="62">
        <f>IFERROR(__xludf.DUMMYFUNCTION("AVERAGE(QUERY(SORT(GOOGLEFINANCE(A331,""price"",TODAY()-320,TODAY()),1,0),""select Col2 limit 100""))"),10980.5)</f>
        <v>10980.5</v>
      </c>
      <c r="F331" s="44">
        <f>IFERROR(__xludf.DUMMYFUNCTION("GOOGLEFINANCE(A331,""high52"")"),18471.0)</f>
        <v>18471</v>
      </c>
      <c r="G331" s="45">
        <f>IFERROR(__xludf.DUMMYFUNCTION("to_date(index(sort(GOOGLEFINANCE(A331, ""high"", today()-52*7, today(), ""DAILY""),2,0),2,1))"),45925.64583333333)</f>
        <v>45925.64583</v>
      </c>
      <c r="H331" s="44">
        <f>IFERROR(__xludf.DUMMYFUNCTION("GOOGLEFINANCE(A331,""low52"")"),9600.0)</f>
        <v>9600</v>
      </c>
      <c r="I331" s="45">
        <f>IFERROR(__xludf.DUMMYFUNCTION("to_date(index(sort(GOOGLEFINANCE(A331, ""low"", today()-52*7, today(), ""DAILY""),2,1),1,1))"),46129.64583333333)</f>
        <v>46129.64583</v>
      </c>
      <c r="J331" s="46" t="str">
        <f t="shared" si="1"/>
        <v>Do Not Buy Today</v>
      </c>
    </row>
    <row r="332">
      <c r="A332" s="73" t="s">
        <v>553</v>
      </c>
      <c r="B332" s="59">
        <f>IFERROR(__xludf.DUMMYFUNCTION("GOOGLEFINANCE(A332,""price"")"),659.5)</f>
        <v>659.5</v>
      </c>
      <c r="C332" s="60">
        <f>IFERROR(__xludf.DUMMYFUNCTION("GOOGLEFINANCE(A332,""closeyest"")"),672.45)</f>
        <v>672.45</v>
      </c>
      <c r="D332" s="61">
        <f>IFERROR(__xludf.DUMMYFUNCTION("MIN(index(GOOGLEFINANCE(A332,""ALL"",TODAY()-180,TODAY()),0,5))*1.2"),761.64)</f>
        <v>761.64</v>
      </c>
      <c r="E332" s="62">
        <f>IFERROR(__xludf.DUMMYFUNCTION("AVERAGE(QUERY(SORT(GOOGLEFINANCE(A332,""price"",TODAY()-320,TODAY()),1,0),""select Col2 limit 100""))"),748.204)</f>
        <v>748.204</v>
      </c>
      <c r="F332" s="44">
        <f>IFERROR(__xludf.DUMMYFUNCTION("GOOGLEFINANCE(A332,""high52"")"),1332.0)</f>
        <v>1332</v>
      </c>
      <c r="G332" s="45">
        <f>IFERROR(__xludf.DUMMYFUNCTION("to_date(index(sort(GOOGLEFINANCE(A332, ""high"", today()-52*7, today(), ""DAILY""),2,0),2,1))"),45813.64583333333)</f>
        <v>45813.64583</v>
      </c>
      <c r="H332" s="44">
        <f>IFERROR(__xludf.DUMMYFUNCTION("GOOGLEFINANCE(A332,""low52"")"),601.0)</f>
        <v>601</v>
      </c>
      <c r="I332" s="45">
        <f>IFERROR(__xludf.DUMMYFUNCTION("to_date(index(sort(GOOGLEFINANCE(A332, ""low"", today()-52*7, today(), ""DAILY""),2,1),1,1))"),46104.64583333333)</f>
        <v>46104.64583</v>
      </c>
      <c r="J332" s="46" t="str">
        <f t="shared" si="1"/>
        <v>Do Not Buy Today</v>
      </c>
    </row>
    <row r="333">
      <c r="A333" s="73" t="s">
        <v>554</v>
      </c>
      <c r="B333" s="59">
        <f>IFERROR(__xludf.DUMMYFUNCTION("GOOGLEFINANCE(A333,""price"")"),513.65)</f>
        <v>513.65</v>
      </c>
      <c r="C333" s="60">
        <f>IFERROR(__xludf.DUMMYFUNCTION("GOOGLEFINANCE(A333,""closeyest"")"),514.05)</f>
        <v>514.05</v>
      </c>
      <c r="D333" s="61">
        <f>IFERROR(__xludf.DUMMYFUNCTION("MIN(index(GOOGLEFINANCE(A333,""ALL"",TODAY()-180,TODAY()),0,5))*1.2"),498.72)</f>
        <v>498.72</v>
      </c>
      <c r="E333" s="62">
        <f>IFERROR(__xludf.DUMMYFUNCTION("AVERAGE(QUERY(SORT(GOOGLEFINANCE(A333,""price"",TODAY()-320,TODAY()),1,0),""select Col2 limit 100""))"),543.672)</f>
        <v>543.672</v>
      </c>
      <c r="F333" s="44">
        <f>IFERROR(__xludf.DUMMYFUNCTION("GOOGLEFINANCE(A333,""high52"")"),1158.0)</f>
        <v>1158</v>
      </c>
      <c r="G333" s="45">
        <f>IFERROR(__xludf.DUMMYFUNCTION("to_date(index(sort(GOOGLEFINANCE(A333, ""high"", today()-52*7, today(), ""DAILY""),2,0),2,1))"),45820.64583333333)</f>
        <v>45820.64583</v>
      </c>
      <c r="H333" s="44">
        <f>IFERROR(__xludf.DUMMYFUNCTION("GOOGLEFINANCE(A333,""low52"")"),410.7)</f>
        <v>410.7</v>
      </c>
      <c r="I333" s="45">
        <f>IFERROR(__xludf.DUMMYFUNCTION("to_date(index(sort(GOOGLEFINANCE(A333, ""low"", today()-52*7, today(), ""DAILY""),2,1),1,1))"),46111.64583333333)</f>
        <v>46111.64583</v>
      </c>
      <c r="J333" s="46" t="str">
        <f t="shared" si="1"/>
        <v>Do Not Buy Today</v>
      </c>
    </row>
    <row r="334">
      <c r="A334" s="73" t="s">
        <v>555</v>
      </c>
      <c r="B334" s="59">
        <f>IFERROR(__xludf.DUMMYFUNCTION("GOOGLEFINANCE(A334,""price"")"),521.0)</f>
        <v>521</v>
      </c>
      <c r="C334" s="60">
        <f>IFERROR(__xludf.DUMMYFUNCTION("GOOGLEFINANCE(A334,""closeyest"")"),517.55)</f>
        <v>517.55</v>
      </c>
      <c r="D334" s="61">
        <f>IFERROR(__xludf.DUMMYFUNCTION("MIN(index(GOOGLEFINANCE(A334,""ALL"",TODAY()-180,TODAY()),0,5))*1.2"),508.2)</f>
        <v>508.2</v>
      </c>
      <c r="E334" s="62">
        <f>IFERROR(__xludf.DUMMYFUNCTION("AVERAGE(QUERY(SORT(GOOGLEFINANCE(A334,""price"",TODAY()-320,TODAY()),1,0),""select Col2 limit 100""))"),489.07999999999987)</f>
        <v>489.08</v>
      </c>
      <c r="F334" s="44">
        <f>IFERROR(__xludf.DUMMYFUNCTION("GOOGLEFINANCE(A334,""high52"")"),632.9)</f>
        <v>632.9</v>
      </c>
      <c r="G334" s="45">
        <f>IFERROR(__xludf.DUMMYFUNCTION("to_date(index(sort(GOOGLEFINANCE(A334, ""high"", today()-52*7, today(), ""DAILY""),2,0),2,1))"),45811.64583333333)</f>
        <v>45811.64583</v>
      </c>
      <c r="H334" s="44">
        <f>IFERROR(__xludf.DUMMYFUNCTION("GOOGLEFINANCE(A334,""low52"")"),414.0)</f>
        <v>414</v>
      </c>
      <c r="I334" s="45">
        <f>IFERROR(__xludf.DUMMYFUNCTION("to_date(index(sort(GOOGLEFINANCE(A334, ""low"", today()-52*7, today(), ""DAILY""),2,1),1,1))"),46104.64583333333)</f>
        <v>46104.64583</v>
      </c>
      <c r="J334" s="46" t="str">
        <f t="shared" si="1"/>
        <v>Do Not Buy Today</v>
      </c>
    </row>
    <row r="335">
      <c r="A335" s="73" t="s">
        <v>556</v>
      </c>
      <c r="B335" s="59">
        <f>IFERROR(__xludf.DUMMYFUNCTION("GOOGLEFINANCE(A335,""price"")"),12668.0)</f>
        <v>12668</v>
      </c>
      <c r="C335" s="60">
        <f>IFERROR(__xludf.DUMMYFUNCTION("GOOGLEFINANCE(A335,""closeyest"")"),12482.0)</f>
        <v>12482</v>
      </c>
      <c r="D335" s="61">
        <f>IFERROR(__xludf.DUMMYFUNCTION("MIN(index(GOOGLEFINANCE(A335,""ALL"",TODAY()-180,TODAY()),0,5))*1.2"),13562.4)</f>
        <v>13562.4</v>
      </c>
      <c r="E335" s="62">
        <f>IFERROR(__xludf.DUMMYFUNCTION("AVERAGE(QUERY(SORT(GOOGLEFINANCE(A335,""price"",TODAY()-320,TODAY()),1,0),""select Col2 limit 100""))"),15478.61)</f>
        <v>15478.61</v>
      </c>
      <c r="F335" s="44">
        <f>IFERROR(__xludf.DUMMYFUNCTION("GOOGLEFINANCE(A335,""high52"")"),23750.0)</f>
        <v>23750</v>
      </c>
      <c r="G335" s="45">
        <f>IFERROR(__xludf.DUMMYFUNCTION("to_date(index(sort(GOOGLEFINANCE(A335, ""high"", today()-52*7, today(), ""DAILY""),2,0),2,1))"),45805.64583333333)</f>
        <v>45805.64583</v>
      </c>
      <c r="H335" s="44">
        <f>IFERROR(__xludf.DUMMYFUNCTION("GOOGLEFINANCE(A335,""low52"")"),11250.0)</f>
        <v>11250</v>
      </c>
      <c r="I335" s="45">
        <f>IFERROR(__xludf.DUMMYFUNCTION("to_date(index(sort(GOOGLEFINANCE(A335, ""low"", today()-52*7, today(), ""DAILY""),2,1),1,1))"),46111.64583333333)</f>
        <v>46111.64583</v>
      </c>
      <c r="J335" s="46" t="str">
        <f t="shared" si="1"/>
        <v>Do Not Buy Today</v>
      </c>
    </row>
    <row r="336">
      <c r="A336" s="73" t="s">
        <v>557</v>
      </c>
      <c r="B336" s="59">
        <f>IFERROR(__xludf.DUMMYFUNCTION("GOOGLEFINANCE(A336,""price"")"),35.44)</f>
        <v>35.44</v>
      </c>
      <c r="C336" s="60">
        <f>IFERROR(__xludf.DUMMYFUNCTION("GOOGLEFINANCE(A336,""closeyest"")"),34.95)</f>
        <v>34.95</v>
      </c>
      <c r="D336" s="61">
        <f>IFERROR(__xludf.DUMMYFUNCTION("MIN(index(GOOGLEFINANCE(A336,""ALL"",TODAY()-180,TODAY()),0,5))*1.2"),29.784)</f>
        <v>29.784</v>
      </c>
      <c r="E336" s="62">
        <f>IFERROR(__xludf.DUMMYFUNCTION("AVERAGE(QUERY(SORT(GOOGLEFINANCE(A336,""price"",TODAY()-320,TODAY()),1,0),""select Col2 limit 100""))"),33.84880000000001)</f>
        <v>33.8488</v>
      </c>
      <c r="F336" s="44">
        <f>IFERROR(__xludf.DUMMYFUNCTION("GOOGLEFINANCE(A336,""high52"")"),69.7)</f>
        <v>69.7</v>
      </c>
      <c r="G336" s="45">
        <f>IFERROR(__xludf.DUMMYFUNCTION("to_date(index(sort(GOOGLEFINANCE(A336, ""high"", today()-52*7, today(), ""DAILY""),2,0),2,1))"),45847.64583333333)</f>
        <v>45847.64583</v>
      </c>
      <c r="H336" s="44">
        <f>IFERROR(__xludf.DUMMYFUNCTION("GOOGLEFINANCE(A336,""low52"")"),24.4)</f>
        <v>24.4</v>
      </c>
      <c r="I336" s="45">
        <f>IFERROR(__xludf.DUMMYFUNCTION("to_date(index(sort(GOOGLEFINANCE(A336, ""low"", today()-52*7, today(), ""DAILY""),2,1),1,1))"),46090.64583333333)</f>
        <v>46090.64583</v>
      </c>
      <c r="J336" s="46" t="str">
        <f t="shared" si="1"/>
        <v>Do Not Buy Today</v>
      </c>
    </row>
    <row r="337">
      <c r="A337" s="73" t="s">
        <v>558</v>
      </c>
      <c r="B337" s="59">
        <f>IFERROR(__xludf.DUMMYFUNCTION("GOOGLEFINANCE(A337,""price"")"),8400.0)</f>
        <v>8400</v>
      </c>
      <c r="C337" s="60">
        <f>IFERROR(__xludf.DUMMYFUNCTION("GOOGLEFINANCE(A337,""closeyest"")"),8962.5)</f>
        <v>8962.5</v>
      </c>
      <c r="D337" s="61">
        <f>IFERROR(__xludf.DUMMYFUNCTION("MIN(index(GOOGLEFINANCE(A337,""ALL"",TODAY()-180,TODAY()),0,5))*1.2"),9318.6)</f>
        <v>9318.6</v>
      </c>
      <c r="E337" s="62">
        <f>IFERROR(__xludf.DUMMYFUNCTION("AVERAGE(QUERY(SORT(GOOGLEFINANCE(A337,""price"",TODAY()-320,TODAY()),1,0),""select Col2 limit 100""))"),8514.855)</f>
        <v>8514.855</v>
      </c>
      <c r="F337" s="44">
        <f>IFERROR(__xludf.DUMMYFUNCTION("GOOGLEFINANCE(A337,""high52"")"),10691.0)</f>
        <v>10691</v>
      </c>
      <c r="G337" s="45">
        <f>IFERROR(__xludf.DUMMYFUNCTION("to_date(index(sort(GOOGLEFINANCE(A337, ""high"", today()-52*7, today(), ""DAILY""),2,0),2,1))"),45821.64583333333)</f>
        <v>45821.64583</v>
      </c>
      <c r="H337" s="44">
        <f>IFERROR(__xludf.DUMMYFUNCTION("GOOGLEFINANCE(A337,""low52"")"),7551.5)</f>
        <v>7551.5</v>
      </c>
      <c r="I337" s="45">
        <f>IFERROR(__xludf.DUMMYFUNCTION("to_date(index(sort(GOOGLEFINANCE(A337, ""low"", today()-52*7, today(), ""DAILY""),2,1),1,1))"),46118.64583333333)</f>
        <v>46118.64583</v>
      </c>
      <c r="J337" s="46" t="str">
        <f t="shared" si="1"/>
        <v>Do Not Buy Today</v>
      </c>
    </row>
    <row r="338">
      <c r="A338" s="73" t="s">
        <v>559</v>
      </c>
      <c r="B338" s="59">
        <f>IFERROR(__xludf.DUMMYFUNCTION("GOOGLEFINANCE(A338,""price"")"),140.75)</f>
        <v>140.75</v>
      </c>
      <c r="C338" s="60">
        <f>IFERROR(__xludf.DUMMYFUNCTION("GOOGLEFINANCE(A338,""closeyest"")"),140.23)</f>
        <v>140.23</v>
      </c>
      <c r="D338" s="61">
        <f>IFERROR(__xludf.DUMMYFUNCTION("MIN(index(GOOGLEFINANCE(A338,""ALL"",TODAY()-180,TODAY()),0,5))*1.2"),138.28799999999998)</f>
        <v>138.288</v>
      </c>
      <c r="E338" s="62">
        <f>IFERROR(__xludf.DUMMYFUNCTION("AVERAGE(QUERY(SORT(GOOGLEFINANCE(A338,""price"",TODAY()-320,TODAY()),1,0),""select Col2 limit 100""))"),148.67229999999998)</f>
        <v>148.6723</v>
      </c>
      <c r="F338" s="44">
        <f>IFERROR(__xludf.DUMMYFUNCTION("GOOGLEFINANCE(A338,""high52"")"),225.52)</f>
        <v>225.52</v>
      </c>
      <c r="G338" s="45">
        <f>IFERROR(__xludf.DUMMYFUNCTION("to_date(index(sort(GOOGLEFINANCE(A338, ""high"", today()-52*7, today(), ""DAILY""),2,0),2,1))"),45813.64583333333)</f>
        <v>45813.64583</v>
      </c>
      <c r="H338" s="44">
        <f>IFERROR(__xludf.DUMMYFUNCTION("GOOGLEFINANCE(A338,""low52"")"),114.5)</f>
        <v>114.5</v>
      </c>
      <c r="I338" s="45">
        <f>IFERROR(__xludf.DUMMYFUNCTION("to_date(index(sort(GOOGLEFINANCE(A338, ""low"", today()-52*7, today(), ""DAILY""),2,1),1,1))"),46104.64583333333)</f>
        <v>46104.64583</v>
      </c>
      <c r="J338" s="46" t="str">
        <f t="shared" si="1"/>
        <v>Do Not Buy Today</v>
      </c>
    </row>
    <row r="339">
      <c r="A339" s="73" t="s">
        <v>560</v>
      </c>
      <c r="B339" s="59">
        <f>IFERROR(__xludf.DUMMYFUNCTION("GOOGLEFINANCE(A339,""price"")"),380.8)</f>
        <v>380.8</v>
      </c>
      <c r="C339" s="60">
        <f>IFERROR(__xludf.DUMMYFUNCTION("GOOGLEFINANCE(A339,""closeyest"")"),376.75)</f>
        <v>376.75</v>
      </c>
      <c r="D339" s="61">
        <f>IFERROR(__xludf.DUMMYFUNCTION("MIN(index(GOOGLEFINANCE(A339,""ALL"",TODAY()-180,TODAY()),0,5))*1.2"),405.0)</f>
        <v>405</v>
      </c>
      <c r="E339" s="62">
        <f>IFERROR(__xludf.DUMMYFUNCTION("AVERAGE(QUERY(SORT(GOOGLEFINANCE(A339,""price"",TODAY()-320,TODAY()),1,0),""select Col2 limit 100""))"),392.1154999999998)</f>
        <v>392.1155</v>
      </c>
      <c r="F339" s="44">
        <f>IFERROR(__xludf.DUMMYFUNCTION("GOOGLEFINANCE(A339,""high52"")"),674.85)</f>
        <v>674.85</v>
      </c>
      <c r="G339" s="45">
        <f>IFERROR(__xludf.DUMMYFUNCTION("to_date(index(sort(GOOGLEFINANCE(A339, ""high"", today()-52*7, today(), ""DAILY""),2,0),2,1))"),45825.64583333333)</f>
        <v>45825.64583</v>
      </c>
      <c r="H339" s="44">
        <f>IFERROR(__xludf.DUMMYFUNCTION("GOOGLEFINANCE(A339,""low52"")"),330.2)</f>
        <v>330.2</v>
      </c>
      <c r="I339" s="45">
        <f>IFERROR(__xludf.DUMMYFUNCTION("to_date(index(sort(GOOGLEFINANCE(A339, ""low"", today()-52*7, today(), ""DAILY""),2,1),1,1))"),46090.64583333333)</f>
        <v>46090.64583</v>
      </c>
      <c r="J339" s="46" t="str">
        <f t="shared" si="1"/>
        <v>Do Not Buy Today</v>
      </c>
    </row>
    <row r="340">
      <c r="A340" s="73" t="s">
        <v>561</v>
      </c>
      <c r="B340" s="59">
        <f>IFERROR(__xludf.DUMMYFUNCTION("GOOGLEFINANCE(A340,""price"")"),1564.7)</f>
        <v>1564.7</v>
      </c>
      <c r="C340" s="60">
        <f>IFERROR(__xludf.DUMMYFUNCTION("GOOGLEFINANCE(A340,""closeyest"")"),1567.3)</f>
        <v>1567.3</v>
      </c>
      <c r="D340" s="61">
        <f>IFERROR(__xludf.DUMMYFUNCTION("MIN(index(GOOGLEFINANCE(A340,""ALL"",TODAY()-180,TODAY()),0,5))*1.2"),1664.64)</f>
        <v>1664.64</v>
      </c>
      <c r="E340" s="62">
        <f>IFERROR(__xludf.DUMMYFUNCTION("AVERAGE(QUERY(SORT(GOOGLEFINANCE(A340,""price"",TODAY()-320,TODAY()),1,0),""select Col2 limit 100""))"),1800.5565000000006)</f>
        <v>1800.5565</v>
      </c>
      <c r="F340" s="44">
        <f>IFERROR(__xludf.DUMMYFUNCTION("GOOGLEFINANCE(A340,""high52"")"),2497.5)</f>
        <v>2497.5</v>
      </c>
      <c r="G340" s="45">
        <f>IFERROR(__xludf.DUMMYFUNCTION("to_date(index(sort(GOOGLEFINANCE(A340, ""high"", today()-52*7, today(), ""DAILY""),2,0),2,1))"),46056.64583333333)</f>
        <v>46056.64583</v>
      </c>
      <c r="H340" s="44">
        <f>IFERROR(__xludf.DUMMYFUNCTION("GOOGLEFINANCE(A340,""low52"")"),1375.0)</f>
        <v>1375</v>
      </c>
      <c r="I340" s="45">
        <f>IFERROR(__xludf.DUMMYFUNCTION("to_date(index(sort(GOOGLEFINANCE(A340, ""low"", today()-52*7, today(), ""DAILY""),2,1),1,1))"),46111.64583333333)</f>
        <v>46111.64583</v>
      </c>
      <c r="J340" s="46" t="str">
        <f t="shared" si="1"/>
        <v>Do Not Buy Today</v>
      </c>
    </row>
    <row r="341">
      <c r="A341" s="73" t="s">
        <v>562</v>
      </c>
      <c r="B341" s="59">
        <f>IFERROR(__xludf.DUMMYFUNCTION("GOOGLEFINANCE(A341,""price"")"),13.05)</f>
        <v>13.05</v>
      </c>
      <c r="C341" s="60">
        <f>IFERROR(__xludf.DUMMYFUNCTION("GOOGLEFINANCE(A341,""closeyest"")"),12.67)</f>
        <v>12.67</v>
      </c>
      <c r="D341" s="61">
        <f>IFERROR(__xludf.DUMMYFUNCTION("MIN(index(GOOGLEFINANCE(A341,""ALL"",TODAY()-180,TODAY()),0,5))*1.2"),13.415999999999999)</f>
        <v>13.416</v>
      </c>
      <c r="E341" s="62">
        <f>IFERROR(__xludf.DUMMYFUNCTION("AVERAGE(QUERY(SORT(GOOGLEFINANCE(A341,""price"",TODAY()-320,TODAY()),1,0),""select Col2 limit 100""))"),14.23289999999999)</f>
        <v>14.2329</v>
      </c>
      <c r="F341" s="44">
        <f>IFERROR(__xludf.DUMMYFUNCTION("GOOGLEFINANCE(A341,""high52"")"),23.5)</f>
        <v>23.5</v>
      </c>
      <c r="G341" s="45">
        <f>IFERROR(__xludf.DUMMYFUNCTION("to_date(index(sort(GOOGLEFINANCE(A341, ""high"", today()-52*7, today(), ""DAILY""),2,0),2,1))"),45846.64583333333)</f>
        <v>45846.64583</v>
      </c>
      <c r="H341" s="44">
        <f>IFERROR(__xludf.DUMMYFUNCTION("GOOGLEFINANCE(A341,""low52"")"),11.11)</f>
        <v>11.11</v>
      </c>
      <c r="I341" s="45">
        <f>IFERROR(__xludf.DUMMYFUNCTION("to_date(index(sort(GOOGLEFINANCE(A341, ""low"", today()-52*7, today(), ""DAILY""),2,1),1,1))"),46111.64583333333)</f>
        <v>46111.64583</v>
      </c>
      <c r="J341" s="46" t="str">
        <f t="shared" si="1"/>
        <v>Do Not Buy Today</v>
      </c>
    </row>
    <row r="342">
      <c r="A342" s="73" t="s">
        <v>563</v>
      </c>
      <c r="B342" s="59">
        <f>IFERROR(__xludf.DUMMYFUNCTION("GOOGLEFINANCE(A342,""price"")"),4152.0)</f>
        <v>4152</v>
      </c>
      <c r="C342" s="60">
        <f>IFERROR(__xludf.DUMMYFUNCTION("GOOGLEFINANCE(A342,""closeyest"")"),4196.1)</f>
        <v>4196.1</v>
      </c>
      <c r="D342" s="61">
        <f>IFERROR(__xludf.DUMMYFUNCTION("MIN(index(GOOGLEFINANCE(A342,""ALL"",TODAY()-180,TODAY()),0,5))*1.2"),4275.96)</f>
        <v>4275.96</v>
      </c>
      <c r="E342" s="62">
        <f>IFERROR(__xludf.DUMMYFUNCTION("AVERAGE(QUERY(SORT(GOOGLEFINANCE(A342,""price"",TODAY()-320,TODAY()),1,0),""select Col2 limit 100""))"),3960.8810000000008)</f>
        <v>3960.881</v>
      </c>
      <c r="F342" s="44">
        <f>IFERROR(__xludf.DUMMYFUNCTION("GOOGLEFINANCE(A342,""high52"")"),4467.7)</f>
        <v>4467.7</v>
      </c>
      <c r="G342" s="45">
        <f>IFERROR(__xludf.DUMMYFUNCTION("to_date(index(sort(GOOGLEFINANCE(A342, ""high"", today()-52*7, today(), ""DAILY""),2,0),2,1))"),46087.64583333333)</f>
        <v>46087.64583</v>
      </c>
      <c r="H342" s="44">
        <f>IFERROR(__xludf.DUMMYFUNCTION("GOOGLEFINANCE(A342,""low52"")"),3518.4)</f>
        <v>3518.4</v>
      </c>
      <c r="I342" s="45">
        <f>IFERROR(__xludf.DUMMYFUNCTION("to_date(index(sort(GOOGLEFINANCE(A342, ""low"", today()-52*7, today(), ""DAILY""),2,1),1,1))"),46044.64583333333)</f>
        <v>46044.64583</v>
      </c>
      <c r="J342" s="46" t="str">
        <f t="shared" si="1"/>
        <v>Do Not Buy Today</v>
      </c>
    </row>
    <row r="343">
      <c r="A343" s="73" t="s">
        <v>564</v>
      </c>
      <c r="B343" s="59">
        <f>IFERROR(__xludf.DUMMYFUNCTION("GOOGLEFINANCE(A343,""price"")"),1363.9)</f>
        <v>1363.9</v>
      </c>
      <c r="C343" s="60">
        <f>IFERROR(__xludf.DUMMYFUNCTION("GOOGLEFINANCE(A343,""closeyest"")"),1361.4)</f>
        <v>1361.4</v>
      </c>
      <c r="D343" s="61">
        <f>IFERROR(__xludf.DUMMYFUNCTION("MIN(index(GOOGLEFINANCE(A343,""ALL"",TODAY()-180,TODAY()),0,5))*1.2"),1525.2)</f>
        <v>1525.2</v>
      </c>
      <c r="E343" s="62">
        <f>IFERROR(__xludf.DUMMYFUNCTION("AVERAGE(QUERY(SORT(GOOGLEFINANCE(A343,""price"",TODAY()-320,TODAY()),1,0),""select Col2 limit 100""))"),1388.6889999999994)</f>
        <v>1388.689</v>
      </c>
      <c r="F343" s="44">
        <f>IFERROR(__xludf.DUMMYFUNCTION("GOOGLEFINANCE(A343,""high52"")"),1910.0)</f>
        <v>1910</v>
      </c>
      <c r="G343" s="45">
        <f>IFERROR(__xludf.DUMMYFUNCTION("to_date(index(sort(GOOGLEFINANCE(A343, ""high"", today()-52*7, today(), ""DAILY""),2,0),2,1))"),45820.64583333333)</f>
        <v>45820.64583</v>
      </c>
      <c r="H343" s="44">
        <f>IFERROR(__xludf.DUMMYFUNCTION("GOOGLEFINANCE(A343,""low52"")"),1200.0)</f>
        <v>1200</v>
      </c>
      <c r="I343" s="45">
        <f>IFERROR(__xludf.DUMMYFUNCTION("to_date(index(sort(GOOGLEFINANCE(A343, ""low"", today()-52*7, today(), ""DAILY""),2,1),1,1))"),46140.64583333333)</f>
        <v>46140.64583</v>
      </c>
      <c r="J343" s="46" t="str">
        <f t="shared" si="1"/>
        <v>Do Not Buy Today</v>
      </c>
    </row>
    <row r="344">
      <c r="A344" s="73" t="s">
        <v>565</v>
      </c>
      <c r="B344" s="59">
        <f>IFERROR(__xludf.DUMMYFUNCTION("GOOGLEFINANCE(A344,""price"")"),262.25)</f>
        <v>262.25</v>
      </c>
      <c r="C344" s="60">
        <f>IFERROR(__xludf.DUMMYFUNCTION("GOOGLEFINANCE(A344,""closeyest"")"),260.2)</f>
        <v>260.2</v>
      </c>
      <c r="D344" s="61">
        <f>IFERROR(__xludf.DUMMYFUNCTION("MIN(index(GOOGLEFINANCE(A344,""ALL"",TODAY()-180,TODAY()),0,5))*1.2"),233.48399999999998)</f>
        <v>233.484</v>
      </c>
      <c r="E344" s="62">
        <f>IFERROR(__xludf.DUMMYFUNCTION("AVERAGE(QUERY(SORT(GOOGLEFINANCE(A344,""price"",TODAY()-320,TODAY()),1,0),""select Col2 limit 100""))"),250.85930000000005)</f>
        <v>250.8593</v>
      </c>
      <c r="F344" s="44">
        <f>IFERROR(__xludf.DUMMYFUNCTION("GOOGLEFINANCE(A344,""high52"")"),364.0)</f>
        <v>364</v>
      </c>
      <c r="G344" s="45">
        <f>IFERROR(__xludf.DUMMYFUNCTION("to_date(index(sort(GOOGLEFINANCE(A344, ""high"", today()-52*7, today(), ""DAILY""),2,0),2,1))"),45887.64583333333)</f>
        <v>45887.64583</v>
      </c>
      <c r="H344" s="44">
        <f>IFERROR(__xludf.DUMMYFUNCTION("GOOGLEFINANCE(A344,""low52"")"),193.03)</f>
        <v>193.03</v>
      </c>
      <c r="I344" s="45">
        <f>IFERROR(__xludf.DUMMYFUNCTION("to_date(index(sort(GOOGLEFINANCE(A344, ""low"", today()-52*7, today(), ""DAILY""),2,1),1,1))"),46111.64583333333)</f>
        <v>46111.64583</v>
      </c>
      <c r="J344" s="46" t="str">
        <f t="shared" si="1"/>
        <v>Do Not Buy Today</v>
      </c>
    </row>
    <row r="345">
      <c r="A345" s="73" t="s">
        <v>566</v>
      </c>
      <c r="B345" s="59">
        <f>IFERROR(__xludf.DUMMYFUNCTION("GOOGLEFINANCE(A345,""price"")"),4129.0)</f>
        <v>4129</v>
      </c>
      <c r="C345" s="60">
        <f>IFERROR(__xludf.DUMMYFUNCTION("GOOGLEFINANCE(A345,""closeyest"")"),4101.7)</f>
        <v>4101.7</v>
      </c>
      <c r="D345" s="61">
        <f>IFERROR(__xludf.DUMMYFUNCTION("MIN(index(GOOGLEFINANCE(A345,""ALL"",TODAY()-180,TODAY()),0,5))*1.2"),2619.0)</f>
        <v>2619</v>
      </c>
      <c r="E345" s="62">
        <f>IFERROR(__xludf.DUMMYFUNCTION("AVERAGE(QUERY(SORT(GOOGLEFINANCE(A345,""price"",TODAY()-320,TODAY()),1,0),""select Col2 limit 100""))"),3188.4570000000003)</f>
        <v>3188.457</v>
      </c>
      <c r="F345" s="44">
        <f>IFERROR(__xludf.DUMMYFUNCTION("GOOGLEFINANCE(A345,""high52"")"),4303.0)</f>
        <v>4303</v>
      </c>
      <c r="G345" s="45">
        <f>IFERROR(__xludf.DUMMYFUNCTION("to_date(index(sort(GOOGLEFINANCE(A345, ""high"", today()-52*7, today(), ""DAILY""),2,0),2,1))"),46148.64583333333)</f>
        <v>46148.64583</v>
      </c>
      <c r="H345" s="44">
        <f>IFERROR(__xludf.DUMMYFUNCTION("GOOGLEFINANCE(A345,""low52"")"),2131.0)</f>
        <v>2131</v>
      </c>
      <c r="I345" s="45">
        <f>IFERROR(__xludf.DUMMYFUNCTION("to_date(index(sort(GOOGLEFINANCE(A345, ""low"", today()-52*7, today(), ""DAILY""),2,1),1,1))"),46049.64583333333)</f>
        <v>46049.64583</v>
      </c>
      <c r="J345" s="46" t="str">
        <f t="shared" si="1"/>
        <v>Do Not Buy Today</v>
      </c>
    </row>
    <row r="346">
      <c r="A346" s="73" t="s">
        <v>289</v>
      </c>
      <c r="B346" s="59">
        <f>IFERROR(__xludf.DUMMYFUNCTION("GOOGLEFINANCE(A346,""price"")"),9603.0)</f>
        <v>9603</v>
      </c>
      <c r="C346" s="60">
        <f>IFERROR(__xludf.DUMMYFUNCTION("GOOGLEFINANCE(A346,""closeyest"")"),9613.5)</f>
        <v>9613.5</v>
      </c>
      <c r="D346" s="61">
        <f>IFERROR(__xludf.DUMMYFUNCTION("MIN(index(GOOGLEFINANCE(A346,""ALL"",TODAY()-180,TODAY()),0,5))*1.2"),8066.4)</f>
        <v>8066.4</v>
      </c>
      <c r="E346" s="62">
        <f>IFERROR(__xludf.DUMMYFUNCTION("AVERAGE(QUERY(SORT(GOOGLEFINANCE(A346,""price"",TODAY()-320,TODAY()),1,0),""select Col2 limit 100""))"),7851.46)</f>
        <v>7851.46</v>
      </c>
      <c r="F346" s="44">
        <f>IFERROR(__xludf.DUMMYFUNCTION("GOOGLEFINANCE(A346,""high52"")"),9692.0)</f>
        <v>9692</v>
      </c>
      <c r="G346" s="45">
        <f>IFERROR(__xludf.DUMMYFUNCTION("to_date(index(sort(GOOGLEFINANCE(A346, ""high"", today()-52*7, today(), ""DAILY""),2,0),2,1))"),46168.64583333333)</f>
        <v>46168.64583</v>
      </c>
      <c r="H346" s="44">
        <f>IFERROR(__xludf.DUMMYFUNCTION("GOOGLEFINANCE(A346,""low52"")"),5760.0)</f>
        <v>5760</v>
      </c>
      <c r="I346" s="45">
        <f>IFERROR(__xludf.DUMMYFUNCTION("to_date(index(sort(GOOGLEFINANCE(A346, ""low"", today()-52*7, today(), ""DAILY""),2,1),1,1))"),45821.64583333333)</f>
        <v>45821.64583</v>
      </c>
      <c r="J346" s="46" t="str">
        <f t="shared" si="1"/>
        <v>Do Not Buy Today</v>
      </c>
    </row>
    <row r="347">
      <c r="A347" s="73" t="s">
        <v>290</v>
      </c>
      <c r="B347" s="59">
        <f>IFERROR(__xludf.DUMMYFUNCTION("GOOGLEFINANCE(A347,""price"")"),5515.0)</f>
        <v>5515</v>
      </c>
      <c r="C347" s="60">
        <f>IFERROR(__xludf.DUMMYFUNCTION("GOOGLEFINANCE(A347,""closeyest"")"),5418.5)</f>
        <v>5418.5</v>
      </c>
      <c r="D347" s="61">
        <f>IFERROR(__xludf.DUMMYFUNCTION("MIN(index(GOOGLEFINANCE(A347,""ALL"",TODAY()-180,TODAY()),0,5))*1.2"),4713.96)</f>
        <v>4713.96</v>
      </c>
      <c r="E347" s="62">
        <f>IFERROR(__xludf.DUMMYFUNCTION("AVERAGE(QUERY(SORT(GOOGLEFINANCE(A347,""price"",TODAY()-320,TODAY()),1,0),""select Col2 limit 100""))"),4697.902000000001)</f>
        <v>4697.902</v>
      </c>
      <c r="F347" s="44">
        <f>IFERROR(__xludf.DUMMYFUNCTION("GOOGLEFINANCE(A347,""high52"")"),5539.0)</f>
        <v>5539</v>
      </c>
      <c r="G347" s="45">
        <f>IFERROR(__xludf.DUMMYFUNCTION("to_date(index(sort(GOOGLEFINANCE(A347, ""high"", today()-52*7, today(), ""DAILY""),2,0),2,1))"),46150.64583333333)</f>
        <v>46150.64583</v>
      </c>
      <c r="H347" s="44">
        <f>IFERROR(__xludf.DUMMYFUNCTION("GOOGLEFINANCE(A347,""low52"")"),2921.1)</f>
        <v>2921.1</v>
      </c>
      <c r="I347" s="45">
        <f>IFERROR(__xludf.DUMMYFUNCTION("to_date(index(sort(GOOGLEFINANCE(A347, ""low"", today()-52*7, today(), ""DAILY""),2,1),1,1))"),46085.64583333333)</f>
        <v>46085.64583</v>
      </c>
      <c r="J347" s="46" t="str">
        <f t="shared" si="1"/>
        <v>Do Not Buy Today</v>
      </c>
    </row>
    <row r="348">
      <c r="A348" s="73" t="s">
        <v>291</v>
      </c>
      <c r="B348" s="59">
        <f>IFERROR(__xludf.DUMMYFUNCTION("GOOGLEFINANCE(A348,""price"")"),1334.4)</f>
        <v>1334.4</v>
      </c>
      <c r="C348" s="60">
        <f>IFERROR(__xludf.DUMMYFUNCTION("GOOGLEFINANCE(A348,""closeyest"")"),1329.9)</f>
        <v>1329.9</v>
      </c>
      <c r="D348" s="61">
        <f>IFERROR(__xludf.DUMMYFUNCTION("MIN(index(GOOGLEFINANCE(A348,""ALL"",TODAY()-180,TODAY()),0,5))*1.2"),1315.9199999999998)</f>
        <v>1315.92</v>
      </c>
      <c r="E348" s="62">
        <f>IFERROR(__xludf.DUMMYFUNCTION("AVERAGE(QUERY(SORT(GOOGLEFINANCE(A348,""price"",TODAY()-320,TODAY()),1,0),""select Col2 limit 100""))"),1354.1210000000003)</f>
        <v>1354.121</v>
      </c>
      <c r="F348" s="44">
        <f>IFERROR(__xludf.DUMMYFUNCTION("GOOGLEFINANCE(A348,""high52"")"),2096.6)</f>
        <v>2096.6</v>
      </c>
      <c r="G348" s="45">
        <f>IFERROR(__xludf.DUMMYFUNCTION("to_date(index(sort(GOOGLEFINANCE(A348, ""high"", today()-52*7, today(), ""DAILY""),2,0),2,1))"),45807.64583333333)</f>
        <v>45807.64583</v>
      </c>
      <c r="H348" s="44">
        <f>IFERROR(__xludf.DUMMYFUNCTION("GOOGLEFINANCE(A348,""low52"")"),1086.0)</f>
        <v>1086</v>
      </c>
      <c r="I348" s="45">
        <f>IFERROR(__xludf.DUMMYFUNCTION("to_date(index(sort(GOOGLEFINANCE(A348, ""low"", today()-52*7, today(), ""DAILY""),2,1),1,1))"),46111.64583333333)</f>
        <v>46111.64583</v>
      </c>
      <c r="J348" s="46" t="str">
        <f t="shared" si="1"/>
        <v>Do Not Buy Today</v>
      </c>
    </row>
    <row r="349">
      <c r="A349" s="73" t="s">
        <v>293</v>
      </c>
      <c r="B349" s="59">
        <f>IFERROR(__xludf.DUMMYFUNCTION("GOOGLEFINANCE(A349,""price"")"),104.98)</f>
        <v>104.98</v>
      </c>
      <c r="C349" s="60">
        <f>IFERROR(__xludf.DUMMYFUNCTION("GOOGLEFINANCE(A349,""closeyest"")"),103.04)</f>
        <v>103.04</v>
      </c>
      <c r="D349" s="61">
        <f>IFERROR(__xludf.DUMMYFUNCTION("MIN(index(GOOGLEFINANCE(A349,""ALL"",TODAY()-180,TODAY()),0,5))*1.2"),102.21600000000001)</f>
        <v>102.216</v>
      </c>
      <c r="E349" s="62">
        <f>IFERROR(__xludf.DUMMYFUNCTION("AVERAGE(QUERY(SORT(GOOGLEFINANCE(A349,""price"",TODAY()-320,TODAY()),1,0),""select Col2 limit 100""))"),97.05950000000001)</f>
        <v>97.0595</v>
      </c>
      <c r="F349" s="44">
        <f>IFERROR(__xludf.DUMMYFUNCTION("GOOGLEFINANCE(A349,""high52"")"),119.95)</f>
        <v>119.95</v>
      </c>
      <c r="G349" s="45">
        <f>IFERROR(__xludf.DUMMYFUNCTION("to_date(index(sort(GOOGLEFINANCE(A349, ""high"", today()-52*7, today(), ""DAILY""),2,0),2,1))"),46139.64583333333)</f>
        <v>46139.64583</v>
      </c>
      <c r="H349" s="44">
        <f>IFERROR(__xludf.DUMMYFUNCTION("GOOGLEFINANCE(A349,""low52"")"),84.0)</f>
        <v>84</v>
      </c>
      <c r="I349" s="45">
        <f>IFERROR(__xludf.DUMMYFUNCTION("to_date(index(sort(GOOGLEFINANCE(A349, ""low"", today()-52*7, today(), ""DAILY""),2,1),1,1))"),46083.64583333333)</f>
        <v>46083.64583</v>
      </c>
      <c r="J349" s="46" t="str">
        <f t="shared" si="1"/>
        <v>Do Not Buy Today</v>
      </c>
    </row>
    <row r="350">
      <c r="A350" s="73" t="s">
        <v>567</v>
      </c>
      <c r="B350" s="59">
        <f>IFERROR(__xludf.DUMMYFUNCTION("GOOGLEFINANCE(A350,""price"")"),636.05)</f>
        <v>636.05</v>
      </c>
      <c r="C350" s="60">
        <f>IFERROR(__xludf.DUMMYFUNCTION("GOOGLEFINANCE(A350,""closeyest"")"),630.6)</f>
        <v>630.6</v>
      </c>
      <c r="D350" s="61">
        <f>IFERROR(__xludf.DUMMYFUNCTION("MIN(index(GOOGLEFINANCE(A350,""ALL"",TODAY()-180,TODAY()),0,5))*1.2"),607.74)</f>
        <v>607.74</v>
      </c>
      <c r="E350" s="62">
        <f>IFERROR(__xludf.DUMMYFUNCTION("AVERAGE(QUERY(SORT(GOOGLEFINANCE(A350,""price"",TODAY()-320,TODAY()),1,0),""select Col2 limit 100""))"),575.8929999999999)</f>
        <v>575.893</v>
      </c>
      <c r="F350" s="44">
        <f>IFERROR(__xludf.DUMMYFUNCTION("GOOGLEFINANCE(A350,""high52"")"),773.8)</f>
        <v>773.8</v>
      </c>
      <c r="G350" s="45">
        <f>IFERROR(__xludf.DUMMYFUNCTION("to_date(index(sort(GOOGLEFINANCE(A350, ""high"", today()-52*7, today(), ""DAILY""),2,0),2,1))"),45835.64583333333)</f>
        <v>45835.64583</v>
      </c>
      <c r="H350" s="44">
        <f>IFERROR(__xludf.DUMMYFUNCTION("GOOGLEFINANCE(A350,""low52"")"),500.7)</f>
        <v>500.7</v>
      </c>
      <c r="I350" s="45">
        <f>IFERROR(__xludf.DUMMYFUNCTION("to_date(index(sort(GOOGLEFINANCE(A350, ""low"", today()-52*7, today(), ""DAILY""),2,1),1,1))"),46049.64583333333)</f>
        <v>46049.64583</v>
      </c>
      <c r="J350" s="46" t="str">
        <f t="shared" si="1"/>
        <v>Do Not Buy Today</v>
      </c>
    </row>
    <row r="351">
      <c r="A351" s="73" t="s">
        <v>568</v>
      </c>
      <c r="B351" s="59">
        <f>IFERROR(__xludf.DUMMYFUNCTION("GOOGLEFINANCE(A351,""price"")"),617.05)</f>
        <v>617.05</v>
      </c>
      <c r="C351" s="60">
        <f>IFERROR(__xludf.DUMMYFUNCTION("GOOGLEFINANCE(A351,""closeyest"")"),609.85)</f>
        <v>609.85</v>
      </c>
      <c r="D351" s="61">
        <f>IFERROR(__xludf.DUMMYFUNCTION("MIN(index(GOOGLEFINANCE(A351,""ALL"",TODAY()-180,TODAY()),0,5))*1.2"),619.14)</f>
        <v>619.14</v>
      </c>
      <c r="E351" s="62">
        <f>IFERROR(__xludf.DUMMYFUNCTION("AVERAGE(QUERY(SORT(GOOGLEFINANCE(A351,""price"",TODAY()-320,TODAY()),1,0),""select Col2 limit 100""))"),593.9654999999999)</f>
        <v>593.9655</v>
      </c>
      <c r="F351" s="44">
        <f>IFERROR(__xludf.DUMMYFUNCTION("GOOGLEFINANCE(A351,""high52"")"),739.4)</f>
        <v>739.4</v>
      </c>
      <c r="G351" s="45">
        <f>IFERROR(__xludf.DUMMYFUNCTION("to_date(index(sort(GOOGLEFINANCE(A351, ""high"", today()-52*7, today(), ""DAILY""),2,0),2,1))"),46153.64583333333)</f>
        <v>46153.64583</v>
      </c>
      <c r="H351" s="44">
        <f>IFERROR(__xludf.DUMMYFUNCTION("GOOGLEFINANCE(A351,""low52"")"),451.4)</f>
        <v>451.4</v>
      </c>
      <c r="I351" s="45">
        <f>IFERROR(__xludf.DUMMYFUNCTION("to_date(index(sort(GOOGLEFINANCE(A351, ""low"", today()-52*7, today(), ""DAILY""),2,1),1,1))"),45805.64583333333)</f>
        <v>45805.64583</v>
      </c>
      <c r="J351" s="46" t="str">
        <f t="shared" si="1"/>
        <v>Do Not Buy Today</v>
      </c>
    </row>
    <row r="352">
      <c r="A352" s="73" t="s">
        <v>569</v>
      </c>
      <c r="B352" s="59">
        <f>IFERROR(__xludf.DUMMYFUNCTION("GOOGLEFINANCE(A352,""price"")"),3982.1)</f>
        <v>3982.1</v>
      </c>
      <c r="C352" s="60">
        <f>IFERROR(__xludf.DUMMYFUNCTION("GOOGLEFINANCE(A352,""closeyest"")"),3851.7)</f>
        <v>3851.7</v>
      </c>
      <c r="D352" s="61">
        <f>IFERROR(__xludf.DUMMYFUNCTION("MIN(index(GOOGLEFINANCE(A352,""ALL"",TODAY()-180,TODAY()),0,5))*1.2"),3628.9199999999996)</f>
        <v>3628.92</v>
      </c>
      <c r="E352" s="62">
        <f>IFERROR(__xludf.DUMMYFUNCTION("AVERAGE(QUERY(SORT(GOOGLEFINANCE(A352,""price"",TODAY()-320,TODAY()),1,0),""select Col2 limit 100""))"),3460.013999999999)</f>
        <v>3460.014</v>
      </c>
      <c r="F352" s="44">
        <f>IFERROR(__xludf.DUMMYFUNCTION("GOOGLEFINANCE(A352,""high52"")"),4492.0)</f>
        <v>4492</v>
      </c>
      <c r="G352" s="45">
        <f>IFERROR(__xludf.DUMMYFUNCTION("to_date(index(sort(GOOGLEFINANCE(A352, ""high"", today()-52*7, today(), ""DAILY""),2,0),2,1))"),46150.64583333333)</f>
        <v>46150.64583</v>
      </c>
      <c r="H352" s="44">
        <f>IFERROR(__xludf.DUMMYFUNCTION("GOOGLEFINANCE(A352,""low52"")"),1700.1)</f>
        <v>1700.1</v>
      </c>
      <c r="I352" s="45">
        <f>IFERROR(__xludf.DUMMYFUNCTION("to_date(index(sort(GOOGLEFINANCE(A352, ""low"", today()-52*7, today(), ""DAILY""),2,1),1,1))"),45827.64583333333)</f>
        <v>45827.64583</v>
      </c>
      <c r="J352" s="46" t="str">
        <f t="shared" si="1"/>
        <v>Do Not Buy Today</v>
      </c>
    </row>
    <row r="353">
      <c r="A353" s="73" t="s">
        <v>570</v>
      </c>
      <c r="B353" s="59">
        <f>IFERROR(__xludf.DUMMYFUNCTION("GOOGLEFINANCE(A353,""price"")"),8610.5)</f>
        <v>8610.5</v>
      </c>
      <c r="C353" s="60">
        <f>IFERROR(__xludf.DUMMYFUNCTION("GOOGLEFINANCE(A353,""closeyest"")"),8667.5)</f>
        <v>8667.5</v>
      </c>
      <c r="D353" s="61">
        <f>IFERROR(__xludf.DUMMYFUNCTION("MIN(index(GOOGLEFINANCE(A353,""ALL"",TODAY()-180,TODAY()),0,5))*1.2"),7855.799999999999)</f>
        <v>7855.8</v>
      </c>
      <c r="E353" s="62">
        <f>IFERROR(__xludf.DUMMYFUNCTION("AVERAGE(QUERY(SORT(GOOGLEFINANCE(A353,""price"",TODAY()-320,TODAY()),1,0),""select Col2 limit 100""))"),7661.25)</f>
        <v>7661.25</v>
      </c>
      <c r="F353" s="44">
        <f>IFERROR(__xludf.DUMMYFUNCTION("GOOGLEFINANCE(A353,""high52"")"),9738.0)</f>
        <v>9738</v>
      </c>
      <c r="G353" s="45">
        <f>IFERROR(__xludf.DUMMYFUNCTION("to_date(index(sort(GOOGLEFINANCE(A353, ""high"", today()-52*7, today(), ""DAILY""),2,0),2,1))"),46150.64583333333)</f>
        <v>46150.64583</v>
      </c>
      <c r="H353" s="44">
        <f>IFERROR(__xludf.DUMMYFUNCTION("GOOGLEFINANCE(A353,""low52"")"),5100.0)</f>
        <v>5100</v>
      </c>
      <c r="I353" s="45">
        <f>IFERROR(__xludf.DUMMYFUNCTION("to_date(index(sort(GOOGLEFINANCE(A353, ""low"", today()-52*7, today(), ""DAILY""),2,1),1,1))"),45831.64583333333)</f>
        <v>45831.64583</v>
      </c>
      <c r="J353" s="46" t="str">
        <f t="shared" si="1"/>
        <v>Do Not Buy Today</v>
      </c>
    </row>
    <row r="354">
      <c r="A354" s="73" t="s">
        <v>571</v>
      </c>
      <c r="B354" s="59">
        <f>IFERROR(__xludf.DUMMYFUNCTION("GOOGLEFINANCE(A354,""price"")"),224.48)</f>
        <v>224.48</v>
      </c>
      <c r="C354" s="60">
        <f>IFERROR(__xludf.DUMMYFUNCTION("GOOGLEFINANCE(A354,""closeyest"")"),224.51)</f>
        <v>224.51</v>
      </c>
      <c r="D354" s="61">
        <f>IFERROR(__xludf.DUMMYFUNCTION("MIN(index(GOOGLEFINANCE(A354,""ALL"",TODAY()-180,TODAY()),0,5))*1.2"),239.93999999999997)</f>
        <v>239.94</v>
      </c>
      <c r="E354" s="62">
        <f>IFERROR(__xludf.DUMMYFUNCTION("AVERAGE(QUERY(SORT(GOOGLEFINANCE(A354,""price"",TODAY()-320,TODAY()),1,0),""select Col2 limit 100""))"),241.82690000000002)</f>
        <v>241.8269</v>
      </c>
      <c r="F354" s="44">
        <f>IFERROR(__xludf.DUMMYFUNCTION("GOOGLEFINANCE(A354,""high52"")"),334.8)</f>
        <v>334.8</v>
      </c>
      <c r="G354" s="45">
        <f>IFERROR(__xludf.DUMMYFUNCTION("to_date(index(sort(GOOGLEFINANCE(A354, ""high"", today()-52*7, today(), ""DAILY""),2,0),2,1))"),45838.64583333333)</f>
        <v>45838.64583</v>
      </c>
      <c r="H354" s="44">
        <f>IFERROR(__xludf.DUMMYFUNCTION("GOOGLEFINANCE(A354,""low52"")"),191.31)</f>
        <v>191.31</v>
      </c>
      <c r="I354" s="45">
        <f>IFERROR(__xludf.DUMMYFUNCTION("to_date(index(sort(GOOGLEFINANCE(A354, ""low"", today()-52*7, today(), ""DAILY""),2,1),1,1))"),46114.64583333333)</f>
        <v>46114.64583</v>
      </c>
      <c r="J354" s="46" t="str">
        <f t="shared" si="1"/>
        <v>Do Not Buy Today</v>
      </c>
    </row>
    <row r="355">
      <c r="A355" s="73" t="s">
        <v>572</v>
      </c>
      <c r="B355" s="59">
        <f>IFERROR(__xludf.DUMMYFUNCTION("GOOGLEFINANCE(A355,""price"")"),806.0)</f>
        <v>806</v>
      </c>
      <c r="C355" s="60">
        <f>IFERROR(__xludf.DUMMYFUNCTION("GOOGLEFINANCE(A355,""closeyest"")"),802.85)</f>
        <v>802.85</v>
      </c>
      <c r="D355" s="61">
        <f>IFERROR(__xludf.DUMMYFUNCTION("MIN(index(GOOGLEFINANCE(A355,""ALL"",TODAY()-180,TODAY()),0,5))*1.2"),857.0400000000001)</f>
        <v>857.04</v>
      </c>
      <c r="E355" s="62">
        <f>IFERROR(__xludf.DUMMYFUNCTION("AVERAGE(QUERY(SORT(GOOGLEFINANCE(A355,""price"",TODAY()-320,TODAY()),1,0),""select Col2 limit 100""))"),895.5930000000001)</f>
        <v>895.593</v>
      </c>
      <c r="F355" s="44">
        <f>IFERROR(__xludf.DUMMYFUNCTION("GOOGLEFINANCE(A355,""high52"")"),1309.5)</f>
        <v>1309.5</v>
      </c>
      <c r="G355" s="45">
        <f>IFERROR(__xludf.DUMMYFUNCTION("to_date(index(sort(GOOGLEFINANCE(A355, ""high"", today()-52*7, today(), ""DAILY""),2,0),2,1))"),45820.64583333333)</f>
        <v>45820.64583</v>
      </c>
      <c r="H355" s="44">
        <f>IFERROR(__xludf.DUMMYFUNCTION("GOOGLEFINANCE(A355,""low52"")"),705.2)</f>
        <v>705.2</v>
      </c>
      <c r="I355" s="45">
        <f>IFERROR(__xludf.DUMMYFUNCTION("to_date(index(sort(GOOGLEFINANCE(A355, ""low"", today()-52*7, today(), ""DAILY""),2,1),1,1))"),46114.64583333333)</f>
        <v>46114.64583</v>
      </c>
      <c r="J355" s="46" t="str">
        <f t="shared" si="1"/>
        <v>Do Not Buy Today</v>
      </c>
    </row>
    <row r="356">
      <c r="A356" s="73" t="s">
        <v>573</v>
      </c>
      <c r="B356" s="59">
        <f>IFERROR(__xludf.DUMMYFUNCTION("GOOGLEFINANCE(A356,""price"")"),27590.0)</f>
        <v>27590</v>
      </c>
      <c r="C356" s="60">
        <f>IFERROR(__xludf.DUMMYFUNCTION("GOOGLEFINANCE(A356,""closeyest"")"),27610.0)</f>
        <v>27610</v>
      </c>
      <c r="D356" s="61">
        <f>IFERROR(__xludf.DUMMYFUNCTION("MIN(index(GOOGLEFINANCE(A356,""ALL"",TODAY()-180,TODAY()),0,5))*1.2"),30216.0)</f>
        <v>30216</v>
      </c>
      <c r="E356" s="62">
        <f>IFERROR(__xludf.DUMMYFUNCTION("AVERAGE(QUERY(SORT(GOOGLEFINANCE(A356,""price"",TODAY()-320,TODAY()),1,0),""select Col2 limit 100""))"),26944.15)</f>
        <v>26944.15</v>
      </c>
      <c r="F356" s="44">
        <f>IFERROR(__xludf.DUMMYFUNCTION("GOOGLEFINANCE(A356,""high52"")"),37000.0)</f>
        <v>37000</v>
      </c>
      <c r="G356" s="45">
        <f>IFERROR(__xludf.DUMMYFUNCTION("to_date(index(sort(GOOGLEFINANCE(A356, ""high"", today()-52*7, today(), ""DAILY""),2,0),2,1))"),45835.64583333333)</f>
        <v>45835.64583</v>
      </c>
      <c r="H356" s="44">
        <f>IFERROR(__xludf.DUMMYFUNCTION("GOOGLEFINANCE(A356,""low52"")"),25150.0)</f>
        <v>25150</v>
      </c>
      <c r="I356" s="45">
        <f>IFERROR(__xludf.DUMMYFUNCTION("to_date(index(sort(GOOGLEFINANCE(A356, ""low"", today()-52*7, today(), ""DAILY""),2,1),1,1))"),46136.64583333333)</f>
        <v>46136.64583</v>
      </c>
      <c r="J356" s="46" t="str">
        <f t="shared" si="1"/>
        <v>Do Not Buy Today</v>
      </c>
    </row>
    <row r="357">
      <c r="A357" s="73" t="s">
        <v>574</v>
      </c>
      <c r="B357" s="59">
        <f>IFERROR(__xludf.DUMMYFUNCTION("GOOGLEFINANCE(A357,""price"")"),1622.6)</f>
        <v>1622.6</v>
      </c>
      <c r="C357" s="60">
        <f>IFERROR(__xludf.DUMMYFUNCTION("GOOGLEFINANCE(A357,""closeyest"")"),1610.6)</f>
        <v>1610.6</v>
      </c>
      <c r="D357" s="61">
        <f>IFERROR(__xludf.DUMMYFUNCTION("MIN(index(GOOGLEFINANCE(A357,""ALL"",TODAY()-180,TODAY()),0,5))*1.2"),1606.9199999999998)</f>
        <v>1606.92</v>
      </c>
      <c r="E357" s="62">
        <f>IFERROR(__xludf.DUMMYFUNCTION("AVERAGE(QUERY(SORT(GOOGLEFINANCE(A357,""price"",TODAY()-320,TODAY()),1,0),""select Col2 limit 100""))"),1596.7609999999997)</f>
        <v>1596.761</v>
      </c>
      <c r="F357" s="44">
        <f>IFERROR(__xludf.DUMMYFUNCTION("GOOGLEFINANCE(A357,""high52"")"),2475.0)</f>
        <v>2475</v>
      </c>
      <c r="G357" s="45">
        <f>IFERROR(__xludf.DUMMYFUNCTION("to_date(index(sort(GOOGLEFINANCE(A357, ""high"", today()-52*7, today(), ""DAILY""),2,0),2,1))"),45835.64583333333)</f>
        <v>45835.64583</v>
      </c>
      <c r="H357" s="44">
        <f>IFERROR(__xludf.DUMMYFUNCTION("GOOGLEFINANCE(A357,""low52"")"),1335.0)</f>
        <v>1335</v>
      </c>
      <c r="I357" s="45">
        <f>IFERROR(__xludf.DUMMYFUNCTION("to_date(index(sort(GOOGLEFINANCE(A357, ""low"", today()-52*7, today(), ""DAILY""),2,1),1,1))"),46085.64583333333)</f>
        <v>46085.64583</v>
      </c>
      <c r="J357" s="46" t="str">
        <f t="shared" si="1"/>
        <v>Do Not Buy Today</v>
      </c>
    </row>
    <row r="358">
      <c r="A358" s="73" t="s">
        <v>575</v>
      </c>
      <c r="B358" s="59">
        <f>IFERROR(__xludf.DUMMYFUNCTION("GOOGLEFINANCE(A358,""price"")"),7310.0)</f>
        <v>7310</v>
      </c>
      <c r="C358" s="60">
        <f>IFERROR(__xludf.DUMMYFUNCTION("GOOGLEFINANCE(A358,""closeyest"")"),7396.0)</f>
        <v>7396</v>
      </c>
      <c r="D358" s="61">
        <f>IFERROR(__xludf.DUMMYFUNCTION("MIN(index(GOOGLEFINANCE(A358,""ALL"",TODAY()-180,TODAY()),0,5))*1.2"),6675.599999999999)</f>
        <v>6675.6</v>
      </c>
      <c r="E358" s="62">
        <f>IFERROR(__xludf.DUMMYFUNCTION("AVERAGE(QUERY(SORT(GOOGLEFINANCE(A358,""price"",TODAY()-320,TODAY()),1,0),""select Col2 limit 100""))"),6338.565)</f>
        <v>6338.565</v>
      </c>
      <c r="F358" s="44">
        <f>IFERROR(__xludf.DUMMYFUNCTION("GOOGLEFINANCE(A358,""high52"")"),7470.0)</f>
        <v>7470</v>
      </c>
      <c r="G358" s="45">
        <f>IFERROR(__xludf.DUMMYFUNCTION("to_date(index(sort(GOOGLEFINANCE(A358, ""high"", today()-52*7, today(), ""DAILY""),2,0),2,1))"),46168.64583333333)</f>
        <v>46168.64583</v>
      </c>
      <c r="H358" s="44">
        <f>IFERROR(__xludf.DUMMYFUNCTION("GOOGLEFINANCE(A358,""low52"")"),4225.0)</f>
        <v>4225</v>
      </c>
      <c r="I358" s="45">
        <f>IFERROR(__xludf.DUMMYFUNCTION("to_date(index(sort(GOOGLEFINANCE(A358, ""low"", today()-52*7, today(), ""DAILY""),2,1),1,1))"),45810.64583333333)</f>
        <v>45810.64583</v>
      </c>
      <c r="J358" s="46" t="str">
        <f t="shared" si="1"/>
        <v>Do Not Buy Today</v>
      </c>
    </row>
    <row r="359">
      <c r="A359" s="73" t="s">
        <v>576</v>
      </c>
      <c r="B359" s="59">
        <f>IFERROR(__xludf.DUMMYFUNCTION("GOOGLEFINANCE(A359,""price"")"),307.5)</f>
        <v>307.5</v>
      </c>
      <c r="C359" s="60">
        <f>IFERROR(__xludf.DUMMYFUNCTION("GOOGLEFINANCE(A359,""closeyest"")"),302.75)</f>
        <v>302.75</v>
      </c>
      <c r="D359" s="61">
        <f>IFERROR(__xludf.DUMMYFUNCTION("MIN(index(GOOGLEFINANCE(A359,""ALL"",TODAY()-180,TODAY()),0,5))*1.2"),238.752)</f>
        <v>238.752</v>
      </c>
      <c r="E359" s="62">
        <f>IFERROR(__xludf.DUMMYFUNCTION("AVERAGE(QUERY(SORT(GOOGLEFINANCE(A359,""price"",TODAY()-320,TODAY()),1,0),""select Col2 limit 100""))"),252.49980000000002)</f>
        <v>252.4998</v>
      </c>
      <c r="F359" s="44">
        <f>IFERROR(__xludf.DUMMYFUNCTION("GOOGLEFINANCE(A359,""high52"")"),324.3)</f>
        <v>324.3</v>
      </c>
      <c r="G359" s="45">
        <f>IFERROR(__xludf.DUMMYFUNCTION("to_date(index(sort(GOOGLEFINANCE(A359, ""high"", today()-52*7, today(), ""DAILY""),2,0),2,1))"),45915.64583333333)</f>
        <v>45915.64583</v>
      </c>
      <c r="H359" s="44">
        <f>IFERROR(__xludf.DUMMYFUNCTION("GOOGLEFINANCE(A359,""low52"")"),195.9)</f>
        <v>195.9</v>
      </c>
      <c r="I359" s="45">
        <f>IFERROR(__xludf.DUMMYFUNCTION("to_date(index(sort(GOOGLEFINANCE(A359, ""low"", today()-52*7, today(), ""DAILY""),2,1),1,1))"),46049.64583333333)</f>
        <v>46049.64583</v>
      </c>
      <c r="J359" s="46" t="str">
        <f t="shared" si="1"/>
        <v>Do Not Buy Today</v>
      </c>
    </row>
    <row r="360">
      <c r="A360" s="73" t="s">
        <v>577</v>
      </c>
      <c r="B360" s="59">
        <f>IFERROR(__xludf.DUMMYFUNCTION("GOOGLEFINANCE(A360,""price"")"),36855.0)</f>
        <v>36855</v>
      </c>
      <c r="C360" s="60">
        <f>IFERROR(__xludf.DUMMYFUNCTION("GOOGLEFINANCE(A360,""closeyest"")"),35995.0)</f>
        <v>35995</v>
      </c>
      <c r="D360" s="61">
        <f>IFERROR(__xludf.DUMMYFUNCTION("MIN(index(GOOGLEFINANCE(A360,""ALL"",TODAY()-180,TODAY()),0,5))*1.2"),19456.8)</f>
        <v>19456.8</v>
      </c>
      <c r="E360" s="62">
        <f>IFERROR(__xludf.DUMMYFUNCTION("AVERAGE(QUERY(SORT(GOOGLEFINANCE(A360,""price"",TODAY()-320,TODAY()),1,0),""select Col2 limit 100""))"),25009.33)</f>
        <v>25009.33</v>
      </c>
      <c r="F360" s="44">
        <f>IFERROR(__xludf.DUMMYFUNCTION("GOOGLEFINANCE(A360,""high52"")"),37220.0)</f>
        <v>37220</v>
      </c>
      <c r="G360" s="45">
        <f>IFERROR(__xludf.DUMMYFUNCTION("to_date(index(sort(GOOGLEFINANCE(A360, ""high"", today()-52*7, today(), ""DAILY""),2,0),2,1))"),46163.64583333333)</f>
        <v>46163.64583</v>
      </c>
      <c r="H360" s="44">
        <f>IFERROR(__xludf.DUMMYFUNCTION("GOOGLEFINANCE(A360,""low52"")"),16111.0)</f>
        <v>16111</v>
      </c>
      <c r="I360" s="45">
        <f>IFERROR(__xludf.DUMMYFUNCTION("to_date(index(sort(GOOGLEFINANCE(A360, ""low"", today()-52*7, today(), ""DAILY""),2,1),1,1))"),46038.64583333333)</f>
        <v>46038.64583</v>
      </c>
      <c r="J360" s="46" t="str">
        <f t="shared" si="1"/>
        <v>Do Not Buy Today</v>
      </c>
    </row>
    <row r="361">
      <c r="A361" s="73" t="s">
        <v>578</v>
      </c>
      <c r="B361" s="59">
        <f>IFERROR(__xludf.DUMMYFUNCTION("GOOGLEFINANCE(A361,""price"")"),1876.0)</f>
        <v>1876</v>
      </c>
      <c r="C361" s="60">
        <f>IFERROR(__xludf.DUMMYFUNCTION("GOOGLEFINANCE(A361,""closeyest"")"),1846.8)</f>
        <v>1846.8</v>
      </c>
      <c r="D361" s="61">
        <f>IFERROR(__xludf.DUMMYFUNCTION("MIN(index(GOOGLEFINANCE(A361,""ALL"",TODAY()-180,TODAY()),0,5))*1.2"),2183.28)</f>
        <v>2183.28</v>
      </c>
      <c r="E361" s="62">
        <f>IFERROR(__xludf.DUMMYFUNCTION("AVERAGE(QUERY(SORT(GOOGLEFINANCE(A361,""price"",TODAY()-320,TODAY()),1,0),""select Col2 limit 100""))"),2115.3260000000005)</f>
        <v>2115.326</v>
      </c>
      <c r="F361" s="44">
        <f>IFERROR(__xludf.DUMMYFUNCTION("GOOGLEFINANCE(A361,""high52"")"),2718.9)</f>
        <v>2718.9</v>
      </c>
      <c r="G361" s="45">
        <f>IFERROR(__xludf.DUMMYFUNCTION("to_date(index(sort(GOOGLEFINANCE(A361, ""high"", today()-52*7, today(), ""DAILY""),2,0),2,1))"),45869.64583333333)</f>
        <v>45869.64583</v>
      </c>
      <c r="H361" s="44">
        <f>IFERROR(__xludf.DUMMYFUNCTION("GOOGLEFINANCE(A361,""low52"")"),1786.0)</f>
        <v>1786</v>
      </c>
      <c r="I361" s="45">
        <f>IFERROR(__xludf.DUMMYFUNCTION("to_date(index(sort(GOOGLEFINANCE(A361, ""low"", today()-52*7, today(), ""DAILY""),2,1),1,1))"),46160.64583333333)</f>
        <v>46160.64583</v>
      </c>
      <c r="J361" s="46" t="str">
        <f t="shared" si="1"/>
        <v>Do Not Buy Today</v>
      </c>
    </row>
    <row r="362">
      <c r="A362" s="73" t="s">
        <v>579</v>
      </c>
      <c r="B362" s="59">
        <f>IFERROR(__xludf.DUMMYFUNCTION("GOOGLEFINANCE(A362,""price"")"),192.14)</f>
        <v>192.14</v>
      </c>
      <c r="C362" s="60">
        <f>IFERROR(__xludf.DUMMYFUNCTION("GOOGLEFINANCE(A362,""closeyest"")"),191.79)</f>
        <v>191.79</v>
      </c>
      <c r="D362" s="61">
        <f>IFERROR(__xludf.DUMMYFUNCTION("MIN(index(GOOGLEFINANCE(A362,""ALL"",TODAY()-180,TODAY()),0,5))*1.2"),178.65599999999998)</f>
        <v>178.656</v>
      </c>
      <c r="E362" s="62">
        <f>IFERROR(__xludf.DUMMYFUNCTION("AVERAGE(QUERY(SORT(GOOGLEFINANCE(A362,""price"",TODAY()-320,TODAY()),1,0),""select Col2 limit 100""))"),194.71259999999998)</f>
        <v>194.7126</v>
      </c>
      <c r="F362" s="44">
        <f>IFERROR(__xludf.DUMMYFUNCTION("GOOGLEFINANCE(A362,""high52"")"),348.9)</f>
        <v>348.9</v>
      </c>
      <c r="G362" s="45">
        <f>IFERROR(__xludf.DUMMYFUNCTION("to_date(index(sort(GOOGLEFINANCE(A362, ""high"", today()-52*7, today(), ""DAILY""),2,0),2,1))"),45820.64583333333)</f>
        <v>45820.64583</v>
      </c>
      <c r="H362" s="44">
        <f>IFERROR(__xludf.DUMMYFUNCTION("GOOGLEFINANCE(A362,""low52"")"),148.0)</f>
        <v>148</v>
      </c>
      <c r="I362" s="45">
        <f>IFERROR(__xludf.DUMMYFUNCTION("to_date(index(sort(GOOGLEFINANCE(A362, ""low"", today()-52*7, today(), ""DAILY""),2,1),1,1))"),46111.64583333333)</f>
        <v>46111.64583</v>
      </c>
      <c r="J362" s="46" t="str">
        <f t="shared" si="1"/>
        <v>Do Not Buy Today</v>
      </c>
    </row>
    <row r="363">
      <c r="A363" s="73" t="s">
        <v>580</v>
      </c>
      <c r="B363" s="59">
        <f>IFERROR(__xludf.DUMMYFUNCTION("GOOGLEFINANCE(A363,""price"")"),1059.1)</f>
        <v>1059.1</v>
      </c>
      <c r="C363" s="60">
        <f>IFERROR(__xludf.DUMMYFUNCTION("GOOGLEFINANCE(A363,""closeyest"")"),1063.9)</f>
        <v>1063.9</v>
      </c>
      <c r="D363" s="61">
        <f>IFERROR(__xludf.DUMMYFUNCTION("MIN(index(GOOGLEFINANCE(A363,""ALL"",TODAY()-180,TODAY()),0,5))*1.2"),1092.42)</f>
        <v>1092.42</v>
      </c>
      <c r="E363" s="62">
        <f>IFERROR(__xludf.DUMMYFUNCTION("AVERAGE(QUERY(SORT(GOOGLEFINANCE(A363,""price"",TODAY()-320,TODAY()),1,0),""select Col2 limit 100""))"),1035.7079999999996)</f>
        <v>1035.708</v>
      </c>
      <c r="F363" s="44">
        <f>IFERROR(__xludf.DUMMYFUNCTION("GOOGLEFINANCE(A363,""high52"")"),1217.5)</f>
        <v>1217.5</v>
      </c>
      <c r="G363" s="45">
        <f>IFERROR(__xludf.DUMMYFUNCTION("to_date(index(sort(GOOGLEFINANCE(A363, ""high"", today()-52*7, today(), ""DAILY""),2,0),2,1))"),46149.64583333333)</f>
        <v>46149.64583</v>
      </c>
      <c r="H363" s="44">
        <f>IFERROR(__xludf.DUMMYFUNCTION("GOOGLEFINANCE(A363,""low52"")"),779.5)</f>
        <v>779.5</v>
      </c>
      <c r="I363" s="45">
        <f>IFERROR(__xludf.DUMMYFUNCTION("to_date(index(sort(GOOGLEFINANCE(A363, ""low"", today()-52*7, today(), ""DAILY""),2,1),1,1))"),45828.64583333333)</f>
        <v>45828.64583</v>
      </c>
      <c r="J363" s="46" t="str">
        <f t="shared" si="1"/>
        <v>Do Not Buy Today</v>
      </c>
    </row>
    <row r="364">
      <c r="A364" s="73" t="s">
        <v>581</v>
      </c>
      <c r="B364" s="59">
        <f>IFERROR(__xludf.DUMMYFUNCTION("GOOGLEFINANCE(A364,""price"")"),2332.0)</f>
        <v>2332</v>
      </c>
      <c r="C364" s="60">
        <f>IFERROR(__xludf.DUMMYFUNCTION("GOOGLEFINANCE(A364,""closeyest"")"),2307.9)</f>
        <v>2307.9</v>
      </c>
      <c r="D364" s="61">
        <f>IFERROR(__xludf.DUMMYFUNCTION("MIN(index(GOOGLEFINANCE(A364,""ALL"",TODAY()-180,TODAY()),0,5))*1.2"),1916.1599999999999)</f>
        <v>1916.16</v>
      </c>
      <c r="E364" s="62">
        <f>IFERROR(__xludf.DUMMYFUNCTION("AVERAGE(QUERY(SORT(GOOGLEFINANCE(A364,""price"",TODAY()-320,TODAY()),1,0),""select Col2 limit 100""))"),1790.4170000000004)</f>
        <v>1790.417</v>
      </c>
      <c r="F364" s="44">
        <f>IFERROR(__xludf.DUMMYFUNCTION("GOOGLEFINANCE(A364,""high52"")"),2396.0)</f>
        <v>2396</v>
      </c>
      <c r="G364" s="45">
        <f>IFERROR(__xludf.DUMMYFUNCTION("to_date(index(sort(GOOGLEFINANCE(A364, ""high"", today()-52*7, today(), ""DAILY""),2,0),2,1))"),46167.64583333333)</f>
        <v>46167.64583</v>
      </c>
      <c r="H364" s="44">
        <f>IFERROR(__xludf.DUMMYFUNCTION("GOOGLEFINANCE(A364,""low52"")"),1513.4)</f>
        <v>1513.4</v>
      </c>
      <c r="I364" s="45">
        <f>IFERROR(__xludf.DUMMYFUNCTION("to_date(index(sort(GOOGLEFINANCE(A364, ""low"", today()-52*7, today(), ""DAILY""),2,1),1,1))"),45806.64583333333)</f>
        <v>45806.64583</v>
      </c>
      <c r="J364" s="46" t="str">
        <f t="shared" si="1"/>
        <v>Do Not Buy Today</v>
      </c>
    </row>
    <row r="365">
      <c r="A365" s="73" t="s">
        <v>582</v>
      </c>
      <c r="B365" s="59">
        <f>IFERROR(__xludf.DUMMYFUNCTION("GOOGLEFINANCE(A365,""price"")"),14790.0)</f>
        <v>14790</v>
      </c>
      <c r="C365" s="60">
        <f>IFERROR(__xludf.DUMMYFUNCTION("GOOGLEFINANCE(A365,""closeyest"")"),14884.0)</f>
        <v>14884</v>
      </c>
      <c r="D365" s="61">
        <f>IFERROR(__xludf.DUMMYFUNCTION("MIN(index(GOOGLEFINANCE(A365,""ALL"",TODAY()-180,TODAY()),0,5))*1.2"),15829.199999999999)</f>
        <v>15829.2</v>
      </c>
      <c r="E365" s="62">
        <f>IFERROR(__xludf.DUMMYFUNCTION("AVERAGE(QUERY(SORT(GOOGLEFINANCE(A365,""price"",TODAY()-320,TODAY()),1,0),""select Col2 limit 100""))"),14563.83)</f>
        <v>14563.83</v>
      </c>
      <c r="F365" s="44">
        <f>IFERROR(__xludf.DUMMYFUNCTION("GOOGLEFINANCE(A365,""high52"")"),16665.0)</f>
        <v>16665</v>
      </c>
      <c r="G365" s="45">
        <f>IFERROR(__xludf.DUMMYFUNCTION("to_date(index(sort(GOOGLEFINANCE(A365, ""high"", today()-52*7, today(), ""DAILY""),2,0),2,1))"),46069.64583333333)</f>
        <v>46069.64583</v>
      </c>
      <c r="H365" s="44">
        <f>IFERROR(__xludf.DUMMYFUNCTION("GOOGLEFINANCE(A365,""low52"")"),12302.0)</f>
        <v>12302</v>
      </c>
      <c r="I365" s="45">
        <f>IFERROR(__xludf.DUMMYFUNCTION("to_date(index(sort(GOOGLEFINANCE(A365, ""low"", today()-52*7, today(), ""DAILY""),2,1),1,1))"),45967.64583333333)</f>
        <v>45967.64583</v>
      </c>
      <c r="J365" s="46" t="str">
        <f t="shared" si="1"/>
        <v>Do Not Buy Today</v>
      </c>
    </row>
    <row r="366">
      <c r="A366" s="73" t="s">
        <v>583</v>
      </c>
      <c r="B366" s="59">
        <f>IFERROR(__xludf.DUMMYFUNCTION("GOOGLEFINANCE(A366,""price"")"),16838.0)</f>
        <v>16838</v>
      </c>
      <c r="C366" s="60">
        <f>IFERROR(__xludf.DUMMYFUNCTION("GOOGLEFINANCE(A366,""closeyest"")"),16531.0)</f>
        <v>16531</v>
      </c>
      <c r="D366" s="61">
        <f>IFERROR(__xludf.DUMMYFUNCTION("MIN(index(GOOGLEFINANCE(A366,""ALL"",TODAY()-180,TODAY()),0,5))*1.2"),17671.2)</f>
        <v>17671.2</v>
      </c>
      <c r="E366" s="62">
        <f>IFERROR(__xludf.DUMMYFUNCTION("AVERAGE(QUERY(SORT(GOOGLEFINANCE(A366,""price"",TODAY()-320,TODAY()),1,0),""select Col2 limit 100""))"),17179.0)</f>
        <v>17179</v>
      </c>
      <c r="F366" s="44">
        <f>IFERROR(__xludf.DUMMYFUNCTION("GOOGLEFINANCE(A366,""high52"")"),19387.0)</f>
        <v>19387</v>
      </c>
      <c r="G366" s="45">
        <f>IFERROR(__xludf.DUMMYFUNCTION("to_date(index(sort(GOOGLEFINANCE(A366, ""high"", today()-52*7, today(), ""DAILY""),2,0),2,1))"),45999.64583333333)</f>
        <v>45999.64583</v>
      </c>
      <c r="H366" s="44">
        <f>IFERROR(__xludf.DUMMYFUNCTION("GOOGLEFINANCE(A366,""low52"")"),13251.0)</f>
        <v>13251</v>
      </c>
      <c r="I366" s="45">
        <f>IFERROR(__xludf.DUMMYFUNCTION("to_date(index(sort(GOOGLEFINANCE(A366, ""low"", today()-52*7, today(), ""DAILY""),2,1),1,1))"),45889.64583333333)</f>
        <v>45889.64583</v>
      </c>
      <c r="J366" s="46" t="str">
        <f t="shared" si="1"/>
        <v>Do Not Buy Today</v>
      </c>
    </row>
    <row r="367">
      <c r="A367" s="73" t="s">
        <v>584</v>
      </c>
      <c r="B367" s="59">
        <f>IFERROR(__xludf.DUMMYFUNCTION("GOOGLEFINANCE(A367,""price"")"),327.8)</f>
        <v>327.8</v>
      </c>
      <c r="C367" s="60">
        <f>IFERROR(__xludf.DUMMYFUNCTION("GOOGLEFINANCE(A367,""closeyest"")"),324.05)</f>
        <v>324.05</v>
      </c>
      <c r="D367" s="61">
        <f>IFERROR(__xludf.DUMMYFUNCTION("MIN(index(GOOGLEFINANCE(A367,""ALL"",TODAY()-180,TODAY()),0,5))*1.2"),295.32)</f>
        <v>295.32</v>
      </c>
      <c r="E367" s="62">
        <f>IFERROR(__xludf.DUMMYFUNCTION("AVERAGE(QUERY(SORT(GOOGLEFINANCE(A367,""price"",TODAY()-320,TODAY()),1,0),""select Col2 limit 100""))"),320.1096999999999)</f>
        <v>320.1097</v>
      </c>
      <c r="F367" s="44">
        <f>IFERROR(__xludf.DUMMYFUNCTION("GOOGLEFINANCE(A367,""high52"")"),478.95)</f>
        <v>478.95</v>
      </c>
      <c r="G367" s="45">
        <f>IFERROR(__xludf.DUMMYFUNCTION("to_date(index(sort(GOOGLEFINANCE(A367, ""high"", today()-52*7, today(), ""DAILY""),2,0),2,1))"),45818.64583333333)</f>
        <v>45818.64583</v>
      </c>
      <c r="H367" s="44">
        <f>IFERROR(__xludf.DUMMYFUNCTION("GOOGLEFINANCE(A367,""low52"")"),245.0)</f>
        <v>245</v>
      </c>
      <c r="I367" s="45">
        <f>IFERROR(__xludf.DUMMYFUNCTION("to_date(index(sort(GOOGLEFINANCE(A367, ""low"", today()-52*7, today(), ""DAILY""),2,1),1,1))"),46111.64583333333)</f>
        <v>46111.64583</v>
      </c>
      <c r="J367" s="46" t="str">
        <f t="shared" si="1"/>
        <v>Do Not Buy Today</v>
      </c>
    </row>
    <row r="368">
      <c r="A368" s="73" t="s">
        <v>585</v>
      </c>
      <c r="B368" s="59">
        <f>IFERROR(__xludf.DUMMYFUNCTION("GOOGLEFINANCE(A368,""price"")"),1610.8)</f>
        <v>1610.8</v>
      </c>
      <c r="C368" s="60">
        <f>IFERROR(__xludf.DUMMYFUNCTION("GOOGLEFINANCE(A368,""closeyest"")"),1652.3)</f>
        <v>1652.3</v>
      </c>
      <c r="D368" s="61">
        <f>IFERROR(__xludf.DUMMYFUNCTION("MIN(index(GOOGLEFINANCE(A368,""ALL"",TODAY()-180,TODAY()),0,5))*1.2"),1621.0800000000002)</f>
        <v>1621.08</v>
      </c>
      <c r="E368" s="62">
        <f>IFERROR(__xludf.DUMMYFUNCTION("AVERAGE(QUERY(SORT(GOOGLEFINANCE(A368,""price"",TODAY()-320,TODAY()),1,0),""select Col2 limit 100""))"),1647.0710000000004)</f>
        <v>1647.071</v>
      </c>
      <c r="F368" s="44">
        <f>IFERROR(__xludf.DUMMYFUNCTION("GOOGLEFINANCE(A368,""high52"")"),2231.6)</f>
        <v>2231.6</v>
      </c>
      <c r="G368" s="45">
        <f>IFERROR(__xludf.DUMMYFUNCTION("to_date(index(sort(GOOGLEFINANCE(A368, ""high"", today()-52*7, today(), ""DAILY""),2,0),2,1))"),45840.64583333333)</f>
        <v>45840.64583</v>
      </c>
      <c r="H368" s="44">
        <f>IFERROR(__xludf.DUMMYFUNCTION("GOOGLEFINANCE(A368,""low52"")"),1305.0)</f>
        <v>1305</v>
      </c>
      <c r="I368" s="45">
        <f>IFERROR(__xludf.DUMMYFUNCTION("to_date(index(sort(GOOGLEFINANCE(A368, ""low"", today()-52*7, today(), ""DAILY""),2,1),1,1))"),46104.64583333333)</f>
        <v>46104.64583</v>
      </c>
      <c r="J368" s="46" t="str">
        <f t="shared" si="1"/>
        <v>Do Not Buy Today</v>
      </c>
    </row>
    <row r="369">
      <c r="A369" s="73" t="s">
        <v>295</v>
      </c>
      <c r="B369" s="59">
        <f>IFERROR(__xludf.DUMMYFUNCTION("GOOGLEFINANCE(A369,""price"")"),898.0)</f>
        <v>898</v>
      </c>
      <c r="C369" s="60">
        <f>IFERROR(__xludf.DUMMYFUNCTION("GOOGLEFINANCE(A369,""closeyest"")"),870.55)</f>
        <v>870.55</v>
      </c>
      <c r="D369" s="61">
        <f>IFERROR(__xludf.DUMMYFUNCTION("MIN(index(GOOGLEFINANCE(A369,""ALL"",TODAY()-180,TODAY()),0,5))*1.2"),753.84)</f>
        <v>753.84</v>
      </c>
      <c r="E369" s="62">
        <f>IFERROR(__xludf.DUMMYFUNCTION("AVERAGE(QUERY(SORT(GOOGLEFINANCE(A369,""price"",TODAY()-320,TODAY()),1,0),""select Col2 limit 100""))"),780.0765000000001)</f>
        <v>780.0765</v>
      </c>
      <c r="F369" s="44">
        <f>IFERROR(__xludf.DUMMYFUNCTION("GOOGLEFINANCE(A369,""high52"")"),1097.1)</f>
        <v>1097.1</v>
      </c>
      <c r="G369" s="45">
        <f>IFERROR(__xludf.DUMMYFUNCTION("to_date(index(sort(GOOGLEFINANCE(A369, ""high"", today()-52*7, today(), ""DAILY""),2,0),2,1))"),45958.64583333333)</f>
        <v>45958.64583</v>
      </c>
      <c r="H369" s="44">
        <f>IFERROR(__xludf.DUMMYFUNCTION("GOOGLEFINANCE(A369,""low52"")"),614.9)</f>
        <v>614.9</v>
      </c>
      <c r="I369" s="45">
        <f>IFERROR(__xludf.DUMMYFUNCTION("to_date(index(sort(GOOGLEFINANCE(A369, ""low"", today()-52*7, today(), ""DAILY""),2,1),1,1))"),46104.64583333333)</f>
        <v>46104.64583</v>
      </c>
      <c r="J369" s="46" t="str">
        <f t="shared" si="1"/>
        <v>Do Not Buy Today</v>
      </c>
    </row>
    <row r="370">
      <c r="A370" s="73" t="s">
        <v>586</v>
      </c>
      <c r="B370" s="59">
        <f>IFERROR(__xludf.DUMMYFUNCTION("GOOGLEFINANCE(A370,""price"")"),402.1)</f>
        <v>402.1</v>
      </c>
      <c r="C370" s="60">
        <f>IFERROR(__xludf.DUMMYFUNCTION("GOOGLEFINANCE(A370,""closeyest"")"),403.9)</f>
        <v>403.9</v>
      </c>
      <c r="D370" s="61">
        <f>IFERROR(__xludf.DUMMYFUNCTION("MIN(index(GOOGLEFINANCE(A370,""ALL"",TODAY()-180,TODAY()),0,5))*1.2"),471.72)</f>
        <v>471.72</v>
      </c>
      <c r="E370" s="62">
        <f>IFERROR(__xludf.DUMMYFUNCTION("AVERAGE(QUERY(SORT(GOOGLEFINANCE(A370,""price"",TODAY()-320,TODAY()),1,0),""select Col2 limit 100""))"),461.1434999999997)</f>
        <v>461.1435</v>
      </c>
      <c r="F370" s="44">
        <f>IFERROR(__xludf.DUMMYFUNCTION("GOOGLEFINANCE(A370,""high52"")"),634.2)</f>
        <v>634.2</v>
      </c>
      <c r="G370" s="45">
        <f>IFERROR(__xludf.DUMMYFUNCTION("to_date(index(sort(GOOGLEFINANCE(A370, ""high"", today()-52*7, today(), ""DAILY""),2,0),2,1))"),45890.64583333333)</f>
        <v>45890.64583</v>
      </c>
      <c r="H370" s="44">
        <f>IFERROR(__xludf.DUMMYFUNCTION("GOOGLEFINANCE(A370,""low52"")"),385.5)</f>
        <v>385.5</v>
      </c>
      <c r="I370" s="45">
        <f>IFERROR(__xludf.DUMMYFUNCTION("to_date(index(sort(GOOGLEFINANCE(A370, ""low"", today()-52*7, today(), ""DAILY""),2,1),1,1))"),46114.64583333333)</f>
        <v>46114.64583</v>
      </c>
      <c r="J370" s="46" t="str">
        <f t="shared" si="1"/>
        <v>Do Not Buy Today</v>
      </c>
    </row>
    <row r="371">
      <c r="A371" s="73" t="s">
        <v>297</v>
      </c>
      <c r="B371" s="59">
        <f>IFERROR(__xludf.DUMMYFUNCTION("GOOGLEFINANCE(A371,""price"")"),429.9)</f>
        <v>429.9</v>
      </c>
      <c r="C371" s="60">
        <f>IFERROR(__xludf.DUMMYFUNCTION("GOOGLEFINANCE(A371,""closeyest"")"),430.05)</f>
        <v>430.05</v>
      </c>
      <c r="D371" s="61">
        <f>IFERROR(__xludf.DUMMYFUNCTION("MIN(index(GOOGLEFINANCE(A371,""ALL"",TODAY()-180,TODAY()),0,5))*1.2"),495.78)</f>
        <v>495.78</v>
      </c>
      <c r="E371" s="62">
        <f>IFERROR(__xludf.DUMMYFUNCTION("AVERAGE(QUERY(SORT(GOOGLEFINANCE(A371,""price"",TODAY()-320,TODAY()),1,0),""select Col2 limit 100""))"),491.8970000000001)</f>
        <v>491.897</v>
      </c>
      <c r="F371" s="44">
        <f>IFERROR(__xludf.DUMMYFUNCTION("GOOGLEFINANCE(A371,""high52"")"),718.95)</f>
        <v>718.95</v>
      </c>
      <c r="G371" s="45">
        <f>IFERROR(__xludf.DUMMYFUNCTION("to_date(index(sort(GOOGLEFINANCE(A371, ""high"", today()-52*7, today(), ""DAILY""),2,0),2,1))"),45839.64583333333)</f>
        <v>45839.64583</v>
      </c>
      <c r="H371" s="44">
        <f>IFERROR(__xludf.DUMMYFUNCTION("GOOGLEFINANCE(A371,""low52"")"),408.8)</f>
        <v>408.8</v>
      </c>
      <c r="I371" s="45">
        <f>IFERROR(__xludf.DUMMYFUNCTION("to_date(index(sort(GOOGLEFINANCE(A371, ""low"", today()-52*7, today(), ""DAILY""),2,1),1,1))"),46129.64583333333)</f>
        <v>46129.64583</v>
      </c>
      <c r="J371" s="46" t="str">
        <f t="shared" si="1"/>
        <v>Do Not Buy Today</v>
      </c>
    </row>
    <row r="372">
      <c r="A372" s="73" t="s">
        <v>587</v>
      </c>
      <c r="B372" s="59">
        <f>IFERROR(__xludf.DUMMYFUNCTION("GOOGLEFINANCE(A372,""price"")"),4558.0)</f>
        <v>4558</v>
      </c>
      <c r="C372" s="60">
        <f>IFERROR(__xludf.DUMMYFUNCTION("GOOGLEFINANCE(A372,""closeyest"")"),4435.8)</f>
        <v>4435.8</v>
      </c>
      <c r="D372" s="61">
        <f>IFERROR(__xludf.DUMMYFUNCTION("MIN(index(GOOGLEFINANCE(A372,""ALL"",TODAY()-180,TODAY()),0,5))*1.2"),3328.56)</f>
        <v>3328.56</v>
      </c>
      <c r="E372" s="62">
        <f>IFERROR(__xludf.DUMMYFUNCTION("AVERAGE(QUERY(SORT(GOOGLEFINANCE(A372,""price"",TODAY()-320,TODAY()),1,0),""select Col2 limit 100""))"),3431.7480000000014)</f>
        <v>3431.748</v>
      </c>
      <c r="F372" s="44">
        <f>IFERROR(__xludf.DUMMYFUNCTION("GOOGLEFINANCE(A372,""high52"")"),4880.0)</f>
        <v>4880</v>
      </c>
      <c r="G372" s="45">
        <f>IFERROR(__xludf.DUMMYFUNCTION("to_date(index(sort(GOOGLEFINANCE(A372, ""high"", today()-52*7, today(), ""DAILY""),2,0),2,1))"),46153.64583333333)</f>
        <v>46153.64583</v>
      </c>
      <c r="H372" s="44">
        <f>IFERROR(__xludf.DUMMYFUNCTION("GOOGLEFINANCE(A372,""low52"")"),2742.7)</f>
        <v>2742.7</v>
      </c>
      <c r="I372" s="45">
        <f>IFERROR(__xludf.DUMMYFUNCTION("to_date(index(sort(GOOGLEFINANCE(A372, ""low"", today()-52*7, today(), ""DAILY""),2,1),1,1))"),46129.64583333333)</f>
        <v>46129.64583</v>
      </c>
      <c r="J372" s="46" t="str">
        <f t="shared" si="1"/>
        <v>Do Not Buy Today</v>
      </c>
    </row>
    <row r="373">
      <c r="A373" s="73" t="s">
        <v>588</v>
      </c>
      <c r="B373" s="59">
        <f>IFERROR(__xludf.DUMMYFUNCTION("GOOGLEFINANCE(A373,""price"")"),1374.0)</f>
        <v>1374</v>
      </c>
      <c r="C373" s="60">
        <f>IFERROR(__xludf.DUMMYFUNCTION("GOOGLEFINANCE(A373,""closeyest"")"),1439.8)</f>
        <v>1439.8</v>
      </c>
      <c r="D373" s="61">
        <f>IFERROR(__xludf.DUMMYFUNCTION("MIN(index(GOOGLEFINANCE(A373,""ALL"",TODAY()-180,TODAY()),0,5))*1.2"),1429.32)</f>
        <v>1429.32</v>
      </c>
      <c r="E373" s="62">
        <f>IFERROR(__xludf.DUMMYFUNCTION("AVERAGE(QUERY(SORT(GOOGLEFINANCE(A373,""price"",TODAY()-320,TODAY()),1,0),""select Col2 limit 100""))"),1473.2760000000003)</f>
        <v>1473.276</v>
      </c>
      <c r="F373" s="44">
        <f>IFERROR(__xludf.DUMMYFUNCTION("GOOGLEFINANCE(A373,""high52"")"),2431.6)</f>
        <v>2431.6</v>
      </c>
      <c r="G373" s="45">
        <f>IFERROR(__xludf.DUMMYFUNCTION("to_date(index(sort(GOOGLEFINANCE(A373, ""high"", today()-52*7, today(), ""DAILY""),2,0),2,1))"),45805.64583333333)</f>
        <v>45805.64583</v>
      </c>
      <c r="H373" s="44">
        <f>IFERROR(__xludf.DUMMYFUNCTION("GOOGLEFINANCE(A373,""low52"")"),1182.0)</f>
        <v>1182</v>
      </c>
      <c r="I373" s="45">
        <f>IFERROR(__xludf.DUMMYFUNCTION("to_date(index(sort(GOOGLEFINANCE(A373, ""low"", today()-52*7, today(), ""DAILY""),2,1),1,1))"),46111.64583333333)</f>
        <v>46111.64583</v>
      </c>
      <c r="J373" s="46" t="str">
        <f t="shared" si="1"/>
        <v>Do Not Buy Today</v>
      </c>
    </row>
    <row r="374">
      <c r="A374" s="73" t="s">
        <v>589</v>
      </c>
      <c r="B374" s="59">
        <f>IFERROR(__xludf.DUMMYFUNCTION("GOOGLEFINANCE(A374,""price"")"),470.45)</f>
        <v>470.45</v>
      </c>
      <c r="C374" s="60">
        <f>IFERROR(__xludf.DUMMYFUNCTION("GOOGLEFINANCE(A374,""closeyest"")"),468.7)</f>
        <v>468.7</v>
      </c>
      <c r="D374" s="61">
        <f>IFERROR(__xludf.DUMMYFUNCTION("MIN(index(GOOGLEFINANCE(A374,""ALL"",TODAY()-180,TODAY()),0,5))*1.2"),500.22)</f>
        <v>500.22</v>
      </c>
      <c r="E374" s="62">
        <f>IFERROR(__xludf.DUMMYFUNCTION("AVERAGE(QUERY(SORT(GOOGLEFINANCE(A374,""price"",TODAY()-320,TODAY()),1,0),""select Col2 limit 100""))"),487.41)</f>
        <v>487.41</v>
      </c>
      <c r="F374" s="44">
        <f>IFERROR(__xludf.DUMMYFUNCTION("GOOGLEFINANCE(A374,""high52"")"),819.2)</f>
        <v>819.2</v>
      </c>
      <c r="G374" s="45">
        <f>IFERROR(__xludf.DUMMYFUNCTION("to_date(index(sort(GOOGLEFINANCE(A374, ""high"", today()-52*7, today(), ""DAILY""),2,0),2,1))"),45847.64583333333)</f>
        <v>45847.64583</v>
      </c>
      <c r="H374" s="44">
        <f>IFERROR(__xludf.DUMMYFUNCTION("GOOGLEFINANCE(A374,""low52"")"),398.4)</f>
        <v>398.4</v>
      </c>
      <c r="I374" s="45">
        <f>IFERROR(__xludf.DUMMYFUNCTION("to_date(index(sort(GOOGLEFINANCE(A374, ""low"", today()-52*7, today(), ""DAILY""),2,1),1,1))"),46104.64583333333)</f>
        <v>46104.64583</v>
      </c>
      <c r="J374" s="46" t="str">
        <f t="shared" si="1"/>
        <v>Do Not Buy Today</v>
      </c>
    </row>
    <row r="375">
      <c r="A375" s="73" t="s">
        <v>298</v>
      </c>
      <c r="B375" s="59">
        <f>IFERROR(__xludf.DUMMYFUNCTION("GOOGLEFINANCE(A375,""price"")"),1544.9)</f>
        <v>1544.9</v>
      </c>
      <c r="C375" s="60">
        <f>IFERROR(__xludf.DUMMYFUNCTION("GOOGLEFINANCE(A375,""closeyest"")"),1558.0)</f>
        <v>1558</v>
      </c>
      <c r="D375" s="61">
        <f>IFERROR(__xludf.DUMMYFUNCTION("MIN(index(GOOGLEFINANCE(A375,""ALL"",TODAY()-180,TODAY()),0,5))*1.2"),1757.64)</f>
        <v>1757.64</v>
      </c>
      <c r="E375" s="62">
        <f>IFERROR(__xludf.DUMMYFUNCTION("AVERAGE(QUERY(SORT(GOOGLEFINANCE(A375,""price"",TODAY()-320,TODAY()),1,0),""select Col2 limit 100""))"),1601.9899999999998)</f>
        <v>1601.99</v>
      </c>
      <c r="F375" s="44">
        <f>IFERROR(__xludf.DUMMYFUNCTION("GOOGLEFINANCE(A375,""high52"")"),2052.9)</f>
        <v>2052.9</v>
      </c>
      <c r="G375" s="45">
        <f>IFERROR(__xludf.DUMMYFUNCTION("to_date(index(sort(GOOGLEFINANCE(A375, ""high"", today()-52*7, today(), ""DAILY""),2,0),2,1))"),45839.64583333333)</f>
        <v>45839.64583</v>
      </c>
      <c r="H375" s="44">
        <f>IFERROR(__xludf.DUMMYFUNCTION("GOOGLEFINANCE(A375,""low52"")"),1439.3)</f>
        <v>1439.3</v>
      </c>
      <c r="I375" s="45">
        <f>IFERROR(__xludf.DUMMYFUNCTION("to_date(index(sort(GOOGLEFINANCE(A375, ""low"", today()-52*7, today(), ""DAILY""),2,1),1,1))"),46114.64583333333)</f>
        <v>46114.64583</v>
      </c>
      <c r="J375" s="46" t="str">
        <f t="shared" si="1"/>
        <v>Do Not Buy Today</v>
      </c>
    </row>
    <row r="376">
      <c r="A376" s="73" t="s">
        <v>590</v>
      </c>
      <c r="B376" s="59">
        <f>IFERROR(__xludf.DUMMYFUNCTION("GOOGLEFINANCE(A376,""price"")"),4636.2)</f>
        <v>4636.2</v>
      </c>
      <c r="C376" s="60">
        <f>IFERROR(__xludf.DUMMYFUNCTION("GOOGLEFINANCE(A376,""closeyest"")"),4500.8)</f>
        <v>4500.8</v>
      </c>
      <c r="D376" s="61">
        <f>IFERROR(__xludf.DUMMYFUNCTION("MIN(index(GOOGLEFINANCE(A376,""ALL"",TODAY()-180,TODAY()),0,5))*1.2"),5147.639999999999)</f>
        <v>5147.64</v>
      </c>
      <c r="E376" s="62">
        <f>IFERROR(__xludf.DUMMYFUNCTION("AVERAGE(QUERY(SORT(GOOGLEFINANCE(A376,""price"",TODAY()-320,TODAY()),1,0),""select Col2 limit 100""))"),4580.533000000001)</f>
        <v>4580.533</v>
      </c>
      <c r="F376" s="44">
        <f>IFERROR(__xludf.DUMMYFUNCTION("GOOGLEFINANCE(A376,""high52"")"),6511.0)</f>
        <v>6511</v>
      </c>
      <c r="G376" s="45">
        <f>IFERROR(__xludf.DUMMYFUNCTION("to_date(index(sort(GOOGLEFINANCE(A376, ""high"", today()-52*7, today(), ""DAILY""),2,0),2,1))"),45845.64583333333)</f>
        <v>45845.64583</v>
      </c>
      <c r="H376" s="44">
        <f>IFERROR(__xludf.DUMMYFUNCTION("GOOGLEFINANCE(A376,""low52"")"),4273.0)</f>
        <v>4273</v>
      </c>
      <c r="I376" s="45">
        <f>IFERROR(__xludf.DUMMYFUNCTION("to_date(index(sort(GOOGLEFINANCE(A376, ""low"", today()-52*7, today(), ""DAILY""),2,1),1,1))"),46129.64583333333)</f>
        <v>46129.64583</v>
      </c>
      <c r="J376" s="46" t="str">
        <f t="shared" si="1"/>
        <v>Do Not Buy Today</v>
      </c>
    </row>
    <row r="377">
      <c r="A377" s="73" t="s">
        <v>300</v>
      </c>
      <c r="B377" s="59">
        <f>IFERROR(__xludf.DUMMYFUNCTION("GOOGLEFINANCE(A377,""price"")"),255.5)</f>
        <v>255.5</v>
      </c>
      <c r="C377" s="60">
        <f>IFERROR(__xludf.DUMMYFUNCTION("GOOGLEFINANCE(A377,""closeyest"")"),259.75)</f>
        <v>259.75</v>
      </c>
      <c r="D377" s="61">
        <f>IFERROR(__xludf.DUMMYFUNCTION("MIN(index(GOOGLEFINANCE(A377,""ALL"",TODAY()-180,TODAY()),0,5))*1.2"),299.58)</f>
        <v>299.58</v>
      </c>
      <c r="E377" s="62">
        <f>IFERROR(__xludf.DUMMYFUNCTION("AVERAGE(QUERY(SORT(GOOGLEFINANCE(A377,""price"",TODAY()-320,TODAY()),1,0),""select Col2 limit 100""))"),303.324)</f>
        <v>303.324</v>
      </c>
      <c r="F377" s="44">
        <f>IFERROR(__xludf.DUMMYFUNCTION("GOOGLEFINANCE(A377,""high52"")"),442.8)</f>
        <v>442.8</v>
      </c>
      <c r="G377" s="45">
        <f>IFERROR(__xludf.DUMMYFUNCTION("to_date(index(sort(GOOGLEFINANCE(A377, ""high"", today()-52*7, today(), ""DAILY""),2,0),2,1))"),45817.64583333333)</f>
        <v>45817.64583</v>
      </c>
      <c r="H377" s="44">
        <f>IFERROR(__xludf.DUMMYFUNCTION("GOOGLEFINANCE(A377,""low52"")"),248.0)</f>
        <v>248</v>
      </c>
      <c r="I377" s="45">
        <f>IFERROR(__xludf.DUMMYFUNCTION("to_date(index(sort(GOOGLEFINANCE(A377, ""low"", today()-52*7, today(), ""DAILY""),2,1),1,1))"),46111.64583333333)</f>
        <v>46111.64583</v>
      </c>
      <c r="J377" s="46" t="str">
        <f t="shared" si="1"/>
        <v>Do Not Buy Today</v>
      </c>
    </row>
    <row r="378">
      <c r="A378" s="73" t="s">
        <v>301</v>
      </c>
      <c r="B378" s="59">
        <f>IFERROR(__xludf.DUMMYFUNCTION("GOOGLEFINANCE(A378,""price"")"),80.57)</f>
        <v>80.57</v>
      </c>
      <c r="C378" s="60">
        <f>IFERROR(__xludf.DUMMYFUNCTION("GOOGLEFINANCE(A378,""closeyest"")"),78.44)</f>
        <v>78.44</v>
      </c>
      <c r="D378" s="61">
        <f>IFERROR(__xludf.DUMMYFUNCTION("MIN(index(GOOGLEFINANCE(A378,""ALL"",TODAY()-180,TODAY()),0,5))*1.2"),86.676)</f>
        <v>86.676</v>
      </c>
      <c r="E378" s="62">
        <f>IFERROR(__xludf.DUMMYFUNCTION("AVERAGE(QUERY(SORT(GOOGLEFINANCE(A378,""price"",TODAY()-320,TODAY()),1,0),""select Col2 limit 100""))"),78.31269999999999)</f>
        <v>78.3127</v>
      </c>
      <c r="F378" s="44">
        <f>IFERROR(__xludf.DUMMYFUNCTION("GOOGLEFINANCE(A378,""high52"")"),92.34)</f>
        <v>92.34</v>
      </c>
      <c r="G378" s="45">
        <f>IFERROR(__xludf.DUMMYFUNCTION("to_date(index(sort(GOOGLEFINANCE(A378, ""high"", today()-52*7, today(), ""DAILY""),2,0),2,1))"),45817.64583333333)</f>
        <v>45817.64583</v>
      </c>
      <c r="H378" s="44">
        <f>IFERROR(__xludf.DUMMYFUNCTION("GOOGLEFINANCE(A378,""low52"")"),71.62)</f>
        <v>71.62</v>
      </c>
      <c r="I378" s="45">
        <f>IFERROR(__xludf.DUMMYFUNCTION("to_date(index(sort(GOOGLEFINANCE(A378, ""low"", today()-52*7, today(), ""DAILY""),2,1),1,1))"),46085.64583333333)</f>
        <v>46085.64583</v>
      </c>
      <c r="J378" s="46" t="str">
        <f t="shared" si="1"/>
        <v>Do Not Buy Today</v>
      </c>
    </row>
    <row r="379">
      <c r="A379" s="73" t="s">
        <v>591</v>
      </c>
      <c r="B379" s="59">
        <f>IFERROR(__xludf.DUMMYFUNCTION("GOOGLEFINANCE(A379,""price"")"),506.85)</f>
        <v>506.85</v>
      </c>
      <c r="C379" s="60">
        <f>IFERROR(__xludf.DUMMYFUNCTION("GOOGLEFINANCE(A379,""closeyest"")"),503.8)</f>
        <v>503.8</v>
      </c>
      <c r="D379" s="61">
        <f>IFERROR(__xludf.DUMMYFUNCTION("MIN(index(GOOGLEFINANCE(A379,""ALL"",TODAY()-180,TODAY()),0,5))*1.2"),486.84)</f>
        <v>486.84</v>
      </c>
      <c r="E379" s="62">
        <f>IFERROR(__xludf.DUMMYFUNCTION("AVERAGE(QUERY(SORT(GOOGLEFINANCE(A379,""price"",TODAY()-320,TODAY()),1,0),""select Col2 limit 100""))"),513.2820000000003)</f>
        <v>513.282</v>
      </c>
      <c r="F379" s="44">
        <f>IFERROR(__xludf.DUMMYFUNCTION("GOOGLEFINANCE(A379,""high52"")"),743.65)</f>
        <v>743.65</v>
      </c>
      <c r="G379" s="45">
        <f>IFERROR(__xludf.DUMMYFUNCTION("to_date(index(sort(GOOGLEFINANCE(A379, ""high"", today()-52*7, today(), ""DAILY""),2,0),2,1))"),45937.64583333333)</f>
        <v>45937.64583</v>
      </c>
      <c r="H379" s="44">
        <f>IFERROR(__xludf.DUMMYFUNCTION("GOOGLEFINANCE(A379,""low52"")"),403.0)</f>
        <v>403</v>
      </c>
      <c r="I379" s="45">
        <f>IFERROR(__xludf.DUMMYFUNCTION("to_date(index(sort(GOOGLEFINANCE(A379, ""low"", today()-52*7, today(), ""DAILY""),2,1),1,1))"),46111.64583333333)</f>
        <v>46111.64583</v>
      </c>
      <c r="J379" s="46" t="str">
        <f t="shared" si="1"/>
        <v>Do Not Buy Today</v>
      </c>
    </row>
    <row r="380">
      <c r="A380" s="73" t="s">
        <v>592</v>
      </c>
      <c r="B380" s="59">
        <f>IFERROR(__xludf.DUMMYFUNCTION("GOOGLEFINANCE(A380,""price"")"),414.85)</f>
        <v>414.85</v>
      </c>
      <c r="C380" s="60">
        <f>IFERROR(__xludf.DUMMYFUNCTION("GOOGLEFINANCE(A380,""closeyest"")"),405.6)</f>
        <v>405.6</v>
      </c>
      <c r="D380" s="61">
        <f>IFERROR(__xludf.DUMMYFUNCTION("MIN(index(GOOGLEFINANCE(A380,""ALL"",TODAY()-180,TODAY()),0,5))*1.2"),400.92)</f>
        <v>400.92</v>
      </c>
      <c r="E380" s="62">
        <f>IFERROR(__xludf.DUMMYFUNCTION("AVERAGE(QUERY(SORT(GOOGLEFINANCE(A380,""price"",TODAY()-320,TODAY()),1,0),""select Col2 limit 100""))"),414.2240000000001)</f>
        <v>414.224</v>
      </c>
      <c r="F380" s="44">
        <f>IFERROR(__xludf.DUMMYFUNCTION("GOOGLEFINANCE(A380,""high52"")"),537.7)</f>
        <v>537.7</v>
      </c>
      <c r="G380" s="45">
        <f>IFERROR(__xludf.DUMMYFUNCTION("to_date(index(sort(GOOGLEFINANCE(A380, ""high"", today()-52*7, today(), ""DAILY""),2,0),2,1))"),45870.64583333333)</f>
        <v>45870.64583</v>
      </c>
      <c r="H380" s="44">
        <f>IFERROR(__xludf.DUMMYFUNCTION("GOOGLEFINANCE(A380,""low52"")"),323.05)</f>
        <v>323.05</v>
      </c>
      <c r="I380" s="45">
        <f>IFERROR(__xludf.DUMMYFUNCTION("to_date(index(sort(GOOGLEFINANCE(A380, ""low"", today()-52*7, today(), ""DAILY""),2,1),1,1))"),46111.64583333333)</f>
        <v>46111.64583</v>
      </c>
      <c r="J380" s="46" t="str">
        <f t="shared" si="1"/>
        <v>Buy Today</v>
      </c>
    </row>
    <row r="381">
      <c r="A381" s="73" t="s">
        <v>593</v>
      </c>
      <c r="B381" s="59">
        <f>IFERROR(__xludf.DUMMYFUNCTION("GOOGLEFINANCE(A381,""price"")"),24.77)</f>
        <v>24.77</v>
      </c>
      <c r="C381" s="60">
        <f>IFERROR(__xludf.DUMMYFUNCTION("GOOGLEFINANCE(A381,""closeyest"")"),24.45)</f>
        <v>24.45</v>
      </c>
      <c r="D381" s="61">
        <f>IFERROR(__xludf.DUMMYFUNCTION("MIN(index(GOOGLEFINANCE(A381,""ALL"",TODAY()-180,TODAY()),0,5))*1.2"),26.471999999999998)</f>
        <v>26.472</v>
      </c>
      <c r="E381" s="62">
        <f>IFERROR(__xludf.DUMMYFUNCTION("AVERAGE(QUERY(SORT(GOOGLEFINANCE(A381,""price"",TODAY()-320,TODAY()),1,0),""select Col2 limit 100""))"),25.4775)</f>
        <v>25.4775</v>
      </c>
      <c r="F381" s="44">
        <f>IFERROR(__xludf.DUMMYFUNCTION("GOOGLEFINANCE(A381,""high52"")"),33.66)</f>
        <v>33.66</v>
      </c>
      <c r="G381" s="45">
        <f>IFERROR(__xludf.DUMMYFUNCTION("to_date(index(sort(GOOGLEFINANCE(A381, ""high"", today()-52*7, today(), ""DAILY""),2,0),2,1))"),45863.64583333333)</f>
        <v>45863.64583</v>
      </c>
      <c r="H381" s="44">
        <f>IFERROR(__xludf.DUMMYFUNCTION("GOOGLEFINANCE(A381,""low52"")"),21.98)</f>
        <v>21.98</v>
      </c>
      <c r="I381" s="45">
        <f>IFERROR(__xludf.DUMMYFUNCTION("to_date(index(sort(GOOGLEFINANCE(A381, ""low"", today()-52*7, today(), ""DAILY""),2,1),1,1))"),46098.64583333333)</f>
        <v>46098.64583</v>
      </c>
      <c r="J381" s="46" t="str">
        <f t="shared" si="1"/>
        <v>Do Not Buy Today</v>
      </c>
    </row>
    <row r="382">
      <c r="A382" s="73" t="s">
        <v>594</v>
      </c>
      <c r="B382" s="59">
        <f>IFERROR(__xludf.DUMMYFUNCTION("GOOGLEFINANCE(A382,""price"")"),525.85)</f>
        <v>525.85</v>
      </c>
      <c r="C382" s="60">
        <f>IFERROR(__xludf.DUMMYFUNCTION("GOOGLEFINANCE(A382,""closeyest"")"),515.55)</f>
        <v>515.55</v>
      </c>
      <c r="D382" s="61">
        <f>IFERROR(__xludf.DUMMYFUNCTION("MIN(index(GOOGLEFINANCE(A382,""ALL"",TODAY()-180,TODAY()),0,5))*1.2"),485.4)</f>
        <v>485.4</v>
      </c>
      <c r="E382" s="62">
        <f>IFERROR(__xludf.DUMMYFUNCTION("AVERAGE(QUERY(SORT(GOOGLEFINANCE(A382,""price"",TODAY()-320,TODAY()),1,0),""select Col2 limit 100""))"),474.23300000000035)</f>
        <v>474.233</v>
      </c>
      <c r="F382" s="44">
        <f>IFERROR(__xludf.DUMMYFUNCTION("GOOGLEFINANCE(A382,""high52"")"),605.0)</f>
        <v>605</v>
      </c>
      <c r="G382" s="45">
        <f>IFERROR(__xludf.DUMMYFUNCTION("to_date(index(sort(GOOGLEFINANCE(A382, ""high"", today()-52*7, today(), ""DAILY""),2,0),2,1))"),45841.64583333333)</f>
        <v>45841.64583</v>
      </c>
      <c r="H382" s="44">
        <f>IFERROR(__xludf.DUMMYFUNCTION("GOOGLEFINANCE(A382,""low52"")"),391.1)</f>
        <v>391.1</v>
      </c>
      <c r="I382" s="45">
        <f>IFERROR(__xludf.DUMMYFUNCTION("to_date(index(sort(GOOGLEFINANCE(A382, ""low"", today()-52*7, today(), ""DAILY""),2,1),1,1))"),46097.64583333333)</f>
        <v>46097.64583</v>
      </c>
      <c r="J382" s="46" t="str">
        <f t="shared" si="1"/>
        <v>Do Not Buy Today</v>
      </c>
    </row>
    <row r="383">
      <c r="A383" s="73" t="s">
        <v>595</v>
      </c>
      <c r="B383" s="59">
        <f>IFERROR(__xludf.DUMMYFUNCTION("GOOGLEFINANCE(A383,""price"")"),1118.7)</f>
        <v>1118.7</v>
      </c>
      <c r="C383" s="60">
        <f>IFERROR(__xludf.DUMMYFUNCTION("GOOGLEFINANCE(A383,""closeyest"")"),1114.9)</f>
        <v>1114.9</v>
      </c>
      <c r="D383" s="61">
        <f>IFERROR(__xludf.DUMMYFUNCTION("MIN(index(GOOGLEFINANCE(A383,""ALL"",TODAY()-180,TODAY()),0,5))*1.2"),1215.84)</f>
        <v>1215.84</v>
      </c>
      <c r="E383" s="62">
        <f>IFERROR(__xludf.DUMMYFUNCTION("AVERAGE(QUERY(SORT(GOOGLEFINANCE(A383,""price"",TODAY()-320,TODAY()),1,0),""select Col2 limit 100""))"),1147.3229999999996)</f>
        <v>1147.323</v>
      </c>
      <c r="F383" s="44">
        <f>IFERROR(__xludf.DUMMYFUNCTION("GOOGLEFINANCE(A383,""high52"")"),1382.0)</f>
        <v>1382</v>
      </c>
      <c r="G383" s="45">
        <f>IFERROR(__xludf.DUMMYFUNCTION("to_date(index(sort(GOOGLEFINANCE(A383, ""high"", today()-52*7, today(), ""DAILY""),2,0),2,1))"),45937.64583333333)</f>
        <v>45937.64583</v>
      </c>
      <c r="H383" s="44">
        <f>IFERROR(__xludf.DUMMYFUNCTION("GOOGLEFINANCE(A383,""low52"")"),982.05)</f>
        <v>982.05</v>
      </c>
      <c r="I383" s="45">
        <f>IFERROR(__xludf.DUMMYFUNCTION("to_date(index(sort(GOOGLEFINANCE(A383, ""low"", today()-52*7, today(), ""DAILY""),2,1),1,1))"),45807.64583333333)</f>
        <v>45807.64583</v>
      </c>
      <c r="J383" s="46" t="str">
        <f t="shared" si="1"/>
        <v>Do Not Buy Today</v>
      </c>
    </row>
    <row r="384">
      <c r="A384" s="73" t="s">
        <v>302</v>
      </c>
      <c r="B384" s="59">
        <f>IFERROR(__xludf.DUMMYFUNCTION("GOOGLEFINANCE(A384,""price"")"),473.65)</f>
        <v>473.65</v>
      </c>
      <c r="C384" s="60">
        <f>IFERROR(__xludf.DUMMYFUNCTION("GOOGLEFINANCE(A384,""closeyest"")"),475.9)</f>
        <v>475.9</v>
      </c>
      <c r="D384" s="61">
        <f>IFERROR(__xludf.DUMMYFUNCTION("MIN(index(GOOGLEFINANCE(A384,""ALL"",TODAY()-180,TODAY()),0,5))*1.2"),508.5)</f>
        <v>508.5</v>
      </c>
      <c r="E384" s="62">
        <f>IFERROR(__xludf.DUMMYFUNCTION("AVERAGE(QUERY(SORT(GOOGLEFINANCE(A384,""price"",TODAY()-320,TODAY()),1,0),""select Col2 limit 100""))"),496.5335)</f>
        <v>496.5335</v>
      </c>
      <c r="F384" s="44">
        <f>IFERROR(__xludf.DUMMYFUNCTION("GOOGLEFINANCE(A384,""high52"")"),652.04)</f>
        <v>652.04</v>
      </c>
      <c r="G384" s="45">
        <f>IFERROR(__xludf.DUMMYFUNCTION("to_date(index(sort(GOOGLEFINANCE(A384, ""high"", today()-52*7, today(), ""DAILY""),2,0),2,1))"),45813.64583333333)</f>
        <v>45813.64583</v>
      </c>
      <c r="H384" s="44">
        <f>IFERROR(__xludf.DUMMYFUNCTION("GOOGLEFINANCE(A384,""low52"")"),421.45)</f>
        <v>421.45</v>
      </c>
      <c r="I384" s="45">
        <f>IFERROR(__xludf.DUMMYFUNCTION("to_date(index(sort(GOOGLEFINANCE(A384, ""low"", today()-52*7, today(), ""DAILY""),2,1),1,1))"),46104.64583333333)</f>
        <v>46104.64583</v>
      </c>
      <c r="J384" s="46" t="str">
        <f t="shared" si="1"/>
        <v>Do Not Buy Today</v>
      </c>
    </row>
    <row r="385">
      <c r="A385" s="73" t="s">
        <v>596</v>
      </c>
      <c r="B385" s="59">
        <f>IFERROR(__xludf.DUMMYFUNCTION("GOOGLEFINANCE(A385,""price"")"),41.73)</f>
        <v>41.73</v>
      </c>
      <c r="C385" s="60">
        <f>IFERROR(__xludf.DUMMYFUNCTION("GOOGLEFINANCE(A385,""closeyest"")"),41.73)</f>
        <v>41.73</v>
      </c>
      <c r="D385" s="61">
        <f>IFERROR(__xludf.DUMMYFUNCTION("MIN(index(GOOGLEFINANCE(A385,""ALL"",TODAY()-180,TODAY()),0,5))*1.2"),43.62)</f>
        <v>43.62</v>
      </c>
      <c r="E385" s="62">
        <f>IFERROR(__xludf.DUMMYFUNCTION("AVERAGE(QUERY(SORT(GOOGLEFINANCE(A385,""price"",TODAY()-320,TODAY()),1,0),""select Col2 limit 100""))"),44.759300000000025)</f>
        <v>44.7593</v>
      </c>
      <c r="F385" s="44">
        <f>IFERROR(__xludf.DUMMYFUNCTION("GOOGLEFINANCE(A385,""high52"")"),57.89)</f>
        <v>57.89</v>
      </c>
      <c r="G385" s="45">
        <f>IFERROR(__xludf.DUMMYFUNCTION("to_date(index(sort(GOOGLEFINANCE(A385, ""high"", today()-52*7, today(), ""DAILY""),2,0),2,1))"),45960.64583333333)</f>
        <v>45960.64583</v>
      </c>
      <c r="H385" s="44">
        <f>IFERROR(__xludf.DUMMYFUNCTION("GOOGLEFINANCE(A385,""low52"")"),35.83)</f>
        <v>35.83</v>
      </c>
      <c r="I385" s="45">
        <f>IFERROR(__xludf.DUMMYFUNCTION("to_date(index(sort(GOOGLEFINANCE(A385, ""low"", today()-52*7, today(), ""DAILY""),2,1),1,1))"),46104.64583333333)</f>
        <v>46104.64583</v>
      </c>
      <c r="J385" s="46" t="str">
        <f t="shared" si="1"/>
        <v>Do Not Buy Today</v>
      </c>
    </row>
    <row r="386">
      <c r="A386" s="73" t="s">
        <v>303</v>
      </c>
      <c r="B386" s="59">
        <f>IFERROR(__xludf.DUMMYFUNCTION("GOOGLEFINANCE(A386,""price"")"),97.08)</f>
        <v>97.08</v>
      </c>
      <c r="C386" s="60">
        <f>IFERROR(__xludf.DUMMYFUNCTION("GOOGLEFINANCE(A386,""closeyest"")"),96.23)</f>
        <v>96.23</v>
      </c>
      <c r="D386" s="61">
        <f>IFERROR(__xludf.DUMMYFUNCTION("MIN(index(GOOGLEFINANCE(A386,""ALL"",TODAY()-180,TODAY()),0,5))*1.2"),101.7)</f>
        <v>101.7</v>
      </c>
      <c r="E386" s="62">
        <f>IFERROR(__xludf.DUMMYFUNCTION("AVERAGE(QUERY(SORT(GOOGLEFINANCE(A386,""price"",TODAY()-320,TODAY()),1,0),""select Col2 limit 100""))"),96.53330000000005)</f>
        <v>96.5333</v>
      </c>
      <c r="F386" s="44">
        <f>IFERROR(__xludf.DUMMYFUNCTION("GOOGLEFINANCE(A386,""high52"")"),110.36)</f>
        <v>110.36</v>
      </c>
      <c r="G386" s="45">
        <f>IFERROR(__xludf.DUMMYFUNCTION("to_date(index(sort(GOOGLEFINANCE(A386, ""high"", today()-52*7, today(), ""DAILY""),2,0),2,1))"),45993.64583333333)</f>
        <v>45993.64583</v>
      </c>
      <c r="H386" s="44">
        <f>IFERROR(__xludf.DUMMYFUNCTION("GOOGLEFINANCE(A386,""low52"")"),79.92)</f>
        <v>79.92</v>
      </c>
      <c r="I386" s="45">
        <f>IFERROR(__xludf.DUMMYFUNCTION("to_date(index(sort(GOOGLEFINANCE(A386, ""low"", today()-52*7, today(), ""DAILY""),2,1),1,1))"),45821.64583333333)</f>
        <v>45821.64583</v>
      </c>
      <c r="J386" s="46" t="str">
        <f t="shared" si="1"/>
        <v>Do Not Buy Today</v>
      </c>
    </row>
    <row r="387">
      <c r="A387" s="73" t="s">
        <v>597</v>
      </c>
      <c r="B387" s="59">
        <f>IFERROR(__xludf.DUMMYFUNCTION("GOOGLEFINANCE(A387,""price"")"),1238.9)</f>
        <v>1238.9</v>
      </c>
      <c r="C387" s="60">
        <f>IFERROR(__xludf.DUMMYFUNCTION("GOOGLEFINANCE(A387,""closeyest"")"),1259.6)</f>
        <v>1259.6</v>
      </c>
      <c r="D387" s="61">
        <f>IFERROR(__xludf.DUMMYFUNCTION("MIN(index(GOOGLEFINANCE(A387,""ALL"",TODAY()-180,TODAY()),0,5))*1.2"),1033.6799999999998)</f>
        <v>1033.68</v>
      </c>
      <c r="E387" s="62">
        <f>IFERROR(__xludf.DUMMYFUNCTION("AVERAGE(QUERY(SORT(GOOGLEFINANCE(A387,""price"",TODAY()-320,TODAY()),1,0),""select Col2 limit 100""))"),1032.5699999999997)</f>
        <v>1032.57</v>
      </c>
      <c r="F387" s="44">
        <f>IFERROR(__xludf.DUMMYFUNCTION("GOOGLEFINANCE(A387,""high52"")"),1379.3)</f>
        <v>1379.3</v>
      </c>
      <c r="G387" s="45">
        <f>IFERROR(__xludf.DUMMYFUNCTION("to_date(index(sort(GOOGLEFINANCE(A387, ""high"", today()-52*7, today(), ""DAILY""),2,0),2,1))"),46157.64583333333)</f>
        <v>46157.64583</v>
      </c>
      <c r="H387" s="44">
        <f>IFERROR(__xludf.DUMMYFUNCTION("GOOGLEFINANCE(A387,""low52"")"),848.0)</f>
        <v>848</v>
      </c>
      <c r="I387" s="45">
        <f>IFERROR(__xludf.DUMMYFUNCTION("to_date(index(sort(GOOGLEFINANCE(A387, ""low"", today()-52*7, today(), ""DAILY""),2,1),1,1))"),46111.64583333333)</f>
        <v>46111.64583</v>
      </c>
      <c r="J387" s="46" t="str">
        <f t="shared" si="1"/>
        <v>Do Not Buy Today</v>
      </c>
    </row>
    <row r="388">
      <c r="A388" s="73" t="s">
        <v>304</v>
      </c>
      <c r="B388" s="59">
        <f>IFERROR(__xludf.DUMMYFUNCTION("GOOGLEFINANCE(A388,""price"")"),1032.0)</f>
        <v>1032</v>
      </c>
      <c r="C388" s="60">
        <f>IFERROR(__xludf.DUMMYFUNCTION("GOOGLEFINANCE(A388,""closeyest"")"),1016.8)</f>
        <v>1016.8</v>
      </c>
      <c r="D388" s="61">
        <f>IFERROR(__xludf.DUMMYFUNCTION("MIN(index(GOOGLEFINANCE(A388,""ALL"",TODAY()-180,TODAY()),0,5))*1.2"),819.72)</f>
        <v>819.72</v>
      </c>
      <c r="E388" s="62">
        <f>IFERROR(__xludf.DUMMYFUNCTION("AVERAGE(QUERY(SORT(GOOGLEFINANCE(A388,""price"",TODAY()-320,TODAY()),1,0),""select Col2 limit 100""))"),857.9099999999997)</f>
        <v>857.91</v>
      </c>
      <c r="F388" s="44">
        <f>IFERROR(__xludf.DUMMYFUNCTION("GOOGLEFINANCE(A388,""high52"")"),1136.4)</f>
        <v>1136.4</v>
      </c>
      <c r="G388" s="45">
        <f>IFERROR(__xludf.DUMMYFUNCTION("to_date(index(sort(GOOGLEFINANCE(A388, ""high"", today()-52*7, today(), ""DAILY""),2,0),2,1))"),45853.64583333333)</f>
        <v>45853.64583</v>
      </c>
      <c r="H388" s="44">
        <f>IFERROR(__xludf.DUMMYFUNCTION("GOOGLEFINANCE(A388,""low52"")"),660.0)</f>
        <v>660</v>
      </c>
      <c r="I388" s="45">
        <f>IFERROR(__xludf.DUMMYFUNCTION("to_date(index(sort(GOOGLEFINANCE(A388, ""low"", today()-52*7, today(), ""DAILY""),2,1),1,1))"),46078.64583333333)</f>
        <v>46078.64583</v>
      </c>
      <c r="J388" s="46" t="str">
        <f t="shared" si="1"/>
        <v>Do Not Buy Today</v>
      </c>
    </row>
    <row r="389">
      <c r="A389" s="73" t="s">
        <v>598</v>
      </c>
      <c r="B389" s="59" t="str">
        <f>IFERROR(__xludf.DUMMYFUNCTION("GOOGLEFINANCE(A389,""price"")"),"#N/A")</f>
        <v>#N/A</v>
      </c>
      <c r="C389" s="60" t="str">
        <f>IFERROR(__xludf.DUMMYFUNCTION("GOOGLEFINANCE(A389,""closeyest"")"),"#N/A")</f>
        <v>#N/A</v>
      </c>
      <c r="D389" s="61" t="str">
        <f>IFERROR(__xludf.DUMMYFUNCTION("MIN(index(GOOGLEFINANCE(A389,""ALL"",TODAY()-180,TODAY()),0,5))*1.2"),"#N/A")</f>
        <v>#N/A</v>
      </c>
      <c r="E389" s="62" t="str">
        <f>IFERROR(__xludf.DUMMYFUNCTION("AVERAGE(QUERY(SORT(GOOGLEFINANCE(A389,""price"",TODAY()-320,TODAY()),1,0),""select Col2 limit 100""))"),"#N/A")</f>
        <v>#N/A</v>
      </c>
      <c r="F389" s="44" t="str">
        <f>IFERROR(__xludf.DUMMYFUNCTION("GOOGLEFINANCE(A389,""high52"")"),"#N/A")</f>
        <v>#N/A</v>
      </c>
      <c r="G389" s="45" t="str">
        <f>IFERROR(__xludf.DUMMYFUNCTION("to_date(index(sort(GOOGLEFINANCE(A389, ""high"", today()-52*7, today(), ""DAILY""),2,0),2,1))"),"#N/A")</f>
        <v>#N/A</v>
      </c>
      <c r="H389" s="44" t="str">
        <f>IFERROR(__xludf.DUMMYFUNCTION("GOOGLEFINANCE(A389,""low52"")"),"#N/A")</f>
        <v>#N/A</v>
      </c>
      <c r="I389" s="45" t="str">
        <f>IFERROR(__xludf.DUMMYFUNCTION("to_date(index(sort(GOOGLEFINANCE(A389, ""low"", today()-52*7, today(), ""DAILY""),2,1),1,1))"),"#N/A")</f>
        <v>#N/A</v>
      </c>
      <c r="J389" s="46" t="str">
        <f t="shared" si="1"/>
        <v>#N/A</v>
      </c>
    </row>
    <row r="390">
      <c r="A390" s="73" t="s">
        <v>599</v>
      </c>
      <c r="B390" s="59">
        <f>IFERROR(__xludf.DUMMYFUNCTION("GOOGLEFINANCE(A390,""price"")"),7514.0)</f>
        <v>7514</v>
      </c>
      <c r="C390" s="60">
        <f>IFERROR(__xludf.DUMMYFUNCTION("GOOGLEFINANCE(A390,""closeyest"")"),7312.0)</f>
        <v>7312</v>
      </c>
      <c r="D390" s="61">
        <f>IFERROR(__xludf.DUMMYFUNCTION("MIN(index(GOOGLEFINANCE(A390,""ALL"",TODAY()-180,TODAY()),0,5))*1.2"),6612.0)</f>
        <v>6612</v>
      </c>
      <c r="E390" s="62">
        <f>IFERROR(__xludf.DUMMYFUNCTION("AVERAGE(QUERY(SORT(GOOGLEFINANCE(A390,""price"",TODAY()-320,TODAY()),1,0),""select Col2 limit 100""))"),7125.395)</f>
        <v>7125.395</v>
      </c>
      <c r="F390" s="44">
        <f>IFERROR(__xludf.DUMMYFUNCTION("GOOGLEFINANCE(A390,""high52"")"),8974.0)</f>
        <v>8974</v>
      </c>
      <c r="G390" s="45">
        <f>IFERROR(__xludf.DUMMYFUNCTION("to_date(index(sort(GOOGLEFINANCE(A390, ""high"", today()-52*7, today(), ""DAILY""),2,0),2,1))"),46149.64583333333)</f>
        <v>46149.64583</v>
      </c>
      <c r="H390" s="44">
        <f>IFERROR(__xludf.DUMMYFUNCTION("GOOGLEFINANCE(A390,""low52"")"),5400.5)</f>
        <v>5400.5</v>
      </c>
      <c r="I390" s="45">
        <f>IFERROR(__xludf.DUMMYFUNCTION("to_date(index(sort(GOOGLEFINANCE(A390, ""low"", today()-52*7, today(), ""DAILY""),2,1),1,1))"),46049.64583333333)</f>
        <v>46049.64583</v>
      </c>
      <c r="J390" s="46" t="str">
        <f t="shared" si="1"/>
        <v>Do Not Buy Today</v>
      </c>
    </row>
    <row r="391">
      <c r="A391" s="73" t="s">
        <v>600</v>
      </c>
      <c r="B391" s="59">
        <f>IFERROR(__xludf.DUMMYFUNCTION("GOOGLEFINANCE(A391,""price"")"),132.73)</f>
        <v>132.73</v>
      </c>
      <c r="C391" s="60">
        <f>IFERROR(__xludf.DUMMYFUNCTION("GOOGLEFINANCE(A391,""closeyest"")"),133.14)</f>
        <v>133.14</v>
      </c>
      <c r="D391" s="61">
        <f>IFERROR(__xludf.DUMMYFUNCTION("MIN(index(GOOGLEFINANCE(A391,""ALL"",TODAY()-180,TODAY()),0,5))*1.2"),131.544)</f>
        <v>131.544</v>
      </c>
      <c r="E391" s="62">
        <f>IFERROR(__xludf.DUMMYFUNCTION("AVERAGE(QUERY(SORT(GOOGLEFINANCE(A391,""price"",TODAY()-320,TODAY()),1,0),""select Col2 limit 100""))"),133.95500000000004)</f>
        <v>133.955</v>
      </c>
      <c r="F391" s="44">
        <f>IFERROR(__xludf.DUMMYFUNCTION("GOOGLEFINANCE(A391,""high52"")"),245.0)</f>
        <v>245</v>
      </c>
      <c r="G391" s="45">
        <f>IFERROR(__xludf.DUMMYFUNCTION("to_date(index(sort(GOOGLEFINANCE(A391, ""high"", today()-52*7, today(), ""DAILY""),2,0),2,1))"),45834.64583333333)</f>
        <v>45834.64583</v>
      </c>
      <c r="H391" s="44">
        <f>IFERROR(__xludf.DUMMYFUNCTION("GOOGLEFINANCE(A391,""low52"")"),108.65)</f>
        <v>108.65</v>
      </c>
      <c r="I391" s="45">
        <f>IFERROR(__xludf.DUMMYFUNCTION("to_date(index(sort(GOOGLEFINANCE(A391, ""low"", today()-52*7, today(), ""DAILY""),2,1),1,1))"),46108.64583333333)</f>
        <v>46108.64583</v>
      </c>
      <c r="J391" s="46" t="str">
        <f t="shared" si="1"/>
        <v>Do Not Buy Today</v>
      </c>
    </row>
    <row r="392">
      <c r="A392" s="73" t="s">
        <v>601</v>
      </c>
      <c r="B392" s="59">
        <f>IFERROR(__xludf.DUMMYFUNCTION("GOOGLEFINANCE(A392,""price"")"),750.9)</f>
        <v>750.9</v>
      </c>
      <c r="C392" s="60">
        <f>IFERROR(__xludf.DUMMYFUNCTION("GOOGLEFINANCE(A392,""closeyest"")"),757.6)</f>
        <v>757.6</v>
      </c>
      <c r="D392" s="61">
        <f>IFERROR(__xludf.DUMMYFUNCTION("MIN(index(GOOGLEFINANCE(A392,""ALL"",TODAY()-180,TODAY()),0,5))*1.2"),645.5400000000001)</f>
        <v>645.54</v>
      </c>
      <c r="E392" s="62">
        <f>IFERROR(__xludf.DUMMYFUNCTION("AVERAGE(QUERY(SORT(GOOGLEFINANCE(A392,""price"",TODAY()-320,TODAY()),1,0),""select Col2 limit 100""))"),650.1199999999999)</f>
        <v>650.12</v>
      </c>
      <c r="F392" s="44">
        <f>IFERROR(__xludf.DUMMYFUNCTION("GOOGLEFINANCE(A392,""high52"")"),776.55)</f>
        <v>776.55</v>
      </c>
      <c r="G392" s="45">
        <f>IFERROR(__xludf.DUMMYFUNCTION("to_date(index(sort(GOOGLEFINANCE(A392, ""high"", today()-52*7, today(), ""DAILY""),2,0),2,1))"),46163.64583333333)</f>
        <v>46163.64583</v>
      </c>
      <c r="H392" s="44">
        <f>IFERROR(__xludf.DUMMYFUNCTION("GOOGLEFINANCE(A392,""low52"")"),519.1)</f>
        <v>519.1</v>
      </c>
      <c r="I392" s="45">
        <f>IFERROR(__xludf.DUMMYFUNCTION("to_date(index(sort(GOOGLEFINANCE(A392, ""low"", today()-52*7, today(), ""DAILY""),2,1),1,1))"),46057.64583333333)</f>
        <v>46057.64583</v>
      </c>
      <c r="J392" s="46" t="str">
        <f t="shared" si="1"/>
        <v>Do Not Buy Today</v>
      </c>
    </row>
    <row r="393">
      <c r="A393" s="73" t="s">
        <v>602</v>
      </c>
      <c r="B393" s="59">
        <f>IFERROR(__xludf.DUMMYFUNCTION("GOOGLEFINANCE(A393,""price"")"),131.55)</f>
        <v>131.55</v>
      </c>
      <c r="C393" s="60">
        <f>IFERROR(__xludf.DUMMYFUNCTION("GOOGLEFINANCE(A393,""closeyest"")"),132.51)</f>
        <v>132.51</v>
      </c>
      <c r="D393" s="61">
        <f>IFERROR(__xludf.DUMMYFUNCTION("MIN(index(GOOGLEFINANCE(A393,""ALL"",TODAY()-180,TODAY()),0,5))*1.2"),136.332)</f>
        <v>136.332</v>
      </c>
      <c r="E393" s="62">
        <f>IFERROR(__xludf.DUMMYFUNCTION("AVERAGE(QUERY(SORT(GOOGLEFINANCE(A393,""price"",TODAY()-320,TODAY()),1,0),""select Col2 limit 100""))"),132.46209999999996)</f>
        <v>132.4621</v>
      </c>
      <c r="F393" s="44">
        <f>IFERROR(__xludf.DUMMYFUNCTION("GOOGLEFINANCE(A393,""high52"")"),199.8)</f>
        <v>199.8</v>
      </c>
      <c r="G393" s="45">
        <f>IFERROR(__xludf.DUMMYFUNCTION("to_date(index(sort(GOOGLEFINANCE(A393, ""high"", today()-52*7, today(), ""DAILY""),2,0),2,1))"),45891.64583333333)</f>
        <v>45891.64583</v>
      </c>
      <c r="H393" s="44">
        <f>IFERROR(__xludf.DUMMYFUNCTION("GOOGLEFINANCE(A393,""low52"")"),112.0)</f>
        <v>112</v>
      </c>
      <c r="I393" s="45">
        <f>IFERROR(__xludf.DUMMYFUNCTION("to_date(index(sort(GOOGLEFINANCE(A393, ""low"", today()-52*7, today(), ""DAILY""),2,1),1,1))"),46111.64583333333)</f>
        <v>46111.64583</v>
      </c>
      <c r="J393" s="46" t="str">
        <f t="shared" si="1"/>
        <v>Do Not Buy Today</v>
      </c>
    </row>
    <row r="394">
      <c r="A394" s="73" t="s">
        <v>603</v>
      </c>
      <c r="B394" s="59">
        <f>IFERROR(__xludf.DUMMYFUNCTION("GOOGLEFINANCE(A394,""price"")"),1454.6)</f>
        <v>1454.6</v>
      </c>
      <c r="C394" s="60">
        <f>IFERROR(__xludf.DUMMYFUNCTION("GOOGLEFINANCE(A394,""closeyest"")"),1448.7)</f>
        <v>1448.7</v>
      </c>
      <c r="D394" s="61">
        <f>IFERROR(__xludf.DUMMYFUNCTION("MIN(index(GOOGLEFINANCE(A394,""ALL"",TODAY()-180,TODAY()),0,5))*1.2"),1046.52)</f>
        <v>1046.52</v>
      </c>
      <c r="E394" s="62">
        <f>IFERROR(__xludf.DUMMYFUNCTION("AVERAGE(QUERY(SORT(GOOGLEFINANCE(A394,""price"",TODAY()-320,TODAY()),1,0),""select Col2 limit 100""))"),1128.2725)</f>
        <v>1128.2725</v>
      </c>
      <c r="F394" s="44">
        <f>IFERROR(__xludf.DUMMYFUNCTION("GOOGLEFINANCE(A394,""high52"")"),1778.6)</f>
        <v>1778.6</v>
      </c>
      <c r="G394" s="45">
        <f>IFERROR(__xludf.DUMMYFUNCTION("to_date(index(sort(GOOGLEFINANCE(A394, ""high"", today()-52*7, today(), ""DAILY""),2,0),2,1))"),45841.64583333333)</f>
        <v>45841.64583</v>
      </c>
      <c r="H394" s="44">
        <f>IFERROR(__xludf.DUMMYFUNCTION("GOOGLEFINANCE(A394,""low52"")"),866.4)</f>
        <v>866.4</v>
      </c>
      <c r="I394" s="45">
        <f>IFERROR(__xludf.DUMMYFUNCTION("to_date(index(sort(GOOGLEFINANCE(A394, ""low"", today()-52*7, today(), ""DAILY""),2,1),1,1))"),46104.64583333333)</f>
        <v>46104.64583</v>
      </c>
      <c r="J394" s="46" t="str">
        <f t="shared" si="1"/>
        <v>Do Not Buy Today</v>
      </c>
    </row>
    <row r="395">
      <c r="A395" s="73" t="s">
        <v>604</v>
      </c>
      <c r="B395" s="59">
        <f>IFERROR(__xludf.DUMMYFUNCTION("GOOGLEFINANCE(A395,""price"")"),708.8)</f>
        <v>708.8</v>
      </c>
      <c r="C395" s="60">
        <f>IFERROR(__xludf.DUMMYFUNCTION("GOOGLEFINANCE(A395,""closeyest"")"),710.55)</f>
        <v>710.55</v>
      </c>
      <c r="D395" s="61">
        <f>IFERROR(__xludf.DUMMYFUNCTION("MIN(index(GOOGLEFINANCE(A395,""ALL"",TODAY()-180,TODAY()),0,5))*1.2"),718.2599999999999)</f>
        <v>718.26</v>
      </c>
      <c r="E395" s="62">
        <f>IFERROR(__xludf.DUMMYFUNCTION("AVERAGE(QUERY(SORT(GOOGLEFINANCE(A395,""price"",TODAY()-320,TODAY()),1,0),""select Col2 limit 100""))"),756.1339999999999)</f>
        <v>756.134</v>
      </c>
      <c r="F395" s="44">
        <f>IFERROR(__xludf.DUMMYFUNCTION("GOOGLEFINANCE(A395,""high52"")"),1255.0)</f>
        <v>1255</v>
      </c>
      <c r="G395" s="45">
        <f>IFERROR(__xludf.DUMMYFUNCTION("to_date(index(sort(GOOGLEFINANCE(A395, ""high"", today()-52*7, today(), ""DAILY""),2,0),2,1))"),45825.64583333333)</f>
        <v>45825.64583</v>
      </c>
      <c r="H395" s="44">
        <f>IFERROR(__xludf.DUMMYFUNCTION("GOOGLEFINANCE(A395,""low52"")"),595.2)</f>
        <v>595.2</v>
      </c>
      <c r="I395" s="45">
        <f>IFERROR(__xludf.DUMMYFUNCTION("to_date(index(sort(GOOGLEFINANCE(A395, ""low"", today()-52*7, today(), ""DAILY""),2,1),1,1))"),46111.64583333333)</f>
        <v>46111.64583</v>
      </c>
      <c r="J395" s="46" t="str">
        <f t="shared" si="1"/>
        <v>Do Not Buy Today</v>
      </c>
    </row>
    <row r="396">
      <c r="A396" s="73" t="s">
        <v>605</v>
      </c>
      <c r="B396" s="59">
        <f>IFERROR(__xludf.DUMMYFUNCTION("GOOGLEFINANCE(A396,""price"")"),936.3)</f>
        <v>936.3</v>
      </c>
      <c r="C396" s="60">
        <f>IFERROR(__xludf.DUMMYFUNCTION("GOOGLEFINANCE(A396,""closeyest"")"),946.25)</f>
        <v>946.25</v>
      </c>
      <c r="D396" s="61">
        <f>IFERROR(__xludf.DUMMYFUNCTION("MIN(index(GOOGLEFINANCE(A396,""ALL"",TODAY()-180,TODAY()),0,5))*1.2"),973.0799999999999)</f>
        <v>973.08</v>
      </c>
      <c r="E396" s="62">
        <f>IFERROR(__xludf.DUMMYFUNCTION("AVERAGE(QUERY(SORT(GOOGLEFINANCE(A396,""price"",TODAY()-320,TODAY()),1,0),""select Col2 limit 100""))"),895.882)</f>
        <v>895.882</v>
      </c>
      <c r="F396" s="44">
        <f>IFERROR(__xludf.DUMMYFUNCTION("GOOGLEFINANCE(A396,""high52"")"),1257.0)</f>
        <v>1257</v>
      </c>
      <c r="G396" s="45">
        <f>IFERROR(__xludf.DUMMYFUNCTION("to_date(index(sort(GOOGLEFINANCE(A396, ""high"", today()-52*7, today(), ""DAILY""),2,0),2,1))"),45862.64583333333)</f>
        <v>45862.64583</v>
      </c>
      <c r="H396" s="44">
        <f>IFERROR(__xludf.DUMMYFUNCTION("GOOGLEFINANCE(A396,""low52"")"),796.1)</f>
        <v>796.1</v>
      </c>
      <c r="I396" s="45">
        <f>IFERROR(__xludf.DUMMYFUNCTION("to_date(index(sort(GOOGLEFINANCE(A396, ""low"", today()-52*7, today(), ""DAILY""),2,1),1,1))"),46093.64583333333)</f>
        <v>46093.64583</v>
      </c>
      <c r="J396" s="46" t="str">
        <f t="shared" si="1"/>
        <v>Do Not Buy Today</v>
      </c>
    </row>
    <row r="397">
      <c r="A397" s="73" t="s">
        <v>606</v>
      </c>
      <c r="B397" s="59">
        <f>IFERROR(__xludf.DUMMYFUNCTION("GOOGLEFINANCE(A397,""price"")"),543.8)</f>
        <v>543.8</v>
      </c>
      <c r="C397" s="60">
        <f>IFERROR(__xludf.DUMMYFUNCTION("GOOGLEFINANCE(A397,""closeyest"")"),551.85)</f>
        <v>551.85</v>
      </c>
      <c r="D397" s="61">
        <f>IFERROR(__xludf.DUMMYFUNCTION("MIN(index(GOOGLEFINANCE(A397,""ALL"",TODAY()-180,TODAY()),0,5))*1.2"),386.22)</f>
        <v>386.22</v>
      </c>
      <c r="E397" s="62">
        <f>IFERROR(__xludf.DUMMYFUNCTION("AVERAGE(QUERY(SORT(GOOGLEFINANCE(A397,""price"",TODAY()-320,TODAY()),1,0),""select Col2 limit 100""))"),415.4315)</f>
        <v>415.4315</v>
      </c>
      <c r="F397" s="44">
        <f>IFERROR(__xludf.DUMMYFUNCTION("GOOGLEFINANCE(A397,""high52"")"),783.9)</f>
        <v>783.9</v>
      </c>
      <c r="G397" s="45">
        <f>IFERROR(__xludf.DUMMYFUNCTION("to_date(index(sort(GOOGLEFINANCE(A397, ""high"", today()-52*7, today(), ""DAILY""),2,0),2,1))"),45840.64583333333)</f>
        <v>45840.64583</v>
      </c>
      <c r="H397" s="44">
        <f>IFERROR(__xludf.DUMMYFUNCTION("GOOGLEFINANCE(A397,""low52"")"),320.0)</f>
        <v>320</v>
      </c>
      <c r="I397" s="45">
        <f>IFERROR(__xludf.DUMMYFUNCTION("to_date(index(sort(GOOGLEFINANCE(A397, ""low"", today()-52*7, today(), ""DAILY""),2,1),1,1))"),46111.64583333333)</f>
        <v>46111.64583</v>
      </c>
      <c r="J397" s="46" t="str">
        <f t="shared" si="1"/>
        <v>Do Not Buy Today</v>
      </c>
    </row>
    <row r="398">
      <c r="A398" s="73" t="s">
        <v>607</v>
      </c>
      <c r="B398" s="59">
        <f>IFERROR(__xludf.DUMMYFUNCTION("GOOGLEFINANCE(A398,""price"")"),710.0)</f>
        <v>710</v>
      </c>
      <c r="C398" s="60">
        <f>IFERROR(__xludf.DUMMYFUNCTION("GOOGLEFINANCE(A398,""closeyest"")"),715.1)</f>
        <v>715.1</v>
      </c>
      <c r="D398" s="61">
        <f>IFERROR(__xludf.DUMMYFUNCTION("MIN(index(GOOGLEFINANCE(A398,""ALL"",TODAY()-180,TODAY()),0,5))*1.2"),705.5400000000001)</f>
        <v>705.54</v>
      </c>
      <c r="E398" s="62">
        <f>IFERROR(__xludf.DUMMYFUNCTION("AVERAGE(QUERY(SORT(GOOGLEFINANCE(A398,""price"",TODAY()-320,TODAY()),1,0),""select Col2 limit 100""))"),681.984)</f>
        <v>681.984</v>
      </c>
      <c r="F398" s="44">
        <f>IFERROR(__xludf.DUMMYFUNCTION("GOOGLEFINANCE(A398,""high52"")"),944.6)</f>
        <v>944.6</v>
      </c>
      <c r="G398" s="45">
        <f>IFERROR(__xludf.DUMMYFUNCTION("to_date(index(sort(GOOGLEFINANCE(A398, ""high"", today()-52*7, today(), ""DAILY""),2,0),2,1))"),45933.64583333333)</f>
        <v>45933.64583</v>
      </c>
      <c r="H398" s="44">
        <f>IFERROR(__xludf.DUMMYFUNCTION("GOOGLEFINANCE(A398,""low52"")"),576.1)</f>
        <v>576.1</v>
      </c>
      <c r="I398" s="45">
        <f>IFERROR(__xludf.DUMMYFUNCTION("to_date(index(sort(GOOGLEFINANCE(A398, ""low"", today()-52*7, today(), ""DAILY""),2,1),1,1))"),46104.64583333333)</f>
        <v>46104.64583</v>
      </c>
      <c r="J398" s="46" t="str">
        <f t="shared" si="1"/>
        <v>Do Not Buy Today</v>
      </c>
    </row>
    <row r="399">
      <c r="A399" s="73" t="s">
        <v>608</v>
      </c>
      <c r="B399" s="59">
        <f>IFERROR(__xludf.DUMMYFUNCTION("GOOGLEFINANCE(A399,""price"")"),2042.4)</f>
        <v>2042.4</v>
      </c>
      <c r="C399" s="60">
        <f>IFERROR(__xludf.DUMMYFUNCTION("GOOGLEFINANCE(A399,""closeyest"")"),2035.8)</f>
        <v>2035.8</v>
      </c>
      <c r="D399" s="61">
        <f>IFERROR(__xludf.DUMMYFUNCTION("MIN(index(GOOGLEFINANCE(A399,""ALL"",TODAY()-180,TODAY()),0,5))*1.2"),1805.76)</f>
        <v>1805.76</v>
      </c>
      <c r="E399" s="62">
        <f>IFERROR(__xludf.DUMMYFUNCTION("AVERAGE(QUERY(SORT(GOOGLEFINANCE(A399,""price"",TODAY()-320,TODAY()),1,0),""select Col2 limit 100""))"),1764.6340000000005)</f>
        <v>1764.634</v>
      </c>
      <c r="F399" s="44">
        <f>IFERROR(__xludf.DUMMYFUNCTION("GOOGLEFINANCE(A399,""high52"")"),2395.0)</f>
        <v>2395</v>
      </c>
      <c r="G399" s="45">
        <f>IFERROR(__xludf.DUMMYFUNCTION("to_date(index(sort(GOOGLEFINANCE(A399, ""high"", today()-52*7, today(), ""DAILY""),2,0),2,1))"),45917.64583333333)</f>
        <v>45917.64583</v>
      </c>
      <c r="H399" s="44">
        <f>IFERROR(__xludf.DUMMYFUNCTION("GOOGLEFINANCE(A399,""low52"")"),1500.3)</f>
        <v>1500.3</v>
      </c>
      <c r="I399" s="45">
        <f>IFERROR(__xludf.DUMMYFUNCTION("to_date(index(sort(GOOGLEFINANCE(A399, ""low"", today()-52*7, today(), ""DAILY""),2,1),1,1))"),46111.64583333333)</f>
        <v>46111.64583</v>
      </c>
      <c r="J399" s="46" t="str">
        <f t="shared" si="1"/>
        <v>Do Not Buy Today</v>
      </c>
    </row>
    <row r="400">
      <c r="A400" s="73" t="s">
        <v>609</v>
      </c>
      <c r="B400" s="59">
        <f>IFERROR(__xludf.DUMMYFUNCTION("GOOGLEFINANCE(A400,""price"")"),1653.6)</f>
        <v>1653.6</v>
      </c>
      <c r="C400" s="60">
        <f>IFERROR(__xludf.DUMMYFUNCTION("GOOGLEFINANCE(A400,""closeyest"")"),1662.0)</f>
        <v>1662</v>
      </c>
      <c r="D400" s="61">
        <f>IFERROR(__xludf.DUMMYFUNCTION("MIN(index(GOOGLEFINANCE(A400,""ALL"",TODAY()-180,TODAY()),0,5))*1.2"),1554.12)</f>
        <v>1554.12</v>
      </c>
      <c r="E400" s="62">
        <f>IFERROR(__xludf.DUMMYFUNCTION("AVERAGE(QUERY(SORT(GOOGLEFINANCE(A400,""price"",TODAY()-320,TODAY()),1,0),""select Col2 limit 100""))"),1605.7229999999993)</f>
        <v>1605.723</v>
      </c>
      <c r="F400" s="44">
        <f>IFERROR(__xludf.DUMMYFUNCTION("GOOGLEFINANCE(A400,""high52"")"),1958.1)</f>
        <v>1958.1</v>
      </c>
      <c r="G400" s="45">
        <f>IFERROR(__xludf.DUMMYFUNCTION("to_date(index(sort(GOOGLEFINANCE(A400, ""high"", today()-52*7, today(), ""DAILY""),2,0),2,1))"),45868.64583333333)</f>
        <v>45868.64583</v>
      </c>
      <c r="H400" s="44">
        <f>IFERROR(__xludf.DUMMYFUNCTION("GOOGLEFINANCE(A400,""low52"")"),1266.9)</f>
        <v>1266.9</v>
      </c>
      <c r="I400" s="45">
        <f>IFERROR(__xludf.DUMMYFUNCTION("to_date(index(sort(GOOGLEFINANCE(A400, ""low"", today()-52*7, today(), ""DAILY""),2,1),1,1))"),46114.64583333333)</f>
        <v>46114.64583</v>
      </c>
      <c r="J400" s="46" t="str">
        <f t="shared" si="1"/>
        <v>Do Not Buy Today</v>
      </c>
    </row>
    <row r="401">
      <c r="A401" s="73" t="s">
        <v>305</v>
      </c>
      <c r="B401" s="59">
        <f>IFERROR(__xludf.DUMMYFUNCTION("GOOGLEFINANCE(A401,""price"")"),3112.5)</f>
        <v>3112.5</v>
      </c>
      <c r="C401" s="60">
        <f>IFERROR(__xludf.DUMMYFUNCTION("GOOGLEFINANCE(A401,""closeyest"")"),3088.1)</f>
        <v>3088.1</v>
      </c>
      <c r="D401" s="61">
        <f>IFERROR(__xludf.DUMMYFUNCTION("MIN(index(GOOGLEFINANCE(A401,""ALL"",TODAY()-180,TODAY()),0,5))*1.2"),2902.7999999999997)</f>
        <v>2902.8</v>
      </c>
      <c r="E401" s="62">
        <f>IFERROR(__xludf.DUMMYFUNCTION("AVERAGE(QUERY(SORT(GOOGLEFINANCE(A401,""price"",TODAY()-320,TODAY()),1,0),""select Col2 limit 100""))"),2983.522000000001)</f>
        <v>2983.522</v>
      </c>
      <c r="F401" s="44">
        <f>IFERROR(__xludf.DUMMYFUNCTION("GOOGLEFINANCE(A401,""high52"")"),3865.0)</f>
        <v>3865</v>
      </c>
      <c r="G401" s="45">
        <f>IFERROR(__xludf.DUMMYFUNCTION("to_date(index(sort(GOOGLEFINANCE(A401, ""high"", today()-52*7, today(), ""DAILY""),2,0),2,1))"),45912.64583333333)</f>
        <v>45912.64583</v>
      </c>
      <c r="H401" s="44">
        <f>IFERROR(__xludf.DUMMYFUNCTION("GOOGLEFINANCE(A401,""low52"")"),2403.0)</f>
        <v>2403</v>
      </c>
      <c r="I401" s="45">
        <f>IFERROR(__xludf.DUMMYFUNCTION("to_date(index(sort(GOOGLEFINANCE(A401, ""low"", today()-52*7, today(), ""DAILY""),2,1),1,1))"),46043.64583333333)</f>
        <v>46043.64583</v>
      </c>
      <c r="J401" s="46" t="str">
        <f t="shared" si="1"/>
        <v>Do Not Buy Today</v>
      </c>
    </row>
  </sheetData>
  <conditionalFormatting sqref="J1:J401">
    <cfRule type="cellIs" dxfId="0" priority="1" operator="equal">
      <formula>"Buy Today"</formula>
    </cfRule>
  </conditionalFormatting>
  <conditionalFormatting sqref="J1:J401">
    <cfRule type="cellIs" dxfId="1" priority="2" operator="equal">
      <formula>"Buy Today"</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6" max="6" width="15.63"/>
  </cols>
  <sheetData>
    <row r="1">
      <c r="A1" s="81" t="s">
        <v>610</v>
      </c>
      <c r="B1" s="72" t="s">
        <v>21</v>
      </c>
      <c r="C1" s="72" t="s">
        <v>22</v>
      </c>
      <c r="D1" s="57" t="s">
        <v>23</v>
      </c>
      <c r="E1" s="72" t="s">
        <v>24</v>
      </c>
      <c r="F1" s="72" t="s">
        <v>29</v>
      </c>
    </row>
    <row r="2">
      <c r="A2" s="80" t="s">
        <v>611</v>
      </c>
      <c r="B2" s="76">
        <f>IFERROR(__xludf.DUMMYFUNCTION("GOOGLEFINANCE(A2,""price"")"),23959.65)</f>
        <v>23959.65</v>
      </c>
      <c r="C2" s="77">
        <f>IFERROR(__xludf.DUMMYFUNCTION("GOOGLEFINANCE(A2,""closeyest"")"),23913.7)</f>
        <v>23913.7</v>
      </c>
      <c r="D2" s="61">
        <f>IFERROR(__xludf.DUMMYFUNCTION("MIN(index(GOOGLEFINANCE(A2,""ALL"",TODAY()-180,TODAY()),0,5))*1.2"),26797.68)</f>
        <v>26797.68</v>
      </c>
      <c r="E2" s="62">
        <f>IFERROR(__xludf.DUMMYFUNCTION("AVERAGE(QUERY(SORT(GOOGLEFINANCE(A2,""price"",TODAY()-320,TODAY()),1,0),""select Col2 limit 100""))"),24606.58949999999)</f>
        <v>24606.5895</v>
      </c>
      <c r="F2" s="82" t="str">
        <f t="shared" ref="F2:F3" si="1">if(AND(B2&gt;E2,B2&gt;D2,C2&lt;E2),"Buy Today","Do Not Buy Today")</f>
        <v>Do Not Buy Today</v>
      </c>
    </row>
    <row r="3">
      <c r="A3" s="80" t="s">
        <v>612</v>
      </c>
      <c r="B3" s="76">
        <f>IFERROR(__xludf.DUMMYFUNCTION("GOOGLEFINANCE(A3,""price"")"),55064.75)</f>
        <v>55064.75</v>
      </c>
      <c r="C3" s="77">
        <f>IFERROR(__xludf.DUMMYFUNCTION("GOOGLEFINANCE(A3,""closeyest"")"),55092.9)</f>
        <v>55092.9</v>
      </c>
      <c r="D3" s="61">
        <f>IFERROR(__xludf.DUMMYFUNCTION("MIN(index(GOOGLEFINANCE(A3,""ALL"",TODAY()-180,TODAY()),0,5))*1.2"),60330.42)</f>
        <v>60330.42</v>
      </c>
      <c r="E3" s="62">
        <f>IFERROR(__xludf.DUMMYFUNCTION("AVERAGE(QUERY(SORT(GOOGLEFINANCE(A3,""price"",TODAY()-320,TODAY()),1,0),""select Col2 limit 100""))"),57151.678499999965)</f>
        <v>57151.6785</v>
      </c>
      <c r="F3" s="82" t="str">
        <f t="shared" si="1"/>
        <v>Do Not Buy Today</v>
      </c>
    </row>
    <row r="5">
      <c r="A5" s="83" t="s">
        <v>613</v>
      </c>
    </row>
    <row r="6">
      <c r="A6" s="80" t="s">
        <v>610</v>
      </c>
      <c r="B6" s="80" t="s">
        <v>21</v>
      </c>
      <c r="C6" s="80" t="s">
        <v>614</v>
      </c>
      <c r="D6" s="84" t="s">
        <v>615</v>
      </c>
    </row>
    <row r="7">
      <c r="A7" s="80" t="s">
        <v>611</v>
      </c>
      <c r="B7" s="76">
        <f>IFERROR(__xludf.DUMMYFUNCTION("GOOGLEFINANCE(A7,""price"")"),23959.65)</f>
        <v>23959.65</v>
      </c>
      <c r="C7" s="62">
        <f>IFERROR(__xludf.DUMMYFUNCTION("AVERAGE(QUERY(SORT(GOOGLEFINANCE(A7,""price"",TODAY()-320,TODAY()),1,0),""select Col2 limit 124""))"),24879.77903225805)</f>
        <v>24879.77903</v>
      </c>
      <c r="D7" s="85">
        <f t="shared" ref="D7:D8" si="2">B7/C7</f>
        <v>0.9630169934</v>
      </c>
    </row>
    <row r="8">
      <c r="A8" s="80" t="s">
        <v>612</v>
      </c>
      <c r="B8" s="76">
        <f>IFERROR(__xludf.DUMMYFUNCTION("GOOGLEFINANCE(A8,""price"")"),55064.75)</f>
        <v>55064.75</v>
      </c>
      <c r="C8" s="62">
        <f>IFERROR(__xludf.DUMMYFUNCTION("AVERAGE(QUERY(SORT(GOOGLEFINANCE(A8,""price"",TODAY()-320,TODAY()),1,0),""select Col2 limit 124""))"),57558.80645161286)</f>
        <v>57558.80645</v>
      </c>
      <c r="D8" s="85">
        <f t="shared" si="2"/>
        <v>0.9566694203</v>
      </c>
    </row>
    <row r="10">
      <c r="A10" s="86" t="s">
        <v>616</v>
      </c>
    </row>
    <row r="11">
      <c r="A11" s="87" t="s">
        <v>617</v>
      </c>
    </row>
    <row r="12">
      <c r="A12" s="88" t="s">
        <v>618</v>
      </c>
    </row>
    <row r="13">
      <c r="A13" s="22" t="s">
        <v>619</v>
      </c>
    </row>
    <row r="14">
      <c r="A14" s="89" t="s">
        <v>620</v>
      </c>
      <c r="C14" s="88" t="s">
        <v>621</v>
      </c>
    </row>
    <row r="15">
      <c r="A15" s="90" t="s">
        <v>622</v>
      </c>
      <c r="C15" s="88" t="s">
        <v>623</v>
      </c>
    </row>
  </sheetData>
  <mergeCells count="6">
    <mergeCell ref="A5:F5"/>
    <mergeCell ref="A10:F10"/>
    <mergeCell ref="A11:B11"/>
    <mergeCell ref="A13:F13"/>
    <mergeCell ref="A14:B14"/>
    <mergeCell ref="A15:B15"/>
  </mergeCells>
  <conditionalFormatting sqref="F1:F3">
    <cfRule type="cellIs" dxfId="1" priority="1" operator="equal">
      <formula>"Buy Today"</formula>
    </cfRule>
  </conditionalFormatting>
  <hyperlinks>
    <hyperlink r:id="rId1" ref="A12"/>
    <hyperlink r:id="rId2" ref="C14"/>
    <hyperlink r:id="rId3" ref="C15"/>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624</v>
      </c>
      <c r="B1" s="92" t="s">
        <v>46</v>
      </c>
      <c r="C1" s="93"/>
      <c r="D1" s="93"/>
    </row>
    <row r="2">
      <c r="A2" s="37" t="s">
        <v>625</v>
      </c>
    </row>
    <row r="3">
      <c r="A3" s="54" t="s">
        <v>626</v>
      </c>
    </row>
    <row r="4">
      <c r="A4" s="54" t="s">
        <v>627</v>
      </c>
    </row>
    <row r="5">
      <c r="A5" s="54" t="s">
        <v>628</v>
      </c>
      <c r="D5" s="88" t="s">
        <v>629</v>
      </c>
    </row>
    <row r="6">
      <c r="A6" s="54" t="s">
        <v>630</v>
      </c>
      <c r="D6" s="88" t="s">
        <v>631</v>
      </c>
    </row>
    <row r="7">
      <c r="A7" s="22" t="s">
        <v>12</v>
      </c>
      <c r="B7" s="94" t="s">
        <v>13</v>
      </c>
    </row>
    <row r="8">
      <c r="A8" s="18" t="s">
        <v>14</v>
      </c>
    </row>
    <row r="14">
      <c r="A14" s="22" t="s">
        <v>15</v>
      </c>
    </row>
    <row r="15">
      <c r="A15" s="24" t="s">
        <v>16</v>
      </c>
    </row>
    <row r="19">
      <c r="A19" s="22" t="s">
        <v>17</v>
      </c>
    </row>
    <row r="20">
      <c r="A20" s="28" t="s">
        <v>18</v>
      </c>
    </row>
  </sheetData>
  <mergeCells count="8">
    <mergeCell ref="A2:F2"/>
    <mergeCell ref="A3:J3"/>
    <mergeCell ref="A4:J4"/>
    <mergeCell ref="B7:J7"/>
    <mergeCell ref="A8:J13"/>
    <mergeCell ref="A15:J18"/>
    <mergeCell ref="A19:B19"/>
    <mergeCell ref="A20:J21"/>
  </mergeCells>
  <hyperlinks>
    <hyperlink r:id="rId1" ref="B1"/>
    <hyperlink r:id="rId2" ref="D5"/>
    <hyperlink r:id="rId3" ref="D6"/>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10" max="10" width="15.63"/>
  </cols>
  <sheetData>
    <row r="1">
      <c r="A1" s="95" t="s">
        <v>101</v>
      </c>
      <c r="B1" s="72" t="s">
        <v>21</v>
      </c>
      <c r="C1" s="72" t="s">
        <v>22</v>
      </c>
      <c r="D1" s="57" t="s">
        <v>23</v>
      </c>
      <c r="E1" s="72" t="s">
        <v>24</v>
      </c>
      <c r="F1" s="35" t="s">
        <v>25</v>
      </c>
      <c r="G1" s="36" t="s">
        <v>26</v>
      </c>
      <c r="H1" s="35" t="s">
        <v>27</v>
      </c>
      <c r="I1" s="35" t="s">
        <v>28</v>
      </c>
      <c r="J1" s="34" t="s">
        <v>29</v>
      </c>
    </row>
    <row r="2">
      <c r="A2" s="96" t="s">
        <v>312</v>
      </c>
      <c r="B2" s="59">
        <f>IFERROR(__xludf.DUMMYFUNCTION("GOOGLEFINANCE(A2,""price"")"),66.87)</f>
        <v>66.87</v>
      </c>
      <c r="C2" s="60">
        <f>IFERROR(__xludf.DUMMYFUNCTION("GOOGLEFINANCE(A2,""closeyest"")"),64.4)</f>
        <v>64.4</v>
      </c>
      <c r="D2" s="61">
        <f>IFERROR(__xludf.DUMMYFUNCTION("MIN(index(GOOGLEFINANCE(A2,""ALL"",TODAY()-180,TODAY()),0,5))*1.2"),56.172000000000004)</f>
        <v>56.172</v>
      </c>
      <c r="E2" s="62">
        <f>IFERROR(__xludf.DUMMYFUNCTION("AVERAGE(QUERY(SORT(GOOGLEFINANCE(A2,""price"",TODAY()-320,TODAY()),1,0),""select Col2 limit 100""))"),57.6834)</f>
        <v>57.6834</v>
      </c>
      <c r="F2" s="44">
        <f>IFERROR(__xludf.DUMMYFUNCTION("GOOGLEFINANCE(A2,""high52"")"),74.5)</f>
        <v>74.5</v>
      </c>
      <c r="G2" s="45">
        <f>IFERROR(__xludf.DUMMYFUNCTION("to_date(index(sort(GOOGLEFINANCE(A2, ""high"", today()-52*7, today(), ""DAILY""),2,0),2,1))"),45806.64583333333)</f>
        <v>45806.64583</v>
      </c>
      <c r="H2" s="44">
        <f>IFERROR(__xludf.DUMMYFUNCTION("GOOGLEFINANCE(A2,""low52"")"),46.23)</f>
        <v>46.23</v>
      </c>
      <c r="I2" s="45">
        <f>IFERROR(__xludf.DUMMYFUNCTION("to_date(index(sort(GOOGLEFINANCE(A2, ""low"", today()-52*7, today(), ""DAILY""),2,1),1,1))"),46009.64583333333)</f>
        <v>46009.64583</v>
      </c>
      <c r="J2" s="46" t="str">
        <f t="shared" ref="J2:J61" si="1">if(AND(B2&gt;E2,B2&gt;D2,C2&lt;E2, I2&gt;G2),"Buy Today","Do Not Buy Today")</f>
        <v>Do Not Buy Today</v>
      </c>
    </row>
    <row r="3">
      <c r="A3" s="96" t="s">
        <v>632</v>
      </c>
      <c r="B3" s="59">
        <f>IFERROR(__xludf.DUMMYFUNCTION("GOOGLEFINANCE(A3,""price"")"),553.1)</f>
        <v>553.1</v>
      </c>
      <c r="C3" s="60">
        <f>IFERROR(__xludf.DUMMYFUNCTION("GOOGLEFINANCE(A3,""closeyest"")"),549.25)</f>
        <v>549.25</v>
      </c>
      <c r="D3" s="61">
        <f>IFERROR(__xludf.DUMMYFUNCTION("MIN(index(GOOGLEFINANCE(A3,""ALL"",TODAY()-180,TODAY()),0,5))*1.2"),444.59999999999997)</f>
        <v>444.6</v>
      </c>
      <c r="E3" s="62">
        <f>IFERROR(__xludf.DUMMYFUNCTION("AVERAGE(QUERY(SORT(GOOGLEFINANCE(A3,""price"",TODAY()-320,TODAY()),1,0),""select Col2 limit 100""))"),532.4245000000001)</f>
        <v>532.4245</v>
      </c>
      <c r="F3" s="44">
        <f>IFERROR(__xludf.DUMMYFUNCTION("GOOGLEFINANCE(A3,""high52"")"),712.8)</f>
        <v>712.8</v>
      </c>
      <c r="G3" s="45">
        <f>IFERROR(__xludf.DUMMYFUNCTION("to_date(index(sort(GOOGLEFINANCE(A3, ""high"", today()-52*7, today(), ""DAILY""),2,0),2,1))"),45936.64583333333)</f>
        <v>45936.64583</v>
      </c>
      <c r="H3" s="44">
        <f>IFERROR(__xludf.DUMMYFUNCTION("GOOGLEFINANCE(A3,""low52"")"),368.0)</f>
        <v>368</v>
      </c>
      <c r="I3" s="45">
        <f>IFERROR(__xludf.DUMMYFUNCTION("to_date(index(sort(GOOGLEFINANCE(A3, ""low"", today()-52*7, today(), ""DAILY""),2,1),1,1))"),46111.64583333333)</f>
        <v>46111.64583</v>
      </c>
      <c r="J3" s="46" t="str">
        <f t="shared" si="1"/>
        <v>Do Not Buy Today</v>
      </c>
    </row>
    <row r="4">
      <c r="A4" s="96" t="s">
        <v>205</v>
      </c>
      <c r="B4" s="59">
        <f>IFERROR(__xludf.DUMMYFUNCTION("GOOGLEFINANCE(A4,""price"")"),525.75)</f>
        <v>525.75</v>
      </c>
      <c r="C4" s="60">
        <f>IFERROR(__xludf.DUMMYFUNCTION("GOOGLEFINANCE(A4,""closeyest"")"),537.2)</f>
        <v>537.2</v>
      </c>
      <c r="D4" s="61">
        <f>IFERROR(__xludf.DUMMYFUNCTION("MIN(index(GOOGLEFINANCE(A4,""ALL"",TODAY()-180,TODAY()),0,5))*1.2"),593.4)</f>
        <v>593.4</v>
      </c>
      <c r="E4" s="62">
        <f>IFERROR(__xludf.DUMMYFUNCTION("AVERAGE(QUERY(SORT(GOOGLEFINANCE(A4,""price"",TODAY()-320,TODAY()),1,0),""select Col2 limit 100""))"),581.391)</f>
        <v>581.391</v>
      </c>
      <c r="F4" s="44">
        <f>IFERROR(__xludf.DUMMYFUNCTION("GOOGLEFINANCE(A4,""high52"")"),800.0)</f>
        <v>800</v>
      </c>
      <c r="G4" s="45">
        <f>IFERROR(__xludf.DUMMYFUNCTION("to_date(index(sort(GOOGLEFINANCE(A4, ""high"", today()-52*7, today(), ""DAILY""),2,0),2,1))"),45806.64583333333)</f>
        <v>45806.64583</v>
      </c>
      <c r="H4" s="44">
        <f>IFERROR(__xludf.DUMMYFUNCTION("GOOGLEFINANCE(A4,""low52"")"),492.65)</f>
        <v>492.65</v>
      </c>
      <c r="I4" s="45">
        <f>IFERROR(__xludf.DUMMYFUNCTION("to_date(index(sort(GOOGLEFINANCE(A4, ""low"", today()-52*7, today(), ""DAILY""),2,1),1,1))"),46111.64583333333)</f>
        <v>46111.64583</v>
      </c>
      <c r="J4" s="46" t="str">
        <f t="shared" si="1"/>
        <v>Do Not Buy Today</v>
      </c>
    </row>
    <row r="5">
      <c r="A5" s="96" t="s">
        <v>251</v>
      </c>
      <c r="B5" s="59">
        <f>IFERROR(__xludf.DUMMYFUNCTION("GOOGLEFINANCE(A5,""price"")"),207.34)</f>
        <v>207.34</v>
      </c>
      <c r="C5" s="60">
        <f>IFERROR(__xludf.DUMMYFUNCTION("GOOGLEFINANCE(A5,""closeyest"")"),206.64)</f>
        <v>206.64</v>
      </c>
      <c r="D5" s="61">
        <f>IFERROR(__xludf.DUMMYFUNCTION("MIN(index(GOOGLEFINANCE(A5,""ALL"",TODAY()-180,TODAY()),0,5))*1.2"),191.496)</f>
        <v>191.496</v>
      </c>
      <c r="E5" s="62">
        <f>IFERROR(__xludf.DUMMYFUNCTION("AVERAGE(QUERY(SORT(GOOGLEFINANCE(A5,""price"",TODAY()-320,TODAY()),1,0),""select Col2 limit 100""))"),198.58360000000008)</f>
        <v>198.5836</v>
      </c>
      <c r="F5" s="44">
        <f>IFERROR(__xludf.DUMMYFUNCTION("GOOGLEFINANCE(A5,""high52"")"),253.73)</f>
        <v>253.73</v>
      </c>
      <c r="G5" s="45">
        <f>IFERROR(__xludf.DUMMYFUNCTION("to_date(index(sort(GOOGLEFINANCE(A5, ""high"", today()-52*7, today(), ""DAILY""),2,0),2,1))"),45811.64583333333)</f>
        <v>45811.64583</v>
      </c>
      <c r="H5" s="44">
        <f>IFERROR(__xludf.DUMMYFUNCTION("GOOGLEFINANCE(A5,""low52"")"),159.0)</f>
        <v>159</v>
      </c>
      <c r="I5" s="45">
        <f>IFERROR(__xludf.DUMMYFUNCTION("to_date(index(sort(GOOGLEFINANCE(A5, ""low"", today()-52*7, today(), ""DAILY""),2,1),1,1))"),46111.64583333333)</f>
        <v>46111.64583</v>
      </c>
      <c r="J5" s="46" t="str">
        <f t="shared" si="1"/>
        <v>Do Not Buy Today</v>
      </c>
    </row>
    <row r="6">
      <c r="A6" s="96" t="s">
        <v>534</v>
      </c>
      <c r="B6" s="59">
        <f>IFERROR(__xludf.DUMMYFUNCTION("GOOGLEFINANCE(A6,""price"")"),1046.6)</f>
        <v>1046.6</v>
      </c>
      <c r="C6" s="60">
        <f>IFERROR(__xludf.DUMMYFUNCTION("GOOGLEFINANCE(A6,""closeyest"")"),1019.8)</f>
        <v>1019.8</v>
      </c>
      <c r="D6" s="61">
        <f>IFERROR(__xludf.DUMMYFUNCTION("MIN(index(GOOGLEFINANCE(A6,""ALL"",TODAY()-180,TODAY()),0,5))*1.2"),939.24)</f>
        <v>939.24</v>
      </c>
      <c r="E6" s="62">
        <f>IFERROR(__xludf.DUMMYFUNCTION("AVERAGE(QUERY(SORT(GOOGLEFINANCE(A6,""price"",TODAY()-320,TODAY()),1,0),""select Col2 limit 100""))"),945.919)</f>
        <v>945.919</v>
      </c>
      <c r="F6" s="44">
        <f>IFERROR(__xludf.DUMMYFUNCTION("GOOGLEFINANCE(A6,""high52"")"),1159.7)</f>
        <v>1159.7</v>
      </c>
      <c r="G6" s="45">
        <f>IFERROR(__xludf.DUMMYFUNCTION("to_date(index(sort(GOOGLEFINANCE(A6, ""high"", today()-52*7, today(), ""DAILY""),2,0),2,1))"),46142.64583333333)</f>
        <v>46142.64583</v>
      </c>
      <c r="H6" s="44">
        <f>IFERROR(__xludf.DUMMYFUNCTION("GOOGLEFINANCE(A6,""low52"")"),603.1)</f>
        <v>603.1</v>
      </c>
      <c r="I6" s="45">
        <f>IFERROR(__xludf.DUMMYFUNCTION("to_date(index(sort(GOOGLEFINANCE(A6, ""low"", today()-52*7, today(), ""DAILY""),2,1),1,1))"),45827.64583333333)</f>
        <v>45827.64583</v>
      </c>
      <c r="J6" s="46" t="str">
        <f t="shared" si="1"/>
        <v>Do Not Buy Today</v>
      </c>
    </row>
    <row r="7">
      <c r="A7" s="96" t="s">
        <v>211</v>
      </c>
      <c r="B7" s="59">
        <f>IFERROR(__xludf.DUMMYFUNCTION("GOOGLEFINANCE(A7,""price"")"),1534.3)</f>
        <v>1534.3</v>
      </c>
      <c r="C7" s="60">
        <f>IFERROR(__xludf.DUMMYFUNCTION("GOOGLEFINANCE(A7,""closeyest"")"),1526.2)</f>
        <v>1526.2</v>
      </c>
      <c r="D7" s="61">
        <f>IFERROR(__xludf.DUMMYFUNCTION("MIN(index(GOOGLEFINANCE(A7,""ALL"",TODAY()-180,TODAY()),0,5))*1.2"),1431.7199999999998)</f>
        <v>1431.72</v>
      </c>
      <c r="E7" s="62">
        <f>IFERROR(__xludf.DUMMYFUNCTION("AVERAGE(QUERY(SORT(GOOGLEFINANCE(A7,""price"",TODAY()-320,TODAY()),1,0),""select Col2 limit 100""))"),1520.046)</f>
        <v>1520.046</v>
      </c>
      <c r="F7" s="44">
        <f>IFERROR(__xludf.DUMMYFUNCTION("GOOGLEFINANCE(A7,""high52"")"),2545.0)</f>
        <v>2545</v>
      </c>
      <c r="G7" s="45">
        <f>IFERROR(__xludf.DUMMYFUNCTION("to_date(index(sort(GOOGLEFINANCE(A7, ""high"", today()-52*7, today(), ""DAILY""),2,0),2,1))"),45814.64583333333)</f>
        <v>45814.64583</v>
      </c>
      <c r="H7" s="44">
        <f>IFERROR(__xludf.DUMMYFUNCTION("GOOGLEFINANCE(A7,""low52"")"),1187.0)</f>
        <v>1187</v>
      </c>
      <c r="I7" s="45">
        <f>IFERROR(__xludf.DUMMYFUNCTION("to_date(index(sort(GOOGLEFINANCE(A7, ""low"", today()-52*7, today(), ""DAILY""),2,1),1,1))"),46111.64583333333)</f>
        <v>46111.64583</v>
      </c>
      <c r="J7" s="46" t="str">
        <f t="shared" si="1"/>
        <v>Do Not Buy Today</v>
      </c>
    </row>
    <row r="8">
      <c r="A8" s="96" t="s">
        <v>257</v>
      </c>
      <c r="B8" s="59">
        <f>IFERROR(__xludf.DUMMYFUNCTION("GOOGLEFINANCE(A8,""price"")"),430.95)</f>
        <v>430.95</v>
      </c>
      <c r="C8" s="60">
        <f>IFERROR(__xludf.DUMMYFUNCTION("GOOGLEFINANCE(A8,""closeyest"")"),433.7)</f>
        <v>433.7</v>
      </c>
      <c r="D8" s="61">
        <f>IFERROR(__xludf.DUMMYFUNCTION("MIN(index(GOOGLEFINANCE(A8,""ALL"",TODAY()-180,TODAY()),0,5))*1.2"),402.06)</f>
        <v>402.06</v>
      </c>
      <c r="E8" s="62">
        <f>IFERROR(__xludf.DUMMYFUNCTION("AVERAGE(QUERY(SORT(GOOGLEFINANCE(A8,""price"",TODAY()-320,TODAY()),1,0),""select Col2 limit 100""))"),412.3425)</f>
        <v>412.3425</v>
      </c>
      <c r="F8" s="44">
        <f>IFERROR(__xludf.DUMMYFUNCTION("GOOGLEFINANCE(A8,""high52"")"),486.5)</f>
        <v>486.5</v>
      </c>
      <c r="G8" s="45">
        <f>IFERROR(__xludf.DUMMYFUNCTION("to_date(index(sort(GOOGLEFINANCE(A8, ""high"", today()-52*7, today(), ""DAILY""),2,0),2,1))"),46140.64583333333)</f>
        <v>46140.64583</v>
      </c>
      <c r="H8" s="44">
        <f>IFERROR(__xludf.DUMMYFUNCTION("GOOGLEFINANCE(A8,""low52"")"),329.9)</f>
        <v>329.9</v>
      </c>
      <c r="I8" s="45">
        <f>IFERROR(__xludf.DUMMYFUNCTION("to_date(index(sort(GOOGLEFINANCE(A8, ""low"", today()-52*7, today(), ""DAILY""),2,1),1,1))"),46009.64583333333)</f>
        <v>46009.64583</v>
      </c>
      <c r="J8" s="46" t="str">
        <f t="shared" si="1"/>
        <v>Do Not Buy Today</v>
      </c>
    </row>
    <row r="9">
      <c r="A9" s="96" t="s">
        <v>363</v>
      </c>
      <c r="B9" s="59">
        <f>IFERROR(__xludf.DUMMYFUNCTION("GOOGLEFINANCE(A9,""price"")"),398.1)</f>
        <v>398.1</v>
      </c>
      <c r="C9" s="60">
        <f>IFERROR(__xludf.DUMMYFUNCTION("GOOGLEFINANCE(A9,""closeyest"")"),393.45)</f>
        <v>393.45</v>
      </c>
      <c r="D9" s="61">
        <f>IFERROR(__xludf.DUMMYFUNCTION("MIN(index(GOOGLEFINANCE(A9,""ALL"",TODAY()-180,TODAY()),0,5))*1.2"),428.76)</f>
        <v>428.76</v>
      </c>
      <c r="E9" s="62">
        <f>IFERROR(__xludf.DUMMYFUNCTION("AVERAGE(QUERY(SORT(GOOGLEFINANCE(A9,""price"",TODAY()-320,TODAY()),1,0),""select Col2 limit 100""))"),380.8184999999999)</f>
        <v>380.8185</v>
      </c>
      <c r="F9" s="44">
        <f>IFERROR(__xludf.DUMMYFUNCTION("GOOGLEFINANCE(A9,""high52"")"),435.8)</f>
        <v>435.8</v>
      </c>
      <c r="G9" s="45">
        <f>IFERROR(__xludf.DUMMYFUNCTION("to_date(index(sort(GOOGLEFINANCE(A9, ""high"", today()-52*7, today(), ""DAILY""),2,0),2,1))"),45805.64583333333)</f>
        <v>45805.64583</v>
      </c>
      <c r="H9" s="44">
        <f>IFERROR(__xludf.DUMMYFUNCTION("GOOGLEFINANCE(A9,""low52"")"),350.25)</f>
        <v>350.25</v>
      </c>
      <c r="I9" s="45">
        <f>IFERROR(__xludf.DUMMYFUNCTION("to_date(index(sort(GOOGLEFINANCE(A9, ""low"", today()-52*7, today(), ""DAILY""),2,1),1,1))"),46090.64583333333)</f>
        <v>46090.64583</v>
      </c>
      <c r="J9" s="46" t="str">
        <f t="shared" si="1"/>
        <v>Do Not Buy Today</v>
      </c>
    </row>
    <row r="10">
      <c r="A10" s="96" t="s">
        <v>545</v>
      </c>
      <c r="B10" s="59">
        <f>IFERROR(__xludf.DUMMYFUNCTION("GOOGLEFINANCE(A10,""price"")"),234.3)</f>
        <v>234.3</v>
      </c>
      <c r="C10" s="60">
        <f>IFERROR(__xludf.DUMMYFUNCTION("GOOGLEFINANCE(A10,""closeyest"")"),230.5)</f>
        <v>230.5</v>
      </c>
      <c r="D10" s="61">
        <f>IFERROR(__xludf.DUMMYFUNCTION("MIN(index(GOOGLEFINANCE(A10,""ALL"",TODAY()-180,TODAY()),0,5))*1.2"),197.472)</f>
        <v>197.472</v>
      </c>
      <c r="E10" s="62">
        <f>IFERROR(__xludf.DUMMYFUNCTION("AVERAGE(QUERY(SORT(GOOGLEFINANCE(A10,""price"",TODAY()-320,TODAY()),1,0),""select Col2 limit 100""))"),209.42519999999996)</f>
        <v>209.4252</v>
      </c>
      <c r="F10" s="44">
        <f>IFERROR(__xludf.DUMMYFUNCTION("GOOGLEFINANCE(A10,""high52"")"),267.0)</f>
        <v>267</v>
      </c>
      <c r="G10" s="45">
        <f>IFERROR(__xludf.DUMMYFUNCTION("to_date(index(sort(GOOGLEFINANCE(A10, ""high"", today()-52*7, today(), ""DAILY""),2,0),2,1))"),46149.64583333333)</f>
        <v>46149.64583</v>
      </c>
      <c r="H10" s="44">
        <f>IFERROR(__xludf.DUMMYFUNCTION("GOOGLEFINANCE(A10,""low52"")"),163.55)</f>
        <v>163.55</v>
      </c>
      <c r="I10" s="45">
        <f>IFERROR(__xludf.DUMMYFUNCTION("to_date(index(sort(GOOGLEFINANCE(A10, ""low"", today()-52*7, today(), ""DAILY""),2,1),1,1))"),46049.64583333333)</f>
        <v>46049.64583</v>
      </c>
      <c r="J10" s="46" t="str">
        <f t="shared" si="1"/>
        <v>Do Not Buy Today</v>
      </c>
    </row>
    <row r="11">
      <c r="A11" s="96" t="s">
        <v>219</v>
      </c>
      <c r="B11" s="59">
        <f>IFERROR(__xludf.DUMMYFUNCTION("GOOGLEFINANCE(A11,""price"")"),337.9)</f>
        <v>337.9</v>
      </c>
      <c r="C11" s="60">
        <f>IFERROR(__xludf.DUMMYFUNCTION("GOOGLEFINANCE(A11,""closeyest"")"),337.6)</f>
        <v>337.6</v>
      </c>
      <c r="D11" s="61">
        <f>IFERROR(__xludf.DUMMYFUNCTION("MIN(index(GOOGLEFINANCE(A11,""ALL"",TODAY()-180,TODAY()),0,5))*1.2"),366.12)</f>
        <v>366.12</v>
      </c>
      <c r="E11" s="62">
        <f>IFERROR(__xludf.DUMMYFUNCTION("AVERAGE(QUERY(SORT(GOOGLEFINANCE(A11,""price"",TODAY()-320,TODAY()),1,0),""select Col2 limit 100""))"),353.26050000000004)</f>
        <v>353.2605</v>
      </c>
      <c r="F11" s="44">
        <f>IFERROR(__xludf.DUMMYFUNCTION("GOOGLEFINANCE(A11,""high52"")"),428.7)</f>
        <v>428.7</v>
      </c>
      <c r="G11" s="45">
        <f>IFERROR(__xludf.DUMMYFUNCTION("to_date(index(sort(GOOGLEFINANCE(A11, ""high"", today()-52*7, today(), ""DAILY""),2,0),2,1))"),45817.64583333333)</f>
        <v>45817.64583</v>
      </c>
      <c r="H11" s="44">
        <f>IFERROR(__xludf.DUMMYFUNCTION("GOOGLEFINANCE(A11,""low52"")"),304.05)</f>
        <v>304.05</v>
      </c>
      <c r="I11" s="45">
        <f>IFERROR(__xludf.DUMMYFUNCTION("to_date(index(sort(GOOGLEFINANCE(A11, ""low"", today()-52*7, today(), ""DAILY""),2,1),1,1))"),46111.64583333333)</f>
        <v>46111.64583</v>
      </c>
      <c r="J11" s="46" t="str">
        <f t="shared" si="1"/>
        <v>Do Not Buy Today</v>
      </c>
    </row>
    <row r="12">
      <c r="A12" s="96" t="s">
        <v>135</v>
      </c>
      <c r="B12" s="59">
        <f>IFERROR(__xludf.DUMMYFUNCTION("GOOGLEFINANCE(A12,""price"")"),394.4)</f>
        <v>394.4</v>
      </c>
      <c r="C12" s="60">
        <f>IFERROR(__xludf.DUMMYFUNCTION("GOOGLEFINANCE(A12,""closeyest"")"),398.0)</f>
        <v>398</v>
      </c>
      <c r="D12" s="61">
        <f>IFERROR(__xludf.DUMMYFUNCTION("MIN(index(GOOGLEFINANCE(A12,""ALL"",TODAY()-180,TODAY()),0,5))*1.2"),382.97999999999996)</f>
        <v>382.98</v>
      </c>
      <c r="E12" s="62">
        <f>IFERROR(__xludf.DUMMYFUNCTION("AVERAGE(QUERY(SORT(GOOGLEFINANCE(A12,""price"",TODAY()-320,TODAY()),1,0),""select Col2 limit 100""))"),407.8474999999998)</f>
        <v>407.8475</v>
      </c>
      <c r="F12" s="44">
        <f>IFERROR(__xludf.DUMMYFUNCTION("GOOGLEFINANCE(A12,""high52"")"),508.45)</f>
        <v>508.45</v>
      </c>
      <c r="G12" s="45">
        <f>IFERROR(__xludf.DUMMYFUNCTION("to_date(index(sort(GOOGLEFINANCE(A12, ""high"", today()-52*7, today(), ""DAILY""),2,0),2,1))"),46027.64583333333)</f>
        <v>46027.64583</v>
      </c>
      <c r="H12" s="44">
        <f>IFERROR(__xludf.DUMMYFUNCTION("GOOGLEFINANCE(A12,""low52"")"),316.2)</f>
        <v>316.2</v>
      </c>
      <c r="I12" s="45">
        <f>IFERROR(__xludf.DUMMYFUNCTION("to_date(index(sort(GOOGLEFINANCE(A12, ""low"", today()-52*7, today(), ""DAILY""),2,1),1,1))"),46085.64583333333)</f>
        <v>46085.64583</v>
      </c>
      <c r="J12" s="46" t="str">
        <f t="shared" si="1"/>
        <v>Do Not Buy Today</v>
      </c>
    </row>
    <row r="13">
      <c r="A13" s="96" t="s">
        <v>381</v>
      </c>
      <c r="B13" s="59">
        <f>IFERROR(__xludf.DUMMYFUNCTION("GOOGLEFINANCE(A13,""price"")"),30.98)</f>
        <v>30.98</v>
      </c>
      <c r="C13" s="60">
        <f>IFERROR(__xludf.DUMMYFUNCTION("GOOGLEFINANCE(A13,""closeyest"")"),31.02)</f>
        <v>31.02</v>
      </c>
      <c r="D13" s="61">
        <f>IFERROR(__xludf.DUMMYFUNCTION("MIN(index(GOOGLEFINANCE(A13,""ALL"",TODAY()-180,TODAY()),0,5))*1.2"),37.224)</f>
        <v>37.224</v>
      </c>
      <c r="E13" s="62">
        <f>IFERROR(__xludf.DUMMYFUNCTION("AVERAGE(QUERY(SORT(GOOGLEFINANCE(A13,""price"",TODAY()-320,TODAY()),1,0),""select Col2 limit 100""))"),36.221)</f>
        <v>36.221</v>
      </c>
      <c r="F13" s="44">
        <f>IFERROR(__xludf.DUMMYFUNCTION("GOOGLEFINANCE(A13,""high52"")"),41.2)</f>
        <v>41.2</v>
      </c>
      <c r="G13" s="45">
        <f>IFERROR(__xludf.DUMMYFUNCTION("to_date(index(sort(GOOGLEFINANCE(A13, ""high"", today()-52*7, today(), ""DAILY""),2,0),2,1))"),45810.64583333333)</f>
        <v>45810.64583</v>
      </c>
      <c r="H13" s="44">
        <f>IFERROR(__xludf.DUMMYFUNCTION("GOOGLEFINANCE(A13,""low52"")"),30.52)</f>
        <v>30.52</v>
      </c>
      <c r="I13" s="45">
        <f>IFERROR(__xludf.DUMMYFUNCTION("to_date(index(sort(GOOGLEFINANCE(A13, ""low"", today()-52*7, today(), ""DAILY""),2,1),1,1))"),46168.64583333333)</f>
        <v>46168.64583</v>
      </c>
      <c r="J13" s="46" t="str">
        <f t="shared" si="1"/>
        <v>Do Not Buy Today</v>
      </c>
    </row>
    <row r="14">
      <c r="A14" s="96" t="s">
        <v>296</v>
      </c>
      <c r="B14" s="59">
        <f>IFERROR(__xludf.DUMMYFUNCTION("GOOGLEFINANCE(A14,""price"")"),4442.1)</f>
        <v>4442.1</v>
      </c>
      <c r="C14" s="60">
        <f>IFERROR(__xludf.DUMMYFUNCTION("GOOGLEFINANCE(A14,""closeyest"")"),4427.7)</f>
        <v>4427.7</v>
      </c>
      <c r="D14" s="61">
        <f>IFERROR(__xludf.DUMMYFUNCTION("MIN(index(GOOGLEFINANCE(A14,""ALL"",TODAY()-180,TODAY()),0,5))*1.2"),4184.639999999999)</f>
        <v>4184.64</v>
      </c>
      <c r="E14" s="62">
        <f>IFERROR(__xludf.DUMMYFUNCTION("AVERAGE(QUERY(SORT(GOOGLEFINANCE(A14,""price"",TODAY()-320,TODAY()),1,0),""select Col2 limit 100""))"),4226.416000000001)</f>
        <v>4226.416</v>
      </c>
      <c r="F14" s="44">
        <f>IFERROR(__xludf.DUMMYFUNCTION("GOOGLEFINANCE(A14,""high52"")"),5147.0)</f>
        <v>5147</v>
      </c>
      <c r="G14" s="45">
        <f>IFERROR(__xludf.DUMMYFUNCTION("to_date(index(sort(GOOGLEFINANCE(A14, ""high"", today()-52*7, today(), ""DAILY""),2,0),2,1))"),45818.64583333333)</f>
        <v>45818.64583</v>
      </c>
      <c r="H14" s="44">
        <f>IFERROR(__xludf.DUMMYFUNCTION("GOOGLEFINANCE(A14,""low52"")"),3479.1)</f>
        <v>3479.1</v>
      </c>
      <c r="I14" s="45">
        <f>IFERROR(__xludf.DUMMYFUNCTION("to_date(index(sort(GOOGLEFINANCE(A14, ""low"", today()-52*7, today(), ""DAILY""),2,1),1,1))"),46111.64583333333)</f>
        <v>46111.64583</v>
      </c>
      <c r="J14" s="46" t="str">
        <f t="shared" si="1"/>
        <v>Do Not Buy Today</v>
      </c>
    </row>
    <row r="15">
      <c r="A15" s="96" t="s">
        <v>202</v>
      </c>
      <c r="B15" s="59">
        <f>IFERROR(__xludf.DUMMYFUNCTION("GOOGLEFINANCE(A15,""price"")"),142.1)</f>
        <v>142.1</v>
      </c>
      <c r="C15" s="60">
        <f>IFERROR(__xludf.DUMMYFUNCTION("GOOGLEFINANCE(A15,""closeyest"")"),142.38)</f>
        <v>142.38</v>
      </c>
      <c r="D15" s="61">
        <f>IFERROR(__xludf.DUMMYFUNCTION("MIN(index(GOOGLEFINANCE(A15,""ALL"",TODAY()-180,TODAY()),0,5))*1.2"),158.172)</f>
        <v>158.172</v>
      </c>
      <c r="E15" s="62">
        <f>IFERROR(__xludf.DUMMYFUNCTION("AVERAGE(QUERY(SORT(GOOGLEFINANCE(A15,""price"",TODAY()-320,TODAY()),1,0),""select Col2 limit 100""))"),155.54149999999998)</f>
        <v>155.5415</v>
      </c>
      <c r="F15" s="44">
        <f>IFERROR(__xludf.DUMMYFUNCTION("GOOGLEFINANCE(A15,""high52"")"),188.96)</f>
        <v>188.96</v>
      </c>
      <c r="G15" s="45">
        <f>IFERROR(__xludf.DUMMYFUNCTION("to_date(index(sort(GOOGLEFINANCE(A15, ""high"", today()-52*7, today(), ""DAILY""),2,0),2,1))"),46080.64583333333)</f>
        <v>46080.64583</v>
      </c>
      <c r="H15" s="44">
        <f>IFERROR(__xludf.DUMMYFUNCTION("GOOGLEFINANCE(A15,""low52"")"),130.22)</f>
        <v>130.22</v>
      </c>
      <c r="I15" s="45">
        <f>IFERROR(__xludf.DUMMYFUNCTION("to_date(index(sort(GOOGLEFINANCE(A15, ""low"", today()-52*7, today(), ""DAILY""),2,1),1,1))"),46114.64583333333)</f>
        <v>46114.64583</v>
      </c>
      <c r="J15" s="46" t="str">
        <f t="shared" si="1"/>
        <v>Do Not Buy Today</v>
      </c>
    </row>
    <row r="16">
      <c r="A16" s="96" t="s">
        <v>318</v>
      </c>
      <c r="B16" s="59">
        <f>IFERROR(__xludf.DUMMYFUNCTION("GOOGLEFINANCE(A16,""price"")"),556.4)</f>
        <v>556.4</v>
      </c>
      <c r="C16" s="60">
        <f>IFERROR(__xludf.DUMMYFUNCTION("GOOGLEFINANCE(A16,""closeyest"")"),556.0)</f>
        <v>556</v>
      </c>
      <c r="D16" s="61">
        <f>IFERROR(__xludf.DUMMYFUNCTION("MIN(index(GOOGLEFINANCE(A16,""ALL"",TODAY()-180,TODAY()),0,5))*1.2"),392.4)</f>
        <v>392.4</v>
      </c>
      <c r="E16" s="62">
        <f>IFERROR(__xludf.DUMMYFUNCTION("AVERAGE(QUERY(SORT(GOOGLEFINANCE(A16,""price"",TODAY()-320,TODAY()),1,0),""select Col2 limit 100""))"),550.6070000000003)</f>
        <v>550.607</v>
      </c>
      <c r="F16" s="44">
        <f>IFERROR(__xludf.DUMMYFUNCTION("GOOGLEFINANCE(A16,""high52"")"),760.05)</f>
        <v>760.05</v>
      </c>
      <c r="G16" s="45">
        <f>IFERROR(__xludf.DUMMYFUNCTION("to_date(index(sort(GOOGLEFINANCE(A16, ""high"", today()-52*7, today(), ""DAILY""),2,0),2,1))"),46051.64583333333)</f>
        <v>46051.64583</v>
      </c>
      <c r="H16" s="44">
        <f>IFERROR(__xludf.DUMMYFUNCTION("GOOGLEFINANCE(A16,""low52"")"),226.7)</f>
        <v>226.7</v>
      </c>
      <c r="I16" s="45">
        <f>IFERROR(__xludf.DUMMYFUNCTION("to_date(index(sort(GOOGLEFINANCE(A16, ""low"", today()-52*7, today(), ""DAILY""),2,1),1,1))"),45897.64583333333)</f>
        <v>45897.64583</v>
      </c>
      <c r="J16" s="46" t="str">
        <f t="shared" si="1"/>
        <v>Do Not Buy Today</v>
      </c>
    </row>
    <row r="17">
      <c r="A17" s="96" t="s">
        <v>559</v>
      </c>
      <c r="B17" s="59">
        <f>IFERROR(__xludf.DUMMYFUNCTION("GOOGLEFINANCE(A17,""price"")"),140.75)</f>
        <v>140.75</v>
      </c>
      <c r="C17" s="60">
        <f>IFERROR(__xludf.DUMMYFUNCTION("GOOGLEFINANCE(A17,""closeyest"")"),140.23)</f>
        <v>140.23</v>
      </c>
      <c r="D17" s="61">
        <f>IFERROR(__xludf.DUMMYFUNCTION("MIN(index(GOOGLEFINANCE(A17,""ALL"",TODAY()-180,TODAY()),0,5))*1.2"),138.28799999999998)</f>
        <v>138.288</v>
      </c>
      <c r="E17" s="62">
        <f>IFERROR(__xludf.DUMMYFUNCTION("AVERAGE(QUERY(SORT(GOOGLEFINANCE(A17,""price"",TODAY()-320,TODAY()),1,0),""select Col2 limit 100""))"),148.67229999999998)</f>
        <v>148.6723</v>
      </c>
      <c r="F17" s="44">
        <f>IFERROR(__xludf.DUMMYFUNCTION("GOOGLEFINANCE(A17,""high52"")"),225.52)</f>
        <v>225.52</v>
      </c>
      <c r="G17" s="45">
        <f>IFERROR(__xludf.DUMMYFUNCTION("to_date(index(sort(GOOGLEFINANCE(A17, ""high"", today()-52*7, today(), ""DAILY""),2,0),2,1))"),45813.64583333333)</f>
        <v>45813.64583</v>
      </c>
      <c r="H17" s="44">
        <f>IFERROR(__xludf.DUMMYFUNCTION("GOOGLEFINANCE(A17,""low52"")"),114.5)</f>
        <v>114.5</v>
      </c>
      <c r="I17" s="45">
        <f>IFERROR(__xludf.DUMMYFUNCTION("to_date(index(sort(GOOGLEFINANCE(A17, ""low"", today()-52*7, today(), ""DAILY""),2,1),1,1))"),46104.64583333333)</f>
        <v>46104.64583</v>
      </c>
      <c r="J17" s="46" t="str">
        <f t="shared" si="1"/>
        <v>Do Not Buy Today</v>
      </c>
    </row>
    <row r="18">
      <c r="A18" s="96" t="s">
        <v>247</v>
      </c>
      <c r="B18" s="59">
        <f>IFERROR(__xludf.DUMMYFUNCTION("GOOGLEFINANCE(A18,""price"")"),418.9)</f>
        <v>418.9</v>
      </c>
      <c r="C18" s="60">
        <f>IFERROR(__xludf.DUMMYFUNCTION("GOOGLEFINANCE(A18,""closeyest"")"),420.1)</f>
        <v>420.1</v>
      </c>
      <c r="D18" s="61">
        <f>IFERROR(__xludf.DUMMYFUNCTION("MIN(index(GOOGLEFINANCE(A18,""ALL"",TODAY()-180,TODAY()),0,5))*1.2"),460.14)</f>
        <v>460.14</v>
      </c>
      <c r="E18" s="62">
        <f>IFERROR(__xludf.DUMMYFUNCTION("AVERAGE(QUERY(SORT(GOOGLEFINANCE(A18,""price"",TODAY()-320,TODAY()),1,0),""select Col2 limit 100""))"),430.9344999999999)</f>
        <v>430.9345</v>
      </c>
      <c r="F18" s="44">
        <f>IFERROR(__xludf.DUMMYFUNCTION("GOOGLEFINANCE(A18,""high52"")"),473.45)</f>
        <v>473.45</v>
      </c>
      <c r="G18" s="45">
        <f>IFERROR(__xludf.DUMMYFUNCTION("to_date(index(sort(GOOGLEFINANCE(A18, ""high"", today()-52*7, today(), ""DAILY""),2,0),2,1))"),46087.64583333333)</f>
        <v>46087.64583</v>
      </c>
      <c r="H18" s="44">
        <f>IFERROR(__xludf.DUMMYFUNCTION("GOOGLEFINANCE(A18,""low52"")"),361.2)</f>
        <v>361.2</v>
      </c>
      <c r="I18" s="45">
        <f>IFERROR(__xludf.DUMMYFUNCTION("to_date(index(sort(GOOGLEFINANCE(A18, ""low"", today()-52*7, today(), ""DAILY""),2,1),1,1))"),45897.64583333333)</f>
        <v>45897.64583</v>
      </c>
      <c r="J18" s="46" t="str">
        <f t="shared" si="1"/>
        <v>Do Not Buy Today</v>
      </c>
    </row>
    <row r="19">
      <c r="A19" s="96" t="s">
        <v>174</v>
      </c>
      <c r="B19" s="59">
        <f>IFERROR(__xludf.DUMMYFUNCTION("GOOGLEFINANCE(A19,""price"")"),394.2)</f>
        <v>394.2</v>
      </c>
      <c r="C19" s="60">
        <f>IFERROR(__xludf.DUMMYFUNCTION("GOOGLEFINANCE(A19,""closeyest"")"),389.7)</f>
        <v>389.7</v>
      </c>
      <c r="D19" s="61">
        <f>IFERROR(__xludf.DUMMYFUNCTION("MIN(index(GOOGLEFINANCE(A19,""ALL"",TODAY()-180,TODAY()),0,5))*1.2"),382.2)</f>
        <v>382.2</v>
      </c>
      <c r="E19" s="62">
        <f>IFERROR(__xludf.DUMMYFUNCTION("AVERAGE(QUERY(SORT(GOOGLEFINANCE(A19,""price"",TODAY()-320,TODAY()),1,0),""select Col2 limit 100""))"),372.36100000000005)</f>
        <v>372.361</v>
      </c>
      <c r="F19" s="44">
        <f>IFERROR(__xludf.DUMMYFUNCTION("GOOGLEFINANCE(A19,""high52"")"),414.4)</f>
        <v>414.4</v>
      </c>
      <c r="G19" s="45">
        <f>IFERROR(__xludf.DUMMYFUNCTION("to_date(index(sort(GOOGLEFINANCE(A19, ""high"", today()-52*7, today(), ""DAILY""),2,0),2,1))"),46139.64583333333)</f>
        <v>46139.64583</v>
      </c>
      <c r="H19" s="44">
        <f>IFERROR(__xludf.DUMMYFUNCTION("GOOGLEFINANCE(A19,""low52"")"),315.55)</f>
        <v>315.55</v>
      </c>
      <c r="I19" s="45">
        <f>IFERROR(__xludf.DUMMYFUNCTION("to_date(index(sort(GOOGLEFINANCE(A19, ""low"", today()-52*7, today(), ""DAILY""),2,1),1,1))"),46000.64583333333)</f>
        <v>46000.64583</v>
      </c>
      <c r="J19" s="46" t="str">
        <f t="shared" si="1"/>
        <v>Do Not Buy Today</v>
      </c>
    </row>
    <row r="20">
      <c r="A20" s="96" t="s">
        <v>324</v>
      </c>
      <c r="B20" s="59">
        <f>IFERROR(__xludf.DUMMYFUNCTION("GOOGLEFINANCE(A20,""price"")"),161.46)</f>
        <v>161.46</v>
      </c>
      <c r="C20" s="60">
        <f>IFERROR(__xludf.DUMMYFUNCTION("GOOGLEFINANCE(A20,""closeyest"")"),162.76)</f>
        <v>162.76</v>
      </c>
      <c r="D20" s="61">
        <f>IFERROR(__xludf.DUMMYFUNCTION("MIN(index(GOOGLEFINANCE(A20,""ALL"",TODAY()-180,TODAY()),0,5))*1.2"),141.384)</f>
        <v>141.384</v>
      </c>
      <c r="E20" s="62">
        <f>IFERROR(__xludf.DUMMYFUNCTION("AVERAGE(QUERY(SORT(GOOGLEFINANCE(A20,""price"",TODAY()-320,TODAY()),1,0),""select Col2 limit 100""))"),149.8876)</f>
        <v>149.8876</v>
      </c>
      <c r="F20" s="44">
        <f>IFERROR(__xludf.DUMMYFUNCTION("GOOGLEFINANCE(A20,""high52"")"),214.74)</f>
        <v>214.74</v>
      </c>
      <c r="G20" s="45">
        <f>IFERROR(__xludf.DUMMYFUNCTION("to_date(index(sort(GOOGLEFINANCE(A20, ""high"", today()-52*7, today(), ""DAILY""),2,0),2,1))"),45869.64583333333)</f>
        <v>45869.64583</v>
      </c>
      <c r="H20" s="44">
        <f>IFERROR(__xludf.DUMMYFUNCTION("GOOGLEFINANCE(A20,""low52"")"),116.97)</f>
        <v>116.97</v>
      </c>
      <c r="I20" s="45">
        <f>IFERROR(__xludf.DUMMYFUNCTION("to_date(index(sort(GOOGLEFINANCE(A20, ""low"", today()-52*7, today(), ""DAILY""),2,1),1,1))"),46111.64583333333)</f>
        <v>46111.64583</v>
      </c>
      <c r="J20" s="46" t="str">
        <f t="shared" si="1"/>
        <v>Do Not Buy Today</v>
      </c>
    </row>
    <row r="21">
      <c r="A21" s="96" t="s">
        <v>116</v>
      </c>
      <c r="B21" s="59">
        <f>IFERROR(__xludf.DUMMYFUNCTION("GOOGLEFINANCE(A21,""price"")"),298.45)</f>
        <v>298.45</v>
      </c>
      <c r="C21" s="60">
        <f>IFERROR(__xludf.DUMMYFUNCTION("GOOGLEFINANCE(A21,""closeyest"")"),292.55)</f>
        <v>292.55</v>
      </c>
      <c r="D21" s="61">
        <f>IFERROR(__xludf.DUMMYFUNCTION("MIN(index(GOOGLEFINANCE(A21,""ALL"",TODAY()-180,TODAY()),0,5))*1.2"),304.86)</f>
        <v>304.86</v>
      </c>
      <c r="E21" s="62">
        <f>IFERROR(__xludf.DUMMYFUNCTION("AVERAGE(QUERY(SORT(GOOGLEFINANCE(A21,""price"",TODAY()-320,TODAY()),1,0),""select Col2 limit 100""))"),291.35249999999996)</f>
        <v>291.3525</v>
      </c>
      <c r="F21" s="44">
        <f>IFERROR(__xludf.DUMMYFUNCTION("GOOGLEFINANCE(A21,""high52"")"),324.95)</f>
        <v>324.95</v>
      </c>
      <c r="G21" s="45">
        <f>IFERROR(__xludf.DUMMYFUNCTION("to_date(index(sort(GOOGLEFINANCE(A21, ""high"", today()-52*7, today(), ""DAILY""),2,0),2,1))"),46139.64583333333)</f>
        <v>46139.64583</v>
      </c>
      <c r="H21" s="44">
        <f>IFERROR(__xludf.DUMMYFUNCTION("GOOGLEFINANCE(A21,""low52"")"),250.0)</f>
        <v>250</v>
      </c>
      <c r="I21" s="45">
        <f>IFERROR(__xludf.DUMMYFUNCTION("to_date(index(sort(GOOGLEFINANCE(A21, ""low"", today()-52*7, today(), ""DAILY""),2,1),1,1))"),46055.64583333333)</f>
        <v>46055.64583</v>
      </c>
      <c r="J21" s="46" t="str">
        <f t="shared" si="1"/>
        <v>Do Not Buy Today</v>
      </c>
    </row>
    <row r="22">
      <c r="A22" s="96" t="s">
        <v>300</v>
      </c>
      <c r="B22" s="59">
        <f>IFERROR(__xludf.DUMMYFUNCTION("GOOGLEFINANCE(A22,""price"")"),255.5)</f>
        <v>255.5</v>
      </c>
      <c r="C22" s="60">
        <f>IFERROR(__xludf.DUMMYFUNCTION("GOOGLEFINANCE(A22,""closeyest"")"),259.75)</f>
        <v>259.75</v>
      </c>
      <c r="D22" s="61">
        <f>IFERROR(__xludf.DUMMYFUNCTION("MIN(index(GOOGLEFINANCE(A22,""ALL"",TODAY()-180,TODAY()),0,5))*1.2"),299.58)</f>
        <v>299.58</v>
      </c>
      <c r="E22" s="62">
        <f>IFERROR(__xludf.DUMMYFUNCTION("AVERAGE(QUERY(SORT(GOOGLEFINANCE(A22,""price"",TODAY()-320,TODAY()),1,0),""select Col2 limit 100""))"),303.324)</f>
        <v>303.324</v>
      </c>
      <c r="F22" s="44">
        <f>IFERROR(__xludf.DUMMYFUNCTION("GOOGLEFINANCE(A22,""high52"")"),442.8)</f>
        <v>442.8</v>
      </c>
      <c r="G22" s="45">
        <f>IFERROR(__xludf.DUMMYFUNCTION("to_date(index(sort(GOOGLEFINANCE(A22, ""high"", today()-52*7, today(), ""DAILY""),2,0),2,1))"),45817.64583333333)</f>
        <v>45817.64583</v>
      </c>
      <c r="H22" s="44">
        <f>IFERROR(__xludf.DUMMYFUNCTION("GOOGLEFINANCE(A22,""low52"")"),248.0)</f>
        <v>248</v>
      </c>
      <c r="I22" s="45">
        <f>IFERROR(__xludf.DUMMYFUNCTION("to_date(index(sort(GOOGLEFINANCE(A22, ""low"", today()-52*7, today(), ""DAILY""),2,1),1,1))"),46111.64583333333)</f>
        <v>46111.64583</v>
      </c>
      <c r="J22" s="46" t="str">
        <f t="shared" si="1"/>
        <v>Do Not Buy Today</v>
      </c>
    </row>
    <row r="23">
      <c r="A23" s="96" t="s">
        <v>334</v>
      </c>
      <c r="B23" s="59">
        <f>IFERROR(__xludf.DUMMYFUNCTION("GOOGLEFINANCE(A23,""price"")"),150.88)</f>
        <v>150.88</v>
      </c>
      <c r="C23" s="60">
        <f>IFERROR(__xludf.DUMMYFUNCTION("GOOGLEFINANCE(A23,""closeyest"")"),151.2)</f>
        <v>151.2</v>
      </c>
      <c r="D23" s="61">
        <f>IFERROR(__xludf.DUMMYFUNCTION("MIN(index(GOOGLEFINANCE(A23,""ALL"",TODAY()-180,TODAY()),0,5))*1.2"),167.04)</f>
        <v>167.04</v>
      </c>
      <c r="E23" s="62">
        <f>IFERROR(__xludf.DUMMYFUNCTION("AVERAGE(QUERY(SORT(GOOGLEFINANCE(A23,""price"",TODAY()-320,TODAY()),1,0),""select Col2 limit 100""))"),172.1721)</f>
        <v>172.1721</v>
      </c>
      <c r="F23" s="44">
        <f>IFERROR(__xludf.DUMMYFUNCTION("GOOGLEFINANCE(A23,""high52"")"),212.31)</f>
        <v>212.31</v>
      </c>
      <c r="G23" s="45">
        <f>IFERROR(__xludf.DUMMYFUNCTION("to_date(index(sort(GOOGLEFINANCE(A23, ""high"", today()-52*7, today(), ""DAILY""),2,0),2,1))"),46087.64583333333)</f>
        <v>46087.64583</v>
      </c>
      <c r="H23" s="44">
        <f>IFERROR(__xludf.DUMMYFUNCTION("GOOGLEFINANCE(A23,""low52"")"),120.4)</f>
        <v>120.4</v>
      </c>
      <c r="I23" s="45">
        <f>IFERROR(__xludf.DUMMYFUNCTION("to_date(index(sort(GOOGLEFINANCE(A23, ""low"", today()-52*7, today(), ""DAILY""),2,1),1,1))"),45876.64583333333)</f>
        <v>45876.64583</v>
      </c>
      <c r="J23" s="46" t="str">
        <f t="shared" si="1"/>
        <v>Do Not Buy Today</v>
      </c>
    </row>
    <row r="24">
      <c r="A24" s="96" t="s">
        <v>291</v>
      </c>
      <c r="B24" s="59">
        <f>IFERROR(__xludf.DUMMYFUNCTION("GOOGLEFINANCE(A24,""price"")"),1334.4)</f>
        <v>1334.4</v>
      </c>
      <c r="C24" s="60">
        <f>IFERROR(__xludf.DUMMYFUNCTION("GOOGLEFINANCE(A24,""closeyest"")"),1329.9)</f>
        <v>1329.9</v>
      </c>
      <c r="D24" s="61">
        <f>IFERROR(__xludf.DUMMYFUNCTION("MIN(index(GOOGLEFINANCE(A24,""ALL"",TODAY()-180,TODAY()),0,5))*1.2"),1315.9199999999998)</f>
        <v>1315.92</v>
      </c>
      <c r="E24" s="62">
        <f>IFERROR(__xludf.DUMMYFUNCTION("AVERAGE(QUERY(SORT(GOOGLEFINANCE(A24,""price"",TODAY()-320,TODAY()),1,0),""select Col2 limit 100""))"),1354.1210000000003)</f>
        <v>1354.121</v>
      </c>
      <c r="F24" s="44">
        <f>IFERROR(__xludf.DUMMYFUNCTION("GOOGLEFINANCE(A24,""high52"")"),2096.6)</f>
        <v>2096.6</v>
      </c>
      <c r="G24" s="45">
        <f>IFERROR(__xludf.DUMMYFUNCTION("to_date(index(sort(GOOGLEFINANCE(A24, ""high"", today()-52*7, today(), ""DAILY""),2,0),2,1))"),45807.64583333333)</f>
        <v>45807.64583</v>
      </c>
      <c r="H24" s="44">
        <f>IFERROR(__xludf.DUMMYFUNCTION("GOOGLEFINANCE(A24,""low52"")"),1086.0)</f>
        <v>1086</v>
      </c>
      <c r="I24" s="45">
        <f>IFERROR(__xludf.DUMMYFUNCTION("to_date(index(sort(GOOGLEFINANCE(A24, ""low"", today()-52*7, today(), ""DAILY""),2,1),1,1))"),46111.64583333333)</f>
        <v>46111.64583</v>
      </c>
      <c r="J24" s="46" t="str">
        <f t="shared" si="1"/>
        <v>Do Not Buy Today</v>
      </c>
    </row>
    <row r="25">
      <c r="A25" s="96" t="s">
        <v>129</v>
      </c>
      <c r="B25" s="59">
        <f>IFERROR(__xludf.DUMMYFUNCTION("GOOGLEFINANCE(A25,""price"")"),305.1)</f>
        <v>305.1</v>
      </c>
      <c r="C25" s="60">
        <f>IFERROR(__xludf.DUMMYFUNCTION("GOOGLEFINANCE(A25,""closeyest"")"),304.6)</f>
        <v>304.6</v>
      </c>
      <c r="D25" s="61">
        <f>IFERROR(__xludf.DUMMYFUNCTION("MIN(index(GOOGLEFINANCE(A25,""ALL"",TODAY()-180,TODAY()),0,5))*1.2"),325.56)</f>
        <v>325.56</v>
      </c>
      <c r="E25" s="62">
        <f>IFERROR(__xludf.DUMMYFUNCTION("AVERAGE(QUERY(SORT(GOOGLEFINANCE(A25,""price"",TODAY()-320,TODAY()),1,0),""select Col2 limit 100""))"),333.3525000000001)</f>
        <v>333.3525</v>
      </c>
      <c r="F25" s="44">
        <f>IFERROR(__xludf.DUMMYFUNCTION("GOOGLEFINANCE(A25,""high52"")"),391.65)</f>
        <v>391.65</v>
      </c>
      <c r="G25" s="45">
        <f>IFERROR(__xludf.DUMMYFUNCTION("to_date(index(sort(GOOGLEFINANCE(A25, ""high"", today()-52*7, today(), ""DAILY""),2,0),2,1))"),46058.64583333333)</f>
        <v>46058.64583</v>
      </c>
      <c r="H25" s="44">
        <f>IFERROR(__xludf.DUMMYFUNCTION("GOOGLEFINANCE(A25,""low52"")"),266.6)</f>
        <v>266.6</v>
      </c>
      <c r="I25" s="45">
        <f>IFERROR(__xludf.DUMMYFUNCTION("to_date(index(sort(GOOGLEFINANCE(A25, ""low"", today()-52*7, today(), ""DAILY""),2,1),1,1))"),46114.64583333333)</f>
        <v>46114.64583</v>
      </c>
      <c r="J25" s="46" t="str">
        <f t="shared" si="1"/>
        <v>Do Not Buy Today</v>
      </c>
    </row>
    <row r="26">
      <c r="A26" s="96" t="s">
        <v>163</v>
      </c>
      <c r="B26" s="59">
        <f>IFERROR(__xludf.DUMMYFUNCTION("GOOGLEFINANCE(A26,""price"")"),276.2)</f>
        <v>276.2</v>
      </c>
      <c r="C26" s="60">
        <f>IFERROR(__xludf.DUMMYFUNCTION("GOOGLEFINANCE(A26,""closeyest"")"),287.5)</f>
        <v>287.5</v>
      </c>
      <c r="D26" s="61">
        <f>IFERROR(__xludf.DUMMYFUNCTION("MIN(index(GOOGLEFINANCE(A26,""ALL"",TODAY()-180,TODAY()),0,5))*1.2"),277.70399999999995)</f>
        <v>277.704</v>
      </c>
      <c r="E26" s="62">
        <f>IFERROR(__xludf.DUMMYFUNCTION("AVERAGE(QUERY(SORT(GOOGLEFINANCE(A26,""price"",TODAY()-320,TODAY()),1,0),""select Col2 limit 100""))"),270.932)</f>
        <v>270.932</v>
      </c>
      <c r="F26" s="44">
        <f>IFERROR(__xludf.DUMMYFUNCTION("GOOGLEFINANCE(A26,""high52"")"),307.5)</f>
        <v>307.5</v>
      </c>
      <c r="G26" s="45">
        <f>IFERROR(__xludf.DUMMYFUNCTION("to_date(index(sort(GOOGLEFINANCE(A26, ""high"", today()-52*7, today(), ""DAILY""),2,0),2,1))"),46141.64583333333)</f>
        <v>46141.64583</v>
      </c>
      <c r="H26" s="44">
        <f>IFERROR(__xludf.DUMMYFUNCTION("GOOGLEFINANCE(A26,""low52"")"),228.61)</f>
        <v>228.61</v>
      </c>
      <c r="I26" s="45">
        <f>IFERROR(__xludf.DUMMYFUNCTION("to_date(index(sort(GOOGLEFINANCE(A26, ""low"", today()-52*7, today(), ""DAILY""),2,1),1,1))"),46008.64583333333)</f>
        <v>46008.64583</v>
      </c>
      <c r="J26" s="46" t="str">
        <f t="shared" si="1"/>
        <v>Do Not Buy Today</v>
      </c>
    </row>
    <row r="27">
      <c r="A27" s="96" t="s">
        <v>483</v>
      </c>
      <c r="B27" s="59">
        <f>IFERROR(__xludf.DUMMYFUNCTION("GOOGLEFINANCE(A27,""price"")"),206.8)</f>
        <v>206.8</v>
      </c>
      <c r="C27" s="60">
        <f>IFERROR(__xludf.DUMMYFUNCTION("GOOGLEFINANCE(A27,""closeyest"")"),205.29)</f>
        <v>205.29</v>
      </c>
      <c r="D27" s="61">
        <f>IFERROR(__xludf.DUMMYFUNCTION("MIN(index(GOOGLEFINANCE(A27,""ALL"",TODAY()-180,TODAY()),0,5))*1.2"),210.756)</f>
        <v>210.756</v>
      </c>
      <c r="E27" s="62">
        <f>IFERROR(__xludf.DUMMYFUNCTION("AVERAGE(QUERY(SORT(GOOGLEFINANCE(A27,""price"",TODAY()-320,TODAY()),1,0),""select Col2 limit 100""))"),215.85970000000006)</f>
        <v>215.8597</v>
      </c>
      <c r="F27" s="44">
        <f>IFERROR(__xludf.DUMMYFUNCTION("GOOGLEFINANCE(A27,""high52"")"),316.0)</f>
        <v>316</v>
      </c>
      <c r="G27" s="45">
        <f>IFERROR(__xludf.DUMMYFUNCTION("to_date(index(sort(GOOGLEFINANCE(A27, ""high"", today()-52*7, today(), ""DAILY""),2,0),2,1))"),45813.64583333333)</f>
        <v>45813.64583</v>
      </c>
      <c r="H27" s="44">
        <f>IFERROR(__xludf.DUMMYFUNCTION("GOOGLEFINANCE(A27,""low52"")"),175.0)</f>
        <v>175</v>
      </c>
      <c r="I27" s="45">
        <f>IFERROR(__xludf.DUMMYFUNCTION("to_date(index(sort(GOOGLEFINANCE(A27, ""low"", today()-52*7, today(), ""DAILY""),2,1),1,1))"),46111.64583333333)</f>
        <v>46111.64583</v>
      </c>
      <c r="J27" s="46" t="str">
        <f t="shared" si="1"/>
        <v>Do Not Buy Today</v>
      </c>
    </row>
    <row r="28">
      <c r="A28" s="96" t="s">
        <v>633</v>
      </c>
      <c r="B28" s="59">
        <f>IFERROR(__xludf.DUMMYFUNCTION("GOOGLEFINANCE(A28,""price"")"),417.3)</f>
        <v>417.3</v>
      </c>
      <c r="C28" s="60">
        <f>IFERROR(__xludf.DUMMYFUNCTION("GOOGLEFINANCE(A28,""closeyest"")"),414.55)</f>
        <v>414.55</v>
      </c>
      <c r="D28" s="61">
        <f>IFERROR(__xludf.DUMMYFUNCTION("MIN(index(GOOGLEFINANCE(A28,""ALL"",TODAY()-180,TODAY()),0,5))*1.2"),324.53999999999996)</f>
        <v>324.54</v>
      </c>
      <c r="E28" s="62">
        <f>IFERROR(__xludf.DUMMYFUNCTION("AVERAGE(QUERY(SORT(GOOGLEFINANCE(A28,""price"",TODAY()-320,TODAY()),1,0),""select Col2 limit 100""))"),355.9705)</f>
        <v>355.9705</v>
      </c>
      <c r="F28" s="44">
        <f>IFERROR(__xludf.DUMMYFUNCTION("GOOGLEFINANCE(A28,""high52"")"),469.0)</f>
        <v>469</v>
      </c>
      <c r="G28" s="45">
        <f>IFERROR(__xludf.DUMMYFUNCTION("to_date(index(sort(GOOGLEFINANCE(A28, ""high"", today()-52*7, today(), ""DAILY""),2,0),2,1))"),45832.64583333333)</f>
        <v>45832.64583</v>
      </c>
      <c r="H28" s="44">
        <f>IFERROR(__xludf.DUMMYFUNCTION("GOOGLEFINANCE(A28,""low52"")"),266.65)</f>
        <v>266.65</v>
      </c>
      <c r="I28" s="45">
        <f>IFERROR(__xludf.DUMMYFUNCTION("to_date(index(sort(GOOGLEFINANCE(A28, ""low"", today()-52*7, today(), ""DAILY""),2,1),1,1))"),46111.64583333333)</f>
        <v>46111.64583</v>
      </c>
      <c r="J28" s="46" t="str">
        <f t="shared" si="1"/>
        <v>Do Not Buy Today</v>
      </c>
    </row>
    <row r="29">
      <c r="A29" s="96" t="s">
        <v>301</v>
      </c>
      <c r="B29" s="59">
        <f>IFERROR(__xludf.DUMMYFUNCTION("GOOGLEFINANCE(A29,""price"")"),80.57)</f>
        <v>80.57</v>
      </c>
      <c r="C29" s="60">
        <f>IFERROR(__xludf.DUMMYFUNCTION("GOOGLEFINANCE(A29,""closeyest"")"),78.44)</f>
        <v>78.44</v>
      </c>
      <c r="D29" s="61">
        <f>IFERROR(__xludf.DUMMYFUNCTION("MIN(index(GOOGLEFINANCE(A29,""ALL"",TODAY()-180,TODAY()),0,5))*1.2"),86.676)</f>
        <v>86.676</v>
      </c>
      <c r="E29" s="62">
        <f>IFERROR(__xludf.DUMMYFUNCTION("AVERAGE(QUERY(SORT(GOOGLEFINANCE(A29,""price"",TODAY()-320,TODAY()),1,0),""select Col2 limit 100""))"),78.31269999999999)</f>
        <v>78.3127</v>
      </c>
      <c r="F29" s="44">
        <f>IFERROR(__xludf.DUMMYFUNCTION("GOOGLEFINANCE(A29,""high52"")"),92.34)</f>
        <v>92.34</v>
      </c>
      <c r="G29" s="45">
        <f>IFERROR(__xludf.DUMMYFUNCTION("to_date(index(sort(GOOGLEFINANCE(A29, ""high"", today()-52*7, today(), ""DAILY""),2,0),2,1))"),45817.64583333333)</f>
        <v>45817.64583</v>
      </c>
      <c r="H29" s="44">
        <f>IFERROR(__xludf.DUMMYFUNCTION("GOOGLEFINANCE(A29,""low52"")"),71.62)</f>
        <v>71.62</v>
      </c>
      <c r="I29" s="45">
        <f>IFERROR(__xludf.DUMMYFUNCTION("to_date(index(sort(GOOGLEFINANCE(A29, ""low"", today()-52*7, today(), ""DAILY""),2,1),1,1))"),46085.64583333333)</f>
        <v>46085.64583</v>
      </c>
      <c r="J29" s="46" t="str">
        <f t="shared" si="1"/>
        <v>Do Not Buy Today</v>
      </c>
    </row>
    <row r="30">
      <c r="A30" s="96" t="s">
        <v>274</v>
      </c>
      <c r="B30" s="59">
        <f>IFERROR(__xludf.DUMMYFUNCTION("GOOGLEFINANCE(A30,""price"")"),75.66)</f>
        <v>75.66</v>
      </c>
      <c r="C30" s="60">
        <f>IFERROR(__xludf.DUMMYFUNCTION("GOOGLEFINANCE(A30,""closeyest"")"),73.79)</f>
        <v>73.79</v>
      </c>
      <c r="D30" s="61">
        <f>IFERROR(__xludf.DUMMYFUNCTION("MIN(index(GOOGLEFINANCE(A30,""ALL"",TODAY()-180,TODAY()),0,5))*1.2"),76.02)</f>
        <v>76.02</v>
      </c>
      <c r="E30" s="62">
        <f>IFERROR(__xludf.DUMMYFUNCTION("AVERAGE(QUERY(SORT(GOOGLEFINANCE(A30,""price"",TODAY()-320,TODAY()),1,0),""select Col2 limit 100""))"),74.33330000000001)</f>
        <v>74.3333</v>
      </c>
      <c r="F30" s="44">
        <f>IFERROR(__xludf.DUMMYFUNCTION("GOOGLEFINANCE(A30,""high52"")"),105.85)</f>
        <v>105.85</v>
      </c>
      <c r="G30" s="45">
        <f>IFERROR(__xludf.DUMMYFUNCTION("to_date(index(sort(GOOGLEFINANCE(A30, ""high"", today()-52*7, today(), ""DAILY""),2,0),2,1))"),45819.64583333333)</f>
        <v>45819.64583</v>
      </c>
      <c r="H30" s="44">
        <f>IFERROR(__xludf.DUMMYFUNCTION("GOOGLEFINANCE(A30,""low52"")"),63.02)</f>
        <v>63.02</v>
      </c>
      <c r="I30" s="45">
        <f>IFERROR(__xludf.DUMMYFUNCTION("to_date(index(sort(GOOGLEFINANCE(A30, ""low"", today()-52*7, today(), ""DAILY""),2,1),1,1))"),46111.64583333333)</f>
        <v>46111.64583</v>
      </c>
      <c r="J30" s="46" t="str">
        <f t="shared" si="1"/>
        <v>Do Not Buy Today</v>
      </c>
    </row>
    <row r="31">
      <c r="A31" s="96" t="s">
        <v>302</v>
      </c>
      <c r="B31" s="59">
        <f>IFERROR(__xludf.DUMMYFUNCTION("GOOGLEFINANCE(A31,""price"")"),473.65)</f>
        <v>473.65</v>
      </c>
      <c r="C31" s="60">
        <f>IFERROR(__xludf.DUMMYFUNCTION("GOOGLEFINANCE(A31,""closeyest"")"),475.9)</f>
        <v>475.9</v>
      </c>
      <c r="D31" s="61">
        <f>IFERROR(__xludf.DUMMYFUNCTION("MIN(index(GOOGLEFINANCE(A31,""ALL"",TODAY()-180,TODAY()),0,5))*1.2"),508.5)</f>
        <v>508.5</v>
      </c>
      <c r="E31" s="62">
        <f>IFERROR(__xludf.DUMMYFUNCTION("AVERAGE(QUERY(SORT(GOOGLEFINANCE(A31,""price"",TODAY()-320,TODAY()),1,0),""select Col2 limit 100""))"),496.5335)</f>
        <v>496.5335</v>
      </c>
      <c r="F31" s="44">
        <f>IFERROR(__xludf.DUMMYFUNCTION("GOOGLEFINANCE(A31,""high52"")"),652.04)</f>
        <v>652.04</v>
      </c>
      <c r="G31" s="45">
        <f>IFERROR(__xludf.DUMMYFUNCTION("to_date(index(sort(GOOGLEFINANCE(A31, ""high"", today()-52*7, today(), ""DAILY""),2,0),2,1))"),45813.64583333333)</f>
        <v>45813.64583</v>
      </c>
      <c r="H31" s="44">
        <f>IFERROR(__xludf.DUMMYFUNCTION("GOOGLEFINANCE(A31,""low52"")"),421.45)</f>
        <v>421.45</v>
      </c>
      <c r="I31" s="45">
        <f>IFERROR(__xludf.DUMMYFUNCTION("to_date(index(sort(GOOGLEFINANCE(A31, ""low"", today()-52*7, today(), ""DAILY""),2,1),1,1))"),46104.64583333333)</f>
        <v>46104.64583</v>
      </c>
      <c r="J31" s="46" t="str">
        <f t="shared" si="1"/>
        <v>Do Not Buy Today</v>
      </c>
    </row>
    <row r="32">
      <c r="A32" s="96" t="s">
        <v>437</v>
      </c>
      <c r="B32" s="59">
        <f>IFERROR(__xludf.DUMMYFUNCTION("GOOGLEFINANCE(A32,""price"")"),2669.1)</f>
        <v>2669.1</v>
      </c>
      <c r="C32" s="60">
        <f>IFERROR(__xludf.DUMMYFUNCTION("GOOGLEFINANCE(A32,""closeyest"")"),2662.5)</f>
        <v>2662.5</v>
      </c>
      <c r="D32" s="61">
        <f>IFERROR(__xludf.DUMMYFUNCTION("MIN(index(GOOGLEFINANCE(A32,""ALL"",TODAY()-180,TODAY()),0,5))*1.2"),2367.3599999999997)</f>
        <v>2367.36</v>
      </c>
      <c r="E32" s="62">
        <f>IFERROR(__xludf.DUMMYFUNCTION("AVERAGE(QUERY(SORT(GOOGLEFINANCE(A32,""price"",TODAY()-320,TODAY()),1,0),""select Col2 limit 100""))"),2522.500000000001)</f>
        <v>2522.5</v>
      </c>
      <c r="F32" s="44">
        <f>IFERROR(__xludf.DUMMYFUNCTION("GOOGLEFINANCE(A32,""high52"")"),3538.4)</f>
        <v>3538.4</v>
      </c>
      <c r="G32" s="45">
        <f>IFERROR(__xludf.DUMMYFUNCTION("to_date(index(sort(GOOGLEFINANCE(A32, ""high"", today()-52*7, today(), ""DAILY""),2,0),2,1))"),45831.64583333333)</f>
        <v>45831.64583</v>
      </c>
      <c r="H32" s="44">
        <f>IFERROR(__xludf.DUMMYFUNCTION("GOOGLEFINANCE(A32,""low52"")"),1963.7)</f>
        <v>1963.7</v>
      </c>
      <c r="I32" s="45">
        <f>IFERROR(__xludf.DUMMYFUNCTION("to_date(index(sort(GOOGLEFINANCE(A32, ""low"", today()-52*7, today(), ""DAILY""),2,1),1,1))"),46111.64583333333)</f>
        <v>46111.64583</v>
      </c>
      <c r="J32" s="46" t="str">
        <f t="shared" si="1"/>
        <v>Do Not Buy Today</v>
      </c>
    </row>
    <row r="33">
      <c r="A33" s="96" t="s">
        <v>199</v>
      </c>
      <c r="B33" s="59">
        <f>IFERROR(__xludf.DUMMYFUNCTION("GOOGLEFINANCE(A33,""price"")"),835.0)</f>
        <v>835</v>
      </c>
      <c r="C33" s="60">
        <f>IFERROR(__xludf.DUMMYFUNCTION("GOOGLEFINANCE(A33,""closeyest"")"),833.55)</f>
        <v>833.55</v>
      </c>
      <c r="D33" s="61">
        <f>IFERROR(__xludf.DUMMYFUNCTION("MIN(index(GOOGLEFINANCE(A33,""ALL"",TODAY()-180,TODAY()),0,5))*1.2"),927.78)</f>
        <v>927.78</v>
      </c>
      <c r="E33" s="62">
        <f>IFERROR(__xludf.DUMMYFUNCTION("AVERAGE(QUERY(SORT(GOOGLEFINANCE(A33,""price"",TODAY()-320,TODAY()),1,0),""select Col2 limit 100""))"),883.2409999999999)</f>
        <v>883.241</v>
      </c>
      <c r="F33" s="44">
        <f>IFERROR(__xludf.DUMMYFUNCTION("GOOGLEFINANCE(A33,""high52"")"),1000.9)</f>
        <v>1000.9</v>
      </c>
      <c r="G33" s="45">
        <f>IFERROR(__xludf.DUMMYFUNCTION("to_date(index(sort(GOOGLEFINANCE(A33, ""high"", today()-52*7, today(), ""DAILY""),2,0),2,1))"),46127.64583333333)</f>
        <v>46127.64583</v>
      </c>
      <c r="H33" s="44">
        <f>IFERROR(__xludf.DUMMYFUNCTION("GOOGLEFINANCE(A33,""low52"")"),586.25)</f>
        <v>586.25</v>
      </c>
      <c r="I33" s="45">
        <f>IFERROR(__xludf.DUMMYFUNCTION("to_date(index(sort(GOOGLEFINANCE(A33, ""low"", today()-52*7, today(), ""DAILY""),2,1),1,1))"),45805.64583333333)</f>
        <v>45805.64583</v>
      </c>
      <c r="J33" s="46" t="str">
        <f t="shared" si="1"/>
        <v>Do Not Buy Today</v>
      </c>
    </row>
    <row r="34">
      <c r="A34" s="96" t="s">
        <v>634</v>
      </c>
      <c r="B34" s="59">
        <f>IFERROR(__xludf.DUMMYFUNCTION("GOOGLEFINANCE(A34,""price"")"),184.09)</f>
        <v>184.09</v>
      </c>
      <c r="C34" s="60">
        <f>IFERROR(__xludf.DUMMYFUNCTION("GOOGLEFINANCE(A34,""closeyest"")"),182.02)</f>
        <v>182.02</v>
      </c>
      <c r="D34" s="61">
        <f>IFERROR(__xludf.DUMMYFUNCTION("MIN(index(GOOGLEFINANCE(A34,""ALL"",TODAY()-180,TODAY()),0,5))*1.2"),178.89600000000002)</f>
        <v>178.896</v>
      </c>
      <c r="E34" s="62">
        <f>IFERROR(__xludf.DUMMYFUNCTION("AVERAGE(QUERY(SORT(GOOGLEFINANCE(A34,""price"",TODAY()-320,TODAY()),1,0),""select Col2 limit 100""))"),176.60379999999998)</f>
        <v>176.6038</v>
      </c>
      <c r="F34" s="44">
        <f>IFERROR(__xludf.DUMMYFUNCTION("GOOGLEFINANCE(A34,""high52"")"),238.2)</f>
        <v>238.2</v>
      </c>
      <c r="G34" s="45">
        <f>IFERROR(__xludf.DUMMYFUNCTION("to_date(index(sort(GOOGLEFINANCE(A34, ""high"", today()-52*7, today(), ""DAILY""),2,0),2,1))"),45915.64583333333)</f>
        <v>45915.64583</v>
      </c>
      <c r="H34" s="44">
        <f>IFERROR(__xludf.DUMMYFUNCTION("GOOGLEFINANCE(A34,""low52"")"),148.36)</f>
        <v>148.36</v>
      </c>
      <c r="I34" s="45">
        <f>IFERROR(__xludf.DUMMYFUNCTION("to_date(index(sort(GOOGLEFINANCE(A34, ""low"", today()-52*7, today(), ""DAILY""),2,1),1,1))"),46111.64583333333)</f>
        <v>46111.64583</v>
      </c>
      <c r="J34" s="46" t="str">
        <f t="shared" si="1"/>
        <v>Do Not Buy Today</v>
      </c>
    </row>
    <row r="35">
      <c r="A35" s="96" t="s">
        <v>539</v>
      </c>
      <c r="B35" s="59">
        <f>IFERROR(__xludf.DUMMYFUNCTION("GOOGLEFINANCE(A35,""price"")"),97.51)</f>
        <v>97.51</v>
      </c>
      <c r="C35" s="60">
        <f>IFERROR(__xludf.DUMMYFUNCTION("GOOGLEFINANCE(A35,""closeyest"")"),95.55)</f>
        <v>95.55</v>
      </c>
      <c r="D35" s="61">
        <f>IFERROR(__xludf.DUMMYFUNCTION("MIN(index(GOOGLEFINANCE(A35,""ALL"",TODAY()-180,TODAY()),0,5))*1.2"),93.02399999999999)</f>
        <v>93.024</v>
      </c>
      <c r="E35" s="62">
        <f>IFERROR(__xludf.DUMMYFUNCTION("AVERAGE(QUERY(SORT(GOOGLEFINANCE(A35,""price"",TODAY()-320,TODAY()),1,0),""select Col2 limit 100""))"),95.95320000000004)</f>
        <v>95.9532</v>
      </c>
      <c r="F35" s="44">
        <f>IFERROR(__xludf.DUMMYFUNCTION("GOOGLEFINANCE(A35,""high52"")"),130.7)</f>
        <v>130.7</v>
      </c>
      <c r="G35" s="45">
        <f>IFERROR(__xludf.DUMMYFUNCTION("to_date(index(sort(GOOGLEFINANCE(A35, ""high"", today()-52*7, today(), ""DAILY""),2,0),2,1))"),45817.64583333333)</f>
        <v>45817.64583</v>
      </c>
      <c r="H35" s="44">
        <f>IFERROR(__xludf.DUMMYFUNCTION("GOOGLEFINANCE(A35,""low52"")"),77.18)</f>
        <v>77.18</v>
      </c>
      <c r="I35" s="45">
        <f>IFERROR(__xludf.DUMMYFUNCTION("to_date(index(sort(GOOGLEFINANCE(A35, ""low"", today()-52*7, today(), ""DAILY""),2,1),1,1))"),46111.64583333333)</f>
        <v>46111.64583</v>
      </c>
      <c r="J35" s="46" t="str">
        <f t="shared" si="1"/>
        <v>Buy Today</v>
      </c>
    </row>
    <row r="36">
      <c r="A36" s="96" t="s">
        <v>281</v>
      </c>
      <c r="B36" s="59">
        <f>IFERROR(__xludf.DUMMYFUNCTION("GOOGLEFINANCE(A36,""price"")"),168.76)</f>
        <v>168.76</v>
      </c>
      <c r="C36" s="60">
        <f>IFERROR(__xludf.DUMMYFUNCTION("GOOGLEFINANCE(A36,""closeyest"")"),167.63)</f>
        <v>167.63</v>
      </c>
      <c r="D36" s="61">
        <f>IFERROR(__xludf.DUMMYFUNCTION("MIN(index(GOOGLEFINANCE(A36,""ALL"",TODAY()-180,TODAY()),0,5))*1.2"),162.48)</f>
        <v>162.48</v>
      </c>
      <c r="E36" s="62">
        <f>IFERROR(__xludf.DUMMYFUNCTION("AVERAGE(QUERY(SORT(GOOGLEFINANCE(A36,""price"",TODAY()-320,TODAY()),1,0),""select Col2 limit 100""))"),160.08729999999986)</f>
        <v>160.0873</v>
      </c>
      <c r="F36" s="44">
        <f>IFERROR(__xludf.DUMMYFUNCTION("GOOGLEFINANCE(A36,""high52"")"),202.79)</f>
        <v>202.79</v>
      </c>
      <c r="G36" s="45">
        <f>IFERROR(__xludf.DUMMYFUNCTION("to_date(index(sort(GOOGLEFINANCE(A36, ""high"", today()-52*7, today(), ""DAILY""),2,0),2,1))"),45820.64583333333)</f>
        <v>45820.64583</v>
      </c>
      <c r="H36" s="44">
        <f>IFERROR(__xludf.DUMMYFUNCTION("GOOGLEFINANCE(A36,""low52"")"),134.36)</f>
        <v>134.36</v>
      </c>
      <c r="I36" s="45">
        <f>IFERROR(__xludf.DUMMYFUNCTION("to_date(index(sort(GOOGLEFINANCE(A36, ""low"", today()-52*7, today(), ""DAILY""),2,1),1,1))"),46104.64583333333)</f>
        <v>46104.64583</v>
      </c>
      <c r="J36" s="46" t="str">
        <f t="shared" si="1"/>
        <v>Do Not Buy Today</v>
      </c>
    </row>
    <row r="37">
      <c r="A37" s="96" t="s">
        <v>320</v>
      </c>
      <c r="B37" s="59">
        <f>IFERROR(__xludf.DUMMYFUNCTION("GOOGLEFINANCE(A37,""price"")"),65.85)</f>
        <v>65.85</v>
      </c>
      <c r="C37" s="60">
        <f>IFERROR(__xludf.DUMMYFUNCTION("GOOGLEFINANCE(A37,""closeyest"")"),65.04)</f>
        <v>65.04</v>
      </c>
      <c r="D37" s="61">
        <f>IFERROR(__xludf.DUMMYFUNCTION("MIN(index(GOOGLEFINANCE(A37,""ALL"",TODAY()-180,TODAY()),0,5))*1.2"),62.519999999999996)</f>
        <v>62.52</v>
      </c>
      <c r="E37" s="62">
        <f>IFERROR(__xludf.DUMMYFUNCTION("AVERAGE(QUERY(SORT(GOOGLEFINANCE(A37,""price"",TODAY()-320,TODAY()),1,0),""select Col2 limit 100""))"),62.8408)</f>
        <v>62.8408</v>
      </c>
      <c r="F37" s="44">
        <f>IFERROR(__xludf.DUMMYFUNCTION("GOOGLEFINANCE(A37,""high52"")"),88.19)</f>
        <v>88.19</v>
      </c>
      <c r="G37" s="45">
        <f>IFERROR(__xludf.DUMMYFUNCTION("to_date(index(sort(GOOGLEFINANCE(A37, ""high"", today()-52*7, today(), ""DAILY""),2,0),2,1))"),45807.64583333333)</f>
        <v>45807.64583</v>
      </c>
      <c r="H37" s="44">
        <f>IFERROR(__xludf.DUMMYFUNCTION("GOOGLEFINANCE(A37,""low52"")"),50.1)</f>
        <v>50.1</v>
      </c>
      <c r="I37" s="45">
        <f>IFERROR(__xludf.DUMMYFUNCTION("to_date(index(sort(GOOGLEFINANCE(A37, ""low"", today()-52*7, today(), ""DAILY""),2,1),1,1))"),46111.64583333333)</f>
        <v>46111.64583</v>
      </c>
      <c r="J37" s="46" t="str">
        <f t="shared" si="1"/>
        <v>Do Not Buy Today</v>
      </c>
    </row>
    <row r="38">
      <c r="A38" s="96" t="s">
        <v>503</v>
      </c>
      <c r="B38" s="59">
        <f>IFERROR(__xludf.DUMMYFUNCTION("GOOGLEFINANCE(A38,""price"")"),131.92)</f>
        <v>131.92</v>
      </c>
      <c r="C38" s="60">
        <f>IFERROR(__xludf.DUMMYFUNCTION("GOOGLEFINANCE(A38,""closeyest"")"),132.09)</f>
        <v>132.09</v>
      </c>
      <c r="D38" s="61">
        <f>IFERROR(__xludf.DUMMYFUNCTION("MIN(index(GOOGLEFINANCE(A38,""ALL"",TODAY()-180,TODAY()),0,5))*1.2"),128.004)</f>
        <v>128.004</v>
      </c>
      <c r="E38" s="62">
        <f>IFERROR(__xludf.DUMMYFUNCTION("AVERAGE(QUERY(SORT(GOOGLEFINANCE(A38,""price"",TODAY()-320,TODAY()),1,0),""select Col2 limit 100""))"),129.06529999999992)</f>
        <v>129.0653</v>
      </c>
      <c r="F38" s="44">
        <f>IFERROR(__xludf.DUMMYFUNCTION("GOOGLEFINANCE(A38,""high52"")"),166.5)</f>
        <v>166.5</v>
      </c>
      <c r="G38" s="45">
        <f>IFERROR(__xludf.DUMMYFUNCTION("to_date(index(sort(GOOGLEFINANCE(A38, ""high"", today()-52*7, today(), ""DAILY""),2,0),2,1))"),45819.64583333333)</f>
        <v>45819.64583</v>
      </c>
      <c r="H38" s="44">
        <f>IFERROR(__xludf.DUMMYFUNCTION("GOOGLEFINANCE(A38,""low52"")"),106.0)</f>
        <v>106</v>
      </c>
      <c r="I38" s="45">
        <f>IFERROR(__xludf.DUMMYFUNCTION("to_date(index(sort(GOOGLEFINANCE(A38, ""low"", today()-52*7, today(), ""DAILY""),2,1),1,1))"),46111.64583333333)</f>
        <v>46111.64583</v>
      </c>
      <c r="J38" s="46" t="str">
        <f t="shared" si="1"/>
        <v>Do Not Buy Today</v>
      </c>
    </row>
    <row r="39">
      <c r="A39" s="96" t="s">
        <v>208</v>
      </c>
      <c r="B39" s="59">
        <f>IFERROR(__xludf.DUMMYFUNCTION("GOOGLEFINANCE(A39,""price"")"),145.85)</f>
        <v>145.85</v>
      </c>
      <c r="C39" s="60">
        <f>IFERROR(__xludf.DUMMYFUNCTION("GOOGLEFINANCE(A39,""closeyest"")"),144.99)</f>
        <v>144.99</v>
      </c>
      <c r="D39" s="61">
        <f>IFERROR(__xludf.DUMMYFUNCTION("MIN(index(GOOGLEFINANCE(A39,""ALL"",TODAY()-180,TODAY()),0,5))*1.2"),164.388)</f>
        <v>164.388</v>
      </c>
      <c r="E39" s="62">
        <f>IFERROR(__xludf.DUMMYFUNCTION("AVERAGE(QUERY(SORT(GOOGLEFINANCE(A39,""price"",TODAY()-320,TODAY()),1,0),""select Col2 limit 100""))"),152.40969999999996)</f>
        <v>152.4097</v>
      </c>
      <c r="F39" s="44">
        <f>IFERROR(__xludf.DUMMYFUNCTION("GOOGLEFINANCE(A39,""high52"")"),178.36)</f>
        <v>178.36</v>
      </c>
      <c r="G39" s="45">
        <f>IFERROR(__xludf.DUMMYFUNCTION("to_date(index(sort(GOOGLEFINANCE(A39, ""high"", today()-52*7, today(), ""DAILY""),2,0),2,1))"),46080.64583333333)</f>
        <v>46080.64583</v>
      </c>
      <c r="H39" s="44">
        <f>IFERROR(__xludf.DUMMYFUNCTION("GOOGLEFINANCE(A39,""low52"")"),108.81)</f>
        <v>108.81</v>
      </c>
      <c r="I39" s="45">
        <f>IFERROR(__xludf.DUMMYFUNCTION("to_date(index(sort(GOOGLEFINANCE(A39, ""low"", today()-52*7, today(), ""DAILY""),2,1),1,1))"),45870.64583333333)</f>
        <v>45870.64583</v>
      </c>
      <c r="J39" s="46" t="str">
        <f t="shared" si="1"/>
        <v>Do Not Buy Today</v>
      </c>
    </row>
    <row r="40">
      <c r="A40" s="96" t="s">
        <v>333</v>
      </c>
      <c r="B40" s="59">
        <f>IFERROR(__xludf.DUMMYFUNCTION("GOOGLEFINANCE(A40,""price"")"),306.7)</f>
        <v>306.7</v>
      </c>
      <c r="C40" s="60">
        <f>IFERROR(__xludf.DUMMYFUNCTION("GOOGLEFINANCE(A40,""closeyest"")"),308.05)</f>
        <v>308.05</v>
      </c>
      <c r="D40" s="61">
        <f>IFERROR(__xludf.DUMMYFUNCTION("MIN(index(GOOGLEFINANCE(A40,""ALL"",TODAY()-180,TODAY()),0,5))*1.2"),242.088)</f>
        <v>242.088</v>
      </c>
      <c r="E40" s="62">
        <f>IFERROR(__xludf.DUMMYFUNCTION("AVERAGE(QUERY(SORT(GOOGLEFINANCE(A40,""price"",TODAY()-320,TODAY()),1,0),""select Col2 limit 100""))"),258.02230000000003)</f>
        <v>258.0223</v>
      </c>
      <c r="F40" s="44">
        <f>IFERROR(__xludf.DUMMYFUNCTION("GOOGLEFINANCE(A40,""high52"")"),368.75)</f>
        <v>368.75</v>
      </c>
      <c r="G40" s="45">
        <f>IFERROR(__xludf.DUMMYFUNCTION("to_date(index(sort(GOOGLEFINANCE(A40, ""high"", today()-52*7, today(), ""DAILY""),2,0),2,1))"),46153.64583333333)</f>
        <v>46153.64583</v>
      </c>
      <c r="H40" s="44">
        <f>IFERROR(__xludf.DUMMYFUNCTION("GOOGLEFINANCE(A40,""low52"")"),195.55)</f>
        <v>195.55</v>
      </c>
      <c r="I40" s="45">
        <f>IFERROR(__xludf.DUMMYFUNCTION("to_date(index(sort(GOOGLEFINANCE(A40, ""low"", today()-52*7, today(), ""DAILY""),2,1),1,1))"),46049.64583333333)</f>
        <v>46049.64583</v>
      </c>
      <c r="J40" s="46" t="str">
        <f t="shared" si="1"/>
        <v>Do Not Buy Today</v>
      </c>
    </row>
    <row r="41">
      <c r="A41" s="96" t="s">
        <v>523</v>
      </c>
      <c r="B41" s="59">
        <f>IFERROR(__xludf.DUMMYFUNCTION("GOOGLEFINANCE(A41,""price"")"),302.5)</f>
        <v>302.5</v>
      </c>
      <c r="C41" s="60">
        <f>IFERROR(__xludf.DUMMYFUNCTION("GOOGLEFINANCE(A41,""closeyest"")"),300.3)</f>
        <v>300.3</v>
      </c>
      <c r="D41" s="61">
        <f>IFERROR(__xludf.DUMMYFUNCTION("MIN(index(GOOGLEFINANCE(A41,""ALL"",TODAY()-180,TODAY()),0,5))*1.2"),286.86)</f>
        <v>286.86</v>
      </c>
      <c r="E41" s="62">
        <f>IFERROR(__xludf.DUMMYFUNCTION("AVERAGE(QUERY(SORT(GOOGLEFINANCE(A41,""price"",TODAY()-320,TODAY()),1,0),""select Col2 limit 100""))"),285.3958999999998)</f>
        <v>285.3959</v>
      </c>
      <c r="F41" s="44">
        <f>IFERROR(__xludf.DUMMYFUNCTION("GOOGLEFINANCE(A41,""high52"")"),372.85)</f>
        <v>372.85</v>
      </c>
      <c r="G41" s="45">
        <f>IFERROR(__xludf.DUMMYFUNCTION("to_date(index(sort(GOOGLEFINANCE(A41, ""high"", today()-52*7, today(), ""DAILY""),2,0),2,1))"),45938.64583333333)</f>
        <v>45938.64583</v>
      </c>
      <c r="H41" s="44">
        <f>IFERROR(__xludf.DUMMYFUNCTION("GOOGLEFINANCE(A41,""low52"")"),237.0)</f>
        <v>237</v>
      </c>
      <c r="I41" s="45">
        <f>IFERROR(__xludf.DUMMYFUNCTION("to_date(index(sort(GOOGLEFINANCE(A41, ""low"", today()-52*7, today(), ""DAILY""),2,1),1,1))"),46111.64583333333)</f>
        <v>46111.64583</v>
      </c>
      <c r="J41" s="46" t="str">
        <f t="shared" si="1"/>
        <v>Do Not Buy Today</v>
      </c>
    </row>
    <row r="42">
      <c r="A42" s="96" t="s">
        <v>222</v>
      </c>
      <c r="B42" s="59">
        <f>IFERROR(__xludf.DUMMYFUNCTION("GOOGLEFINANCE(A42,""price"")"),168.96)</f>
        <v>168.96</v>
      </c>
      <c r="C42" s="60">
        <f>IFERROR(__xludf.DUMMYFUNCTION("GOOGLEFINANCE(A42,""closeyest"")"),167.56)</f>
        <v>167.56</v>
      </c>
      <c r="D42" s="61">
        <f>IFERROR(__xludf.DUMMYFUNCTION("MIN(index(GOOGLEFINANCE(A42,""ALL"",TODAY()-180,TODAY()),0,5))*1.2"),177.672)</f>
        <v>177.672</v>
      </c>
      <c r="E42" s="62">
        <f>IFERROR(__xludf.DUMMYFUNCTION("AVERAGE(QUERY(SORT(GOOGLEFINANCE(A42,""price"",TODAY()-320,TODAY()),1,0),""select Col2 limit 100""))"),175.40030000000002)</f>
        <v>175.4003</v>
      </c>
      <c r="F42" s="44">
        <f>IFERROR(__xludf.DUMMYFUNCTION("GOOGLEFINANCE(A42,""high52"")"),205.49)</f>
        <v>205.49</v>
      </c>
      <c r="G42" s="45">
        <f>IFERROR(__xludf.DUMMYFUNCTION("to_date(index(sort(GOOGLEFINANCE(A42, ""high"", today()-52*7, today(), ""DAILY""),2,0),2,1))"),46080.64583333333)</f>
        <v>46080.64583</v>
      </c>
      <c r="H42" s="44">
        <f>IFERROR(__xludf.DUMMYFUNCTION("GOOGLEFINANCE(A42,""low52"")"),124.64)</f>
        <v>124.64</v>
      </c>
      <c r="I42" s="45">
        <f>IFERROR(__xludf.DUMMYFUNCTION("to_date(index(sort(GOOGLEFINANCE(A42, ""low"", today()-52*7, today(), ""DAILY""),2,1),1,1))"),45898.64583333333)</f>
        <v>45898.64583</v>
      </c>
      <c r="J42" s="46" t="str">
        <f t="shared" si="1"/>
        <v>Do Not Buy Today</v>
      </c>
    </row>
    <row r="43">
      <c r="A43" s="96" t="s">
        <v>478</v>
      </c>
      <c r="B43" s="59">
        <f>IFERROR(__xludf.DUMMYFUNCTION("GOOGLEFINANCE(A43,""price"")"),350.35)</f>
        <v>350.35</v>
      </c>
      <c r="C43" s="60">
        <f>IFERROR(__xludf.DUMMYFUNCTION("GOOGLEFINANCE(A43,""closeyest"")"),343.4)</f>
        <v>343.4</v>
      </c>
      <c r="D43" s="61">
        <f>IFERROR(__xludf.DUMMYFUNCTION("MIN(index(GOOGLEFINANCE(A43,""ALL"",TODAY()-180,TODAY()),0,5))*1.2"),283.488)</f>
        <v>283.488</v>
      </c>
      <c r="E43" s="62">
        <f>IFERROR(__xludf.DUMMYFUNCTION("AVERAGE(QUERY(SORT(GOOGLEFINANCE(A43,""price"",TODAY()-320,TODAY()),1,0),""select Col2 limit 100""))"),277.7973)</f>
        <v>277.7973</v>
      </c>
      <c r="F43" s="44">
        <f>IFERROR(__xludf.DUMMYFUNCTION("GOOGLEFINANCE(A43,""high52"")"),387.8)</f>
        <v>387.8</v>
      </c>
      <c r="G43" s="45">
        <f>IFERROR(__xludf.DUMMYFUNCTION("to_date(index(sort(GOOGLEFINANCE(A43, ""high"", today()-52*7, today(), ""DAILY""),2,0),2,1))"),46156.64583333333)</f>
        <v>46156.64583</v>
      </c>
      <c r="H43" s="44">
        <f>IFERROR(__xludf.DUMMYFUNCTION("GOOGLEFINANCE(A43,""low52"")"),220.71)</f>
        <v>220.71</v>
      </c>
      <c r="I43" s="45">
        <f>IFERROR(__xludf.DUMMYFUNCTION("to_date(index(sort(GOOGLEFINANCE(A43, ""low"", today()-52*7, today(), ""DAILY""),2,1),1,1))"),45846.64583333333)</f>
        <v>45846.64583</v>
      </c>
      <c r="J43" s="46" t="str">
        <f t="shared" si="1"/>
        <v>Do Not Buy Today</v>
      </c>
    </row>
    <row r="44">
      <c r="A44" s="96" t="s">
        <v>272</v>
      </c>
      <c r="B44" s="59">
        <f>IFERROR(__xludf.DUMMYFUNCTION("GOOGLEFINANCE(A44,""price"")"),435.15)</f>
        <v>435.15</v>
      </c>
      <c r="C44" s="60">
        <f>IFERROR(__xludf.DUMMYFUNCTION("GOOGLEFINANCE(A44,""closeyest"")"),416.2)</f>
        <v>416.2</v>
      </c>
      <c r="D44" s="61">
        <f>IFERROR(__xludf.DUMMYFUNCTION("MIN(index(GOOGLEFINANCE(A44,""ALL"",TODAY()-180,TODAY()),0,5))*1.2"),311.976)</f>
        <v>311.976</v>
      </c>
      <c r="E44" s="62">
        <f>IFERROR(__xludf.DUMMYFUNCTION("AVERAGE(QUERY(SORT(GOOGLEFINANCE(A44,""price"",TODAY()-320,TODAY()),1,0),""select Col2 limit 100""))"),381.48800000000017)</f>
        <v>381.488</v>
      </c>
      <c r="F44" s="44">
        <f>IFERROR(__xludf.DUMMYFUNCTION("GOOGLEFINANCE(A44,""high52"")"),445.15)</f>
        <v>445.15</v>
      </c>
      <c r="G44" s="45">
        <f>IFERROR(__xludf.DUMMYFUNCTION("to_date(index(sort(GOOGLEFINANCE(A44, ""high"", today()-52*7, today(), ""DAILY""),2,0),2,1))"),46139.64583333333)</f>
        <v>46139.64583</v>
      </c>
      <c r="H44" s="44">
        <f>IFERROR(__xludf.DUMMYFUNCTION("GOOGLEFINANCE(A44,""low52"")"),176.34)</f>
        <v>176.34</v>
      </c>
      <c r="I44" s="45">
        <f>IFERROR(__xludf.DUMMYFUNCTION("to_date(index(sort(GOOGLEFINANCE(A44, ""low"", today()-52*7, today(), ""DAILY""),2,1),1,1))"),45810.64583333333)</f>
        <v>45810.64583</v>
      </c>
      <c r="J44" s="46" t="str">
        <f t="shared" si="1"/>
        <v>Do Not Buy Today</v>
      </c>
    </row>
    <row r="45">
      <c r="A45" s="96" t="s">
        <v>349</v>
      </c>
      <c r="B45" s="59">
        <f>IFERROR(__xludf.DUMMYFUNCTION("GOOGLEFINANCE(A45,""price"")"),704.95)</f>
        <v>704.95</v>
      </c>
      <c r="C45" s="60">
        <f>IFERROR(__xludf.DUMMYFUNCTION("GOOGLEFINANCE(A45,""closeyest"")"),693.15)</f>
        <v>693.15</v>
      </c>
      <c r="D45" s="61">
        <f>IFERROR(__xludf.DUMMYFUNCTION("MIN(index(GOOGLEFINANCE(A45,""ALL"",TODAY()-180,TODAY()),0,5))*1.2"),584.3399999999999)</f>
        <v>584.34</v>
      </c>
      <c r="E45" s="62">
        <f>IFERROR(__xludf.DUMMYFUNCTION("AVERAGE(QUERY(SORT(GOOGLEFINANCE(A45,""price"",TODAY()-320,TODAY()),1,0),""select Col2 limit 100""))"),604.5284999999998)</f>
        <v>604.5285</v>
      </c>
      <c r="F45" s="44">
        <f>IFERROR(__xludf.DUMMYFUNCTION("GOOGLEFINANCE(A45,""high52"")"),771.9)</f>
        <v>771.9</v>
      </c>
      <c r="G45" s="45">
        <f>IFERROR(__xludf.DUMMYFUNCTION("to_date(index(sort(GOOGLEFINANCE(A45, ""high"", today()-52*7, today(), ""DAILY""),2,0),2,1))"),46129.64583333333)</f>
        <v>46129.64583</v>
      </c>
      <c r="H45" s="44">
        <f>IFERROR(__xludf.DUMMYFUNCTION("GOOGLEFINANCE(A45,""low52"")"),351.1)</f>
        <v>351.1</v>
      </c>
      <c r="I45" s="45">
        <f>IFERROR(__xludf.DUMMYFUNCTION("to_date(index(sort(GOOGLEFINANCE(A45, ""low"", today()-52*7, today(), ""DAILY""),2,1),1,1))"),45805.64583333333)</f>
        <v>45805.64583</v>
      </c>
      <c r="J45" s="46" t="str">
        <f t="shared" si="1"/>
        <v>Do Not Buy Today</v>
      </c>
    </row>
    <row r="46">
      <c r="A46" s="96" t="s">
        <v>427</v>
      </c>
      <c r="B46" s="59">
        <f>IFERROR(__xludf.DUMMYFUNCTION("GOOGLEFINANCE(A46,""price"")"),142.95)</f>
        <v>142.95</v>
      </c>
      <c r="C46" s="60">
        <f>IFERROR(__xludf.DUMMYFUNCTION("GOOGLEFINANCE(A46,""closeyest"")"),140.16)</f>
        <v>140.16</v>
      </c>
      <c r="D46" s="61">
        <f>IFERROR(__xludf.DUMMYFUNCTION("MIN(index(GOOGLEFINANCE(A46,""ALL"",TODAY()-180,TODAY()),0,5))*1.2"),117.708)</f>
        <v>117.708</v>
      </c>
      <c r="E46" s="62">
        <f>IFERROR(__xludf.DUMMYFUNCTION("AVERAGE(QUERY(SORT(GOOGLEFINANCE(A46,""price"",TODAY()-320,TODAY()),1,0),""select Col2 limit 100""))"),116.5659000000001)</f>
        <v>116.5659</v>
      </c>
      <c r="F46" s="44">
        <f>IFERROR(__xludf.DUMMYFUNCTION("GOOGLEFINANCE(A46,""high52"")"),145.0)</f>
        <v>145</v>
      </c>
      <c r="G46" s="45">
        <f>IFERROR(__xludf.DUMMYFUNCTION("to_date(index(sort(GOOGLEFINANCE(A46, ""high"", today()-52*7, today(), ""DAILY""),2,0),2,1))"),46149.64583333333)</f>
        <v>46149.64583</v>
      </c>
      <c r="H46" s="44">
        <f>IFERROR(__xludf.DUMMYFUNCTION("GOOGLEFINANCE(A46,""low52"")"),97.35)</f>
        <v>97.35</v>
      </c>
      <c r="I46" s="45">
        <f>IFERROR(__xludf.DUMMYFUNCTION("to_date(index(sort(GOOGLEFINANCE(A46, ""low"", today()-52*7, today(), ""DAILY""),2,1),1,1))"),46021.64583333333)</f>
        <v>46021.64583</v>
      </c>
      <c r="J46" s="46" t="str">
        <f t="shared" si="1"/>
        <v>Do Not Buy Today</v>
      </c>
    </row>
    <row r="47">
      <c r="A47" s="96" t="s">
        <v>217</v>
      </c>
      <c r="B47" s="59">
        <f>IFERROR(__xludf.DUMMYFUNCTION("GOOGLEFINANCE(A47,""price"")"),133.75)</f>
        <v>133.75</v>
      </c>
      <c r="C47" s="60">
        <f>IFERROR(__xludf.DUMMYFUNCTION("GOOGLEFINANCE(A47,""closeyest"")"),133.15)</f>
        <v>133.15</v>
      </c>
      <c r="D47" s="61">
        <f>IFERROR(__xludf.DUMMYFUNCTION("MIN(index(GOOGLEFINANCE(A47,""ALL"",TODAY()-180,TODAY()),0,5))*1.2"),148.14)</f>
        <v>148.14</v>
      </c>
      <c r="E47" s="62">
        <f>IFERROR(__xludf.DUMMYFUNCTION("AVERAGE(QUERY(SORT(GOOGLEFINANCE(A47,""price"",TODAY()-320,TODAY()),1,0),""select Col2 limit 100""))"),142.8947)</f>
        <v>142.8947</v>
      </c>
      <c r="F47" s="44">
        <f>IFERROR(__xludf.DUMMYFUNCTION("GOOGLEFINANCE(A47,""high52"")"),162.89)</f>
        <v>162.89</v>
      </c>
      <c r="G47" s="45">
        <f>IFERROR(__xludf.DUMMYFUNCTION("to_date(index(sort(GOOGLEFINANCE(A47, ""high"", today()-52*7, today(), ""DAILY""),2,0),2,1))"),46079.64583333333)</f>
        <v>46079.64583</v>
      </c>
      <c r="H47" s="44">
        <f>IFERROR(__xludf.DUMMYFUNCTION("GOOGLEFINANCE(A47,""low52"")"),103.55)</f>
        <v>103.55</v>
      </c>
      <c r="I47" s="45">
        <f>IFERROR(__xludf.DUMMYFUNCTION("to_date(index(sort(GOOGLEFINANCE(A47, ""low"", today()-52*7, today(), ""DAILY""),2,1),1,1))"),45898.64583333333)</f>
        <v>45898.64583</v>
      </c>
      <c r="J47" s="46" t="str">
        <f t="shared" si="1"/>
        <v>Do Not Buy Today</v>
      </c>
    </row>
    <row r="48">
      <c r="A48" s="96" t="s">
        <v>345</v>
      </c>
      <c r="B48" s="59">
        <f>IFERROR(__xludf.DUMMYFUNCTION("GOOGLEFINANCE(A48,""price"")"),1837.1)</f>
        <v>1837.1</v>
      </c>
      <c r="C48" s="60">
        <f>IFERROR(__xludf.DUMMYFUNCTION("GOOGLEFINANCE(A48,""closeyest"")"),1844.7)</f>
        <v>1844.7</v>
      </c>
      <c r="D48" s="61">
        <f>IFERROR(__xludf.DUMMYFUNCTION("MIN(index(GOOGLEFINANCE(A48,""ALL"",TODAY()-180,TODAY()),0,5))*1.2"),1643.28)</f>
        <v>1643.28</v>
      </c>
      <c r="E48" s="62">
        <f>IFERROR(__xludf.DUMMYFUNCTION("AVERAGE(QUERY(SORT(GOOGLEFINANCE(A48,""price"",TODAY()-320,TODAY()),1,0),""select Col2 limit 100""))"),1722.046999999999)</f>
        <v>1722.047</v>
      </c>
      <c r="F48" s="44">
        <f>IFERROR(__xludf.DUMMYFUNCTION("GOOGLEFINANCE(A48,""high52"")"),2437.4)</f>
        <v>2437.4</v>
      </c>
      <c r="G48" s="45">
        <f>IFERROR(__xludf.DUMMYFUNCTION("to_date(index(sort(GOOGLEFINANCE(A48, ""high"", today()-52*7, today(), ""DAILY""),2,0),2,1))"),45831.64583333333)</f>
        <v>45831.64583</v>
      </c>
      <c r="H48" s="44">
        <f>IFERROR(__xludf.DUMMYFUNCTION("GOOGLEFINANCE(A48,""low52"")"),1355.0)</f>
        <v>1355</v>
      </c>
      <c r="I48" s="45">
        <f>IFERROR(__xludf.DUMMYFUNCTION("to_date(index(sort(GOOGLEFINANCE(A48, ""low"", today()-52*7, today(), ""DAILY""),2,1),1,1))"),46111.64583333333)</f>
        <v>46111.64583</v>
      </c>
      <c r="J48" s="46" t="str">
        <f t="shared" si="1"/>
        <v>Do Not Buy Today</v>
      </c>
    </row>
    <row r="49">
      <c r="A49" s="96" t="s">
        <v>112</v>
      </c>
      <c r="B49" s="59">
        <f>IFERROR(__xludf.DUMMYFUNCTION("GOOGLEFINANCE(A49,""price"")"),419.0)</f>
        <v>419</v>
      </c>
      <c r="C49" s="60">
        <f>IFERROR(__xludf.DUMMYFUNCTION("GOOGLEFINANCE(A49,""closeyest"")"),417.75)</f>
        <v>417.75</v>
      </c>
      <c r="D49" s="61">
        <f>IFERROR(__xludf.DUMMYFUNCTION("MIN(index(GOOGLEFINANCE(A49,""ALL"",TODAY()-180,TODAY()),0,5))*1.2"),291.0)</f>
        <v>291</v>
      </c>
      <c r="E49" s="62">
        <f>IFERROR(__xludf.DUMMYFUNCTION("AVERAGE(QUERY(SORT(GOOGLEFINANCE(A49,""price"",TODAY()-320,TODAY()),1,0),""select Col2 limit 100""))"),295.9180000000001)</f>
        <v>295.918</v>
      </c>
      <c r="F49" s="44">
        <f>IFERROR(__xludf.DUMMYFUNCTION("GOOGLEFINANCE(A49,""high52"")"),423.2)</f>
        <v>423.2</v>
      </c>
      <c r="G49" s="45">
        <f>IFERROR(__xludf.DUMMYFUNCTION("to_date(index(sort(GOOGLEFINANCE(A49, ""high"", today()-52*7, today(), ""DAILY""),2,0),2,1))"),46167.64583333333)</f>
        <v>46167.64583</v>
      </c>
      <c r="H49" s="44">
        <f>IFERROR(__xludf.DUMMYFUNCTION("GOOGLEFINANCE(A49,""low52"")"),205.12)</f>
        <v>205.12</v>
      </c>
      <c r="I49" s="45">
        <f>IFERROR(__xludf.DUMMYFUNCTION("to_date(index(sort(GOOGLEFINANCE(A49, ""low"", today()-52*7, today(), ""DAILY""),2,1),1,1))"),45898.64583333333)</f>
        <v>45898.64583</v>
      </c>
      <c r="J49" s="46" t="str">
        <f t="shared" si="1"/>
        <v>Do Not Buy Today</v>
      </c>
    </row>
    <row r="50">
      <c r="A50" s="96" t="s">
        <v>487</v>
      </c>
      <c r="B50" s="59">
        <f>IFERROR(__xludf.DUMMYFUNCTION("GOOGLEFINANCE(A50,""price"")"),370.55)</f>
        <v>370.55</v>
      </c>
      <c r="C50" s="60">
        <f>IFERROR(__xludf.DUMMYFUNCTION("GOOGLEFINANCE(A50,""closeyest"")"),371.5)</f>
        <v>371.5</v>
      </c>
      <c r="D50" s="61">
        <f>IFERROR(__xludf.DUMMYFUNCTION("MIN(index(GOOGLEFINANCE(A50,""ALL"",TODAY()-180,TODAY()),0,5))*1.2"),368.7)</f>
        <v>368.7</v>
      </c>
      <c r="E50" s="62">
        <f>IFERROR(__xludf.DUMMYFUNCTION("AVERAGE(QUERY(SORT(GOOGLEFINANCE(A50,""price"",TODAY()-320,TODAY()),1,0),""select Col2 limit 100""))"),385.9475)</f>
        <v>385.9475</v>
      </c>
      <c r="F50" s="44">
        <f>IFERROR(__xludf.DUMMYFUNCTION("GOOGLEFINANCE(A50,""high52"")"),508.7)</f>
        <v>508.7</v>
      </c>
      <c r="G50" s="45">
        <f>IFERROR(__xludf.DUMMYFUNCTION("to_date(index(sort(GOOGLEFINANCE(A50, ""high"", today()-52*7, today(), ""DAILY""),2,0),2,1))"),45841.64583333333)</f>
        <v>45841.64583</v>
      </c>
      <c r="H50" s="44">
        <f>IFERROR(__xludf.DUMMYFUNCTION("GOOGLEFINANCE(A50,""low52"")"),301.5)</f>
        <v>301.5</v>
      </c>
      <c r="I50" s="45">
        <f>IFERROR(__xludf.DUMMYFUNCTION("to_date(index(sort(GOOGLEFINANCE(A50, ""low"", today()-52*7, today(), ""DAILY""),2,1),1,1))"),46114.64583333333)</f>
        <v>46114.64583</v>
      </c>
      <c r="J50" s="46" t="str">
        <f t="shared" si="1"/>
        <v>Do Not Buy Today</v>
      </c>
    </row>
    <row r="51">
      <c r="A51" s="96" t="s">
        <v>208</v>
      </c>
      <c r="B51" s="59">
        <f>IFERROR(__xludf.DUMMYFUNCTION("GOOGLEFINANCE(A51,""price"")"),145.85)</f>
        <v>145.85</v>
      </c>
      <c r="C51" s="60">
        <f>IFERROR(__xludf.DUMMYFUNCTION("GOOGLEFINANCE(A51,""closeyest"")"),144.99)</f>
        <v>144.99</v>
      </c>
      <c r="D51" s="61">
        <f>IFERROR(__xludf.DUMMYFUNCTION("MIN(index(GOOGLEFINANCE(A51,""ALL"",TODAY()-180,TODAY()),0,5))*1.2"),164.388)</f>
        <v>164.388</v>
      </c>
      <c r="E51" s="62">
        <f>IFERROR(__xludf.DUMMYFUNCTION("AVERAGE(QUERY(SORT(GOOGLEFINANCE(A51,""price"",TODAY()-320,TODAY()),1,0),""select Col2 limit 100""))"),152.40969999999996)</f>
        <v>152.4097</v>
      </c>
      <c r="F51" s="44">
        <f>IFERROR(__xludf.DUMMYFUNCTION("GOOGLEFINANCE(A51,""high52"")"),178.36)</f>
        <v>178.36</v>
      </c>
      <c r="G51" s="45">
        <f>IFERROR(__xludf.DUMMYFUNCTION("to_date(index(sort(GOOGLEFINANCE(A51, ""high"", today()-52*7, today(), ""DAILY""),2,0),2,1))"),46080.64583333333)</f>
        <v>46080.64583</v>
      </c>
      <c r="H51" s="44">
        <f>IFERROR(__xludf.DUMMYFUNCTION("GOOGLEFINANCE(A51,""low52"")"),108.81)</f>
        <v>108.81</v>
      </c>
      <c r="I51" s="45">
        <f>IFERROR(__xludf.DUMMYFUNCTION("to_date(index(sort(GOOGLEFINANCE(A51, ""low"", today()-52*7, today(), ""DAILY""),2,1),1,1))"),45870.64583333333)</f>
        <v>45870.64583</v>
      </c>
      <c r="J51" s="46" t="str">
        <f t="shared" si="1"/>
        <v>Do Not Buy Today</v>
      </c>
    </row>
    <row r="52">
      <c r="A52" s="96" t="s">
        <v>130</v>
      </c>
      <c r="B52" s="59">
        <f>IFERROR(__xludf.DUMMYFUNCTION("GOOGLEFINANCE(A52,""price"")"),92.4)</f>
        <v>92.4</v>
      </c>
      <c r="C52" s="60">
        <f>IFERROR(__xludf.DUMMYFUNCTION("GOOGLEFINANCE(A52,""closeyest"")"),90.67)</f>
        <v>90.67</v>
      </c>
      <c r="D52" s="61">
        <f>IFERROR(__xludf.DUMMYFUNCTION("MIN(index(GOOGLEFINANCE(A52,""ALL"",TODAY()-180,TODAY()),0,5))*1.2"),88.704)</f>
        <v>88.704</v>
      </c>
      <c r="E52" s="62">
        <f>IFERROR(__xludf.DUMMYFUNCTION("AVERAGE(QUERY(SORT(GOOGLEFINANCE(A52,""price"",TODAY()-320,TODAY()),1,0),""select Col2 limit 100""))"),83.4449)</f>
        <v>83.4449</v>
      </c>
      <c r="F52" s="44">
        <f>IFERROR(__xludf.DUMMYFUNCTION("GOOGLEFINANCE(A52,""high52"")"),94.25)</f>
        <v>94.25</v>
      </c>
      <c r="G52" s="45">
        <f>IFERROR(__xludf.DUMMYFUNCTION("to_date(index(sort(GOOGLEFINANCE(A52, ""high"", today()-52*7, today(), ""DAILY""),2,0),2,1))"),46157.64583333333)</f>
        <v>46157.64583</v>
      </c>
      <c r="H52" s="44">
        <f>IFERROR(__xludf.DUMMYFUNCTION("GOOGLEFINANCE(A52,""low52"")"),66.8)</f>
        <v>66.8</v>
      </c>
      <c r="I52" s="45">
        <f>IFERROR(__xludf.DUMMYFUNCTION("to_date(index(sort(GOOGLEFINANCE(A52, ""low"", today()-52*7, today(), ""DAILY""),2,1),1,1))"),45827.64583333333)</f>
        <v>45827.64583</v>
      </c>
      <c r="J52" s="46" t="str">
        <f t="shared" si="1"/>
        <v>Do Not Buy Today</v>
      </c>
    </row>
    <row r="53">
      <c r="A53" s="96" t="s">
        <v>436</v>
      </c>
      <c r="B53" s="59">
        <f>IFERROR(__xludf.DUMMYFUNCTION("GOOGLEFINANCE(A53,""price"")"),25.44)</f>
        <v>25.44</v>
      </c>
      <c r="C53" s="60">
        <f>IFERROR(__xludf.DUMMYFUNCTION("GOOGLEFINANCE(A53,""closeyest"")"),25.41)</f>
        <v>25.41</v>
      </c>
      <c r="D53" s="61">
        <f>IFERROR(__xludf.DUMMYFUNCTION("MIN(index(GOOGLEFINANCE(A53,""ALL"",TODAY()-180,TODAY()),0,5))*1.2"),26.939999999999998)</f>
        <v>26.94</v>
      </c>
      <c r="E53" s="62">
        <f>IFERROR(__xludf.DUMMYFUNCTION("AVERAGE(QUERY(SORT(GOOGLEFINANCE(A53,""price"",TODAY()-320,TODAY()),1,0),""select Col2 limit 100""))"),27.199099999999994)</f>
        <v>27.1991</v>
      </c>
      <c r="F53" s="44">
        <f>IFERROR(__xludf.DUMMYFUNCTION("GOOGLEFINANCE(A53,""high52"")"),35.08)</f>
        <v>35.08</v>
      </c>
      <c r="G53" s="45">
        <f>IFERROR(__xludf.DUMMYFUNCTION("to_date(index(sort(GOOGLEFINANCE(A53, ""high"", today()-52*7, today(), ""DAILY""),2,0),2,1))"),45810.64583333333)</f>
        <v>45810.64583</v>
      </c>
      <c r="H53" s="44">
        <f>IFERROR(__xludf.DUMMYFUNCTION("GOOGLEFINANCE(A53,""low52"")"),22.22)</f>
        <v>22.22</v>
      </c>
      <c r="I53" s="45">
        <f>IFERROR(__xludf.DUMMYFUNCTION("to_date(index(sort(GOOGLEFINANCE(A53, ""low"", today()-52*7, today(), ""DAILY""),2,1),1,1))"),46111.64583333333)</f>
        <v>46111.64583</v>
      </c>
      <c r="J53" s="46" t="str">
        <f t="shared" si="1"/>
        <v>Do Not Buy Today</v>
      </c>
    </row>
    <row r="54">
      <c r="A54" s="96" t="s">
        <v>635</v>
      </c>
      <c r="B54" s="59">
        <f>IFERROR(__xludf.DUMMYFUNCTION("GOOGLEFINANCE(A54,""price"")"),306.7)</f>
        <v>306.7</v>
      </c>
      <c r="C54" s="60">
        <f>IFERROR(__xludf.DUMMYFUNCTION("GOOGLEFINANCE(A54,""closeyest"")"),301.6)</f>
        <v>301.6</v>
      </c>
      <c r="D54" s="61">
        <f>IFERROR(__xludf.DUMMYFUNCTION("MIN(index(GOOGLEFINANCE(A54,""ALL"",TODAY()-180,TODAY()),0,5))*1.2"),297.66)</f>
        <v>297.66</v>
      </c>
      <c r="E54" s="62">
        <f>IFERROR(__xludf.DUMMYFUNCTION("AVERAGE(QUERY(SORT(GOOGLEFINANCE(A54,""price"",TODAY()-320,TODAY()),1,0),""select Col2 limit 100""))"),316.09549999999996)</f>
        <v>316.0955</v>
      </c>
      <c r="F54" s="44">
        <f>IFERROR(__xludf.DUMMYFUNCTION("GOOGLEFINANCE(A54,""high52"")"),405.6)</f>
        <v>405.6</v>
      </c>
      <c r="G54" s="45">
        <f>IFERROR(__xludf.DUMMYFUNCTION("to_date(index(sort(GOOGLEFINANCE(A54, ""high"", today()-52*7, today(), ""DAILY""),2,0),2,1))"),45818.64583333333)</f>
        <v>45818.64583</v>
      </c>
      <c r="H54" s="44">
        <f>IFERROR(__xludf.DUMMYFUNCTION("GOOGLEFINANCE(A54,""low52"")"),242.35)</f>
        <v>242.35</v>
      </c>
      <c r="I54" s="45">
        <f>IFERROR(__xludf.DUMMYFUNCTION("to_date(index(sort(GOOGLEFINANCE(A54, ""low"", today()-52*7, today(), ""DAILY""),2,1),1,1))"),46098.64583333333)</f>
        <v>46098.64583</v>
      </c>
      <c r="J54" s="46" t="str">
        <f t="shared" si="1"/>
        <v>Do Not Buy Today</v>
      </c>
    </row>
    <row r="55">
      <c r="A55" s="96" t="s">
        <v>195</v>
      </c>
      <c r="B55" s="59">
        <f>IFERROR(__xludf.DUMMYFUNCTION("GOOGLEFINANCE(A55,""price"")"),447.55)</f>
        <v>447.55</v>
      </c>
      <c r="C55" s="60">
        <f>IFERROR(__xludf.DUMMYFUNCTION("GOOGLEFINANCE(A55,""closeyest"")"),458.15)</f>
        <v>458.15</v>
      </c>
      <c r="D55" s="61">
        <f>IFERROR(__xludf.DUMMYFUNCTION("MIN(index(GOOGLEFINANCE(A55,""ALL"",TODAY()-180,TODAY()),0,5))*1.2"),450.3)</f>
        <v>450.3</v>
      </c>
      <c r="E55" s="62">
        <f>IFERROR(__xludf.DUMMYFUNCTION("AVERAGE(QUERY(SORT(GOOGLEFINANCE(A55,""price"",TODAY()-320,TODAY()),1,0),""select Col2 limit 100""))"),440.7035000000002)</f>
        <v>440.7035</v>
      </c>
      <c r="F55" s="44">
        <f>IFERROR(__xludf.DUMMYFUNCTION("GOOGLEFINANCE(A55,""high52"")"),491.25)</f>
        <v>491.25</v>
      </c>
      <c r="G55" s="45">
        <f>IFERROR(__xludf.DUMMYFUNCTION("to_date(index(sort(GOOGLEFINANCE(A55, ""high"", today()-52*7, today(), ""DAILY""),2,0),2,1))"),46142.64583333333)</f>
        <v>46142.64583</v>
      </c>
      <c r="H55" s="44">
        <f>IFERROR(__xludf.DUMMYFUNCTION("GOOGLEFINANCE(A55,""low52"")"),368.65)</f>
        <v>368.65</v>
      </c>
      <c r="I55" s="45">
        <f>IFERROR(__xludf.DUMMYFUNCTION("to_date(index(sort(GOOGLEFINANCE(A55, ""low"", today()-52*7, today(), ""DAILY""),2,1),1,1))"),46129.64583333333)</f>
        <v>46129.64583</v>
      </c>
      <c r="J55" s="46" t="str">
        <f t="shared" si="1"/>
        <v>Do Not Buy Today</v>
      </c>
    </row>
    <row r="56">
      <c r="A56" s="96" t="s">
        <v>147</v>
      </c>
      <c r="B56" s="59">
        <f>IFERROR(__xludf.DUMMYFUNCTION("GOOGLEFINANCE(A56,""price"")"),79.8)</f>
        <v>79.8</v>
      </c>
      <c r="C56" s="60">
        <f>IFERROR(__xludf.DUMMYFUNCTION("GOOGLEFINANCE(A56,""closeyest"")"),80.18)</f>
        <v>80.18</v>
      </c>
      <c r="D56" s="61">
        <f>IFERROR(__xludf.DUMMYFUNCTION("MIN(index(GOOGLEFINANCE(A56,""ALL"",TODAY()-180,TODAY()),0,5))*1.2"),67.464)</f>
        <v>67.464</v>
      </c>
      <c r="E56" s="62">
        <f>IFERROR(__xludf.DUMMYFUNCTION("AVERAGE(QUERY(SORT(GOOGLEFINANCE(A56,""price"",TODAY()-320,TODAY()),1,0),""select Col2 limit 100""))"),69.50410000000004)</f>
        <v>69.5041</v>
      </c>
      <c r="F56" s="44">
        <f>IFERROR(__xludf.DUMMYFUNCTION("GOOGLEFINANCE(A56,""high52"")"),85.9)</f>
        <v>85.9</v>
      </c>
      <c r="G56" s="45">
        <f>IFERROR(__xludf.DUMMYFUNCTION("to_date(index(sort(GOOGLEFINANCE(A56, ""high"", today()-52*7, today(), ""DAILY""),2,0),2,1))"),46149.64583333333)</f>
        <v>46149.64583</v>
      </c>
      <c r="H56" s="44">
        <f>IFERROR(__xludf.DUMMYFUNCTION("GOOGLEFINANCE(A56,""low52"")"),50.55)</f>
        <v>50.55</v>
      </c>
      <c r="I56" s="45">
        <f>IFERROR(__xludf.DUMMYFUNCTION("to_date(index(sort(GOOGLEFINANCE(A56, ""low"", today()-52*7, today(), ""DAILY""),2,1),1,1))"),45807.64583333333)</f>
        <v>45807.64583</v>
      </c>
      <c r="J56" s="46" t="str">
        <f t="shared" si="1"/>
        <v>Do Not Buy Today</v>
      </c>
    </row>
    <row r="57">
      <c r="A57" s="96" t="s">
        <v>225</v>
      </c>
      <c r="B57" s="59">
        <f>IFERROR(__xludf.DUMMYFUNCTION("GOOGLEFINANCE(A57,""price"")"),206.58)</f>
        <v>206.58</v>
      </c>
      <c r="C57" s="60">
        <f>IFERROR(__xludf.DUMMYFUNCTION("GOOGLEFINANCE(A57,""closeyest"")"),203.84)</f>
        <v>203.84</v>
      </c>
      <c r="D57" s="61">
        <f>IFERROR(__xludf.DUMMYFUNCTION("MIN(index(GOOGLEFINANCE(A57,""ALL"",TODAY()-180,TODAY()),0,5))*1.2"),151.09199999999998)</f>
        <v>151.092</v>
      </c>
      <c r="E57" s="62">
        <f>IFERROR(__xludf.DUMMYFUNCTION("AVERAGE(QUERY(SORT(GOOGLEFINANCE(A57,""price"",TODAY()-320,TODAY()),1,0),""select Col2 limit 100""))"),162.77800000000002)</f>
        <v>162.778</v>
      </c>
      <c r="F57" s="44">
        <f>IFERROR(__xludf.DUMMYFUNCTION("GOOGLEFINANCE(A57,""high52"")"),209.7)</f>
        <v>209.7</v>
      </c>
      <c r="G57" s="45">
        <f>IFERROR(__xludf.DUMMYFUNCTION("to_date(index(sort(GOOGLEFINANCE(A57, ""high"", today()-52*7, today(), ""DAILY""),2,0),2,1))"),46156.64583333333)</f>
        <v>46156.64583</v>
      </c>
      <c r="H57" s="44">
        <f>IFERROR(__xludf.DUMMYFUNCTION("GOOGLEFINANCE(A57,""low52"")"),118.1)</f>
        <v>118.1</v>
      </c>
      <c r="I57" s="45">
        <f>IFERROR(__xludf.DUMMYFUNCTION("to_date(index(sort(GOOGLEFINANCE(A57, ""low"", today()-52*7, today(), ""DAILY""),2,1),1,1))"),45897.64583333333)</f>
        <v>45897.64583</v>
      </c>
      <c r="J57" s="46" t="str">
        <f t="shared" si="1"/>
        <v>Do Not Buy Today</v>
      </c>
    </row>
    <row r="58">
      <c r="A58" s="96" t="s">
        <v>417</v>
      </c>
      <c r="B58" s="59">
        <f>IFERROR(__xludf.DUMMYFUNCTION("GOOGLEFINANCE(A58,""price"")"),33.66)</f>
        <v>33.66</v>
      </c>
      <c r="C58" s="60">
        <f>IFERROR(__xludf.DUMMYFUNCTION("GOOGLEFINANCE(A58,""closeyest"")"),33.63)</f>
        <v>33.63</v>
      </c>
      <c r="D58" s="61">
        <f>IFERROR(__xludf.DUMMYFUNCTION("MIN(index(GOOGLEFINANCE(A58,""ALL"",TODAY()-180,TODAY()),0,5))*1.2"),37.656)</f>
        <v>37.656</v>
      </c>
      <c r="E58" s="62">
        <f>IFERROR(__xludf.DUMMYFUNCTION("AVERAGE(QUERY(SORT(GOOGLEFINANCE(A58,""price"",TODAY()-320,TODAY()),1,0),""select Col2 limit 100""))"),34.60230000000001)</f>
        <v>34.6023</v>
      </c>
      <c r="F58" s="44">
        <f>IFERROR(__xludf.DUMMYFUNCTION("GOOGLEFINANCE(A58,""high52"")"),42.8)</f>
        <v>42.8</v>
      </c>
      <c r="G58" s="45">
        <f>IFERROR(__xludf.DUMMYFUNCTION("to_date(index(sort(GOOGLEFINANCE(A58, ""high"", today()-52*7, today(), ""DAILY""),2,0),2,1))"),45811.64583333333)</f>
        <v>45811.64583</v>
      </c>
      <c r="H58" s="44">
        <f>IFERROR(__xludf.DUMMYFUNCTION("GOOGLEFINANCE(A58,""low52"")"),31.2)</f>
        <v>31.2</v>
      </c>
      <c r="I58" s="45">
        <f>IFERROR(__xludf.DUMMYFUNCTION("to_date(index(sort(GOOGLEFINANCE(A58, ""low"", today()-52*7, today(), ""DAILY""),2,1),1,1))"),46111.64583333333)</f>
        <v>46111.64583</v>
      </c>
      <c r="J58" s="46" t="str">
        <f t="shared" si="1"/>
        <v>Do Not Buy Today</v>
      </c>
    </row>
    <row r="59">
      <c r="A59" s="96" t="s">
        <v>196</v>
      </c>
      <c r="B59" s="59">
        <f>IFERROR(__xludf.DUMMYFUNCTION("GOOGLEFINANCE(A59,""price"")"),271.6)</f>
        <v>271.6</v>
      </c>
      <c r="C59" s="60">
        <f>IFERROR(__xludf.DUMMYFUNCTION("GOOGLEFINANCE(A59,""closeyest"")"),270.55)</f>
        <v>270.55</v>
      </c>
      <c r="D59" s="61">
        <f>IFERROR(__xludf.DUMMYFUNCTION("MIN(index(GOOGLEFINANCE(A59,""ALL"",TODAY()-180,TODAY()),0,5))*1.2"),297.12)</f>
        <v>297.12</v>
      </c>
      <c r="E59" s="62">
        <f>IFERROR(__xludf.DUMMYFUNCTION("AVERAGE(QUERY(SORT(GOOGLEFINANCE(A59,""price"",TODAY()-320,TODAY()),1,0),""select Col2 limit 100""))"),285.3467)</f>
        <v>285.3467</v>
      </c>
      <c r="F59" s="44">
        <f>IFERROR(__xludf.DUMMYFUNCTION("GOOGLEFINANCE(A59,""high52"")"),325.5)</f>
        <v>325.5</v>
      </c>
      <c r="G59" s="45">
        <f>IFERROR(__xludf.DUMMYFUNCTION("to_date(index(sort(GOOGLEFINANCE(A59, ""high"", today()-52*7, today(), ""DAILY""),2,0),2,1))"),46079.64583333333)</f>
        <v>46079.64583</v>
      </c>
      <c r="H59" s="44">
        <f>IFERROR(__xludf.DUMMYFUNCTION("GOOGLEFINANCE(A59,""low52"")"),230.52)</f>
        <v>230.52</v>
      </c>
      <c r="I59" s="45">
        <f>IFERROR(__xludf.DUMMYFUNCTION("to_date(index(sort(GOOGLEFINANCE(A59, ""low"", today()-52*7, today(), ""DAILY""),2,1),1,1))"),45827.64583333333)</f>
        <v>45827.64583</v>
      </c>
      <c r="J59" s="46" t="str">
        <f t="shared" si="1"/>
        <v>Do Not Buy Today</v>
      </c>
    </row>
    <row r="60">
      <c r="A60" s="96" t="s">
        <v>243</v>
      </c>
      <c r="B60" s="59">
        <f>IFERROR(__xludf.DUMMYFUNCTION("GOOGLEFINANCE(A60,""price"")"),106.45)</f>
        <v>106.45</v>
      </c>
      <c r="C60" s="60">
        <f>IFERROR(__xludf.DUMMYFUNCTION("GOOGLEFINANCE(A60,""closeyest"")"),105.91)</f>
        <v>105.91</v>
      </c>
      <c r="D60" s="61">
        <f>IFERROR(__xludf.DUMMYFUNCTION("MIN(index(GOOGLEFINANCE(A60,""ALL"",TODAY()-180,TODAY()),0,5))*1.2"),119.38799999999999)</f>
        <v>119.388</v>
      </c>
      <c r="E60" s="62">
        <f>IFERROR(__xludf.DUMMYFUNCTION("AVERAGE(QUERY(SORT(GOOGLEFINANCE(A60,""price"",TODAY()-320,TODAY()),1,0),""select Col2 limit 100""))"),116.43580000000001)</f>
        <v>116.4358</v>
      </c>
      <c r="F60" s="44">
        <f>IFERROR(__xludf.DUMMYFUNCTION("GOOGLEFINANCE(A60,""high52"")"),135.15)</f>
        <v>135.15</v>
      </c>
      <c r="G60" s="45">
        <f>IFERROR(__xludf.DUMMYFUNCTION("to_date(index(sort(GOOGLEFINANCE(A60, ""high"", today()-52*7, today(), ""DAILY""),2,0),2,1))"),46041.64583333333)</f>
        <v>46041.64583</v>
      </c>
      <c r="H60" s="44">
        <f>IFERROR(__xludf.DUMMYFUNCTION("GOOGLEFINANCE(A60,""low52"")"),98.5)</f>
        <v>98.5</v>
      </c>
      <c r="I60" s="45">
        <f>IFERROR(__xludf.DUMMYFUNCTION("to_date(index(sort(GOOGLEFINANCE(A60, ""low"", today()-52*7, today(), ""DAILY""),2,1),1,1))"),46160.64583333333)</f>
        <v>46160.64583</v>
      </c>
      <c r="J60" s="46" t="str">
        <f t="shared" si="1"/>
        <v>Do Not Buy Today</v>
      </c>
    </row>
    <row r="61">
      <c r="A61" s="96" t="s">
        <v>122</v>
      </c>
      <c r="B61" s="59">
        <f>IFERROR(__xludf.DUMMYFUNCTION("GOOGLEFINANCE(A61,""price"")"),486.3)</f>
        <v>486.3</v>
      </c>
      <c r="C61" s="60">
        <f>IFERROR(__xludf.DUMMYFUNCTION("GOOGLEFINANCE(A61,""closeyest"")"),492.1)</f>
        <v>492.1</v>
      </c>
      <c r="D61" s="61">
        <f>IFERROR(__xludf.DUMMYFUNCTION("MIN(index(GOOGLEFINANCE(A61,""ALL"",TODAY()-180,TODAY()),0,5))*1.2"),477.78)</f>
        <v>477.78</v>
      </c>
      <c r="E61" s="62">
        <f>IFERROR(__xludf.DUMMYFUNCTION("AVERAGE(QUERY(SORT(GOOGLEFINANCE(A61,""price"",TODAY()-320,TODAY()),1,0),""select Col2 limit 100""))"),469.03400000000016)</f>
        <v>469.034</v>
      </c>
      <c r="F61" s="44">
        <f>IFERROR(__xludf.DUMMYFUNCTION("GOOGLEFINANCE(A61,""high52"")"),531.0)</f>
        <v>531</v>
      </c>
      <c r="G61" s="45">
        <f>IFERROR(__xludf.DUMMYFUNCTION("to_date(index(sort(GOOGLEFINANCE(A61, ""high"", today()-52*7, today(), ""DAILY""),2,0),2,1))"),46156.64583333333)</f>
        <v>46156.64583</v>
      </c>
      <c r="H61" s="44">
        <f>IFERROR(__xludf.DUMMYFUNCTION("GOOGLEFINANCE(A61,""low52"")"),384.6)</f>
        <v>384.6</v>
      </c>
      <c r="I61" s="45">
        <f>IFERROR(__xludf.DUMMYFUNCTION("to_date(index(sort(GOOGLEFINANCE(A61, ""low"", today()-52*7, today(), ""DAILY""),2,1),1,1))"),45898.64583333333)</f>
        <v>45898.64583</v>
      </c>
      <c r="J61" s="46" t="str">
        <f t="shared" si="1"/>
        <v>Do Not Buy Today</v>
      </c>
    </row>
  </sheetData>
  <conditionalFormatting sqref="J1:J61">
    <cfRule type="cellIs" dxfId="0" priority="1" operator="equal">
      <formula>"Buy Today"</formula>
    </cfRule>
  </conditionalFormatting>
  <conditionalFormatting sqref="J1:J61">
    <cfRule type="cellIs" dxfId="1" priority="2" operator="equal">
      <formula>"Buy Today"</formula>
    </cfRule>
  </conditionalFormatting>
  <drawing r:id="rId1"/>
</worksheet>
</file>