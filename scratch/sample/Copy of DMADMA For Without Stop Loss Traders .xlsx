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List" sheetId="1" r:id="rId5"/>
    <sheet state="visible" name="Top 250 Stocks" sheetId="2" r:id="rId6"/>
  </sheets>
  <definedNames/>
  <calcPr/>
</workbook>
</file>

<file path=xl/sharedStrings.xml><?xml version="1.0" encoding="utf-8"?>
<sst xmlns="http://schemas.openxmlformats.org/spreadsheetml/2006/main" count="268" uniqueCount="268">
  <si>
    <t>Stocks In Bull Run</t>
  </si>
  <si>
    <t>Stock Name</t>
  </si>
  <si>
    <t xml:space="preserve"> CMP</t>
  </si>
  <si>
    <t>% Diffarance 200 DMA</t>
  </si>
  <si>
    <t>Discloser:-</t>
  </si>
  <si>
    <t>Stocks given in automated sheets not considerd as my recommendations or research reports they selected automatically by formulas.</t>
  </si>
  <si>
    <t>I Mahesh Chander Kaushik, owner of this automated sheet is an existing research analyst and passed NISM certification for research analysts. I have also registered under SEBI(RESEARCH ANALYSTS) REGULATIONS, 2014 ( SEBI Registration Number INH 100000908 ) hereby disclose my financial interest in the subject companies and the nature of such financial interest:- 1 Me and my associates or relatives also using this sheet for selection of short term trading stocks, so my personal interest is included in all of these automated choosen stocks. 2. Me and my associates or relatives have not any actual/beneficial ownership of one percent or more securities of any companies recommended in this sheet. 3. Me and my associates or relatives have not any other material conflict of interest at the time of publication of the automated sheet. 4. Me and my associates or relatives have not received any type of compensation from the subject companies in the past twelve months. 5. I am not served as an officer, director, or employee of the subject companies. 6. I have been not engaged in the market-making activity for the subject companies.</t>
  </si>
  <si>
    <t>Disclaimer:-</t>
  </si>
  <si>
    <t>This sheet is not an advisory service to buy or sell. The contents of “this automated sheet” are only for educational purposes. No liability is accepted for any content in “this automated sheet.” The author is neither a registered stockbroker nor a registered advisor and does not give investment advice. His comments are an expression of opinion only and should not be construed in any manner whatsoever as recommendations to buy or sell a stock, option, future, bond, commodity, index, or any other financial instrument at any time. The author recommends that you consult with a qualified investment advisor, one licensed by appropriate regulatory agencies in your legal jurisdiction, before making any investment decisions. Please read the full disclaimer at the bottom of my blog.</t>
  </si>
  <si>
    <t>Data Accuracy Warning:-</t>
  </si>
  <si>
    <t>This sheet is updated automatically by google finance and data of sheet may be delayed or wrong  so before making any decison please re check all data on NSE  BSE website</t>
  </si>
  <si>
    <t>NSECode</t>
  </si>
  <si>
    <t>CMP</t>
  </si>
  <si>
    <t>50 DMA</t>
  </si>
  <si>
    <t>100 DMA</t>
  </si>
  <si>
    <t>200 DMA</t>
  </si>
  <si>
    <t>Output</t>
  </si>
  <si>
    <t>Differance from 200 DMA</t>
  </si>
  <si>
    <t>NSE:KPITTECH</t>
  </si>
  <si>
    <t>NSE:HEXT</t>
  </si>
  <si>
    <t>NSE:SYNGENE</t>
  </si>
  <si>
    <t>NSE:COFORGE</t>
  </si>
  <si>
    <t>NSE:DIXON</t>
  </si>
  <si>
    <t>NSE:AWL</t>
  </si>
  <si>
    <t>NSE:SUZLON</t>
  </si>
  <si>
    <t>NSE:GODFRYPHLP</t>
  </si>
  <si>
    <t>NSE:LODHA</t>
  </si>
  <si>
    <t>NSE:NAUKRI</t>
  </si>
  <si>
    <t>NSE:PREMIERENE</t>
  </si>
  <si>
    <t>NSE:PAGEIND</t>
  </si>
  <si>
    <t>NSE:FACT</t>
  </si>
  <si>
    <t>NSE:LTTS</t>
  </si>
  <si>
    <t>NSE:ITCHOTELS</t>
  </si>
  <si>
    <t>NSE:DLF</t>
  </si>
  <si>
    <t>NSE:SWIGGY</t>
  </si>
  <si>
    <t>NSE:TATAELXSI</t>
  </si>
  <si>
    <t>NSE:IGL</t>
  </si>
  <si>
    <t>NSE:BAJAJHFL</t>
  </si>
  <si>
    <t>NSE:LTM</t>
  </si>
  <si>
    <t>NSE:ITC</t>
  </si>
  <si>
    <t>NSE:TRENT</t>
  </si>
  <si>
    <t>NSE:KALYANKJIL</t>
  </si>
  <si>
    <t>NSE:NIACL</t>
  </si>
  <si>
    <t>NSE:IRCTC</t>
  </si>
  <si>
    <t>NSE:WIPRO</t>
  </si>
  <si>
    <t>NSE:BERGEPAINT</t>
  </si>
  <si>
    <t>NSE:IREDA</t>
  </si>
  <si>
    <t>NSE:ATGL</t>
  </si>
  <si>
    <t>NSE:INDIGO</t>
  </si>
  <si>
    <t>NSE:JIOFIN</t>
  </si>
  <si>
    <t>NSE:KPRMILL</t>
  </si>
  <si>
    <t>NSE:IRFC</t>
  </si>
  <si>
    <t>NSE:JUBLFOOD</t>
  </si>
  <si>
    <t>NSE:POLICYBZR</t>
  </si>
  <si>
    <t>NSE:HUDCO</t>
  </si>
  <si>
    <t>NSE:ETERNAL</t>
  </si>
  <si>
    <t>NSE:GODREJPROP</t>
  </si>
  <si>
    <t>NSE:OFSS</t>
  </si>
  <si>
    <t>NSE:MOTILALOFS</t>
  </si>
  <si>
    <t>NSE:MPHASIS</t>
  </si>
  <si>
    <t>NSE:TCS</t>
  </si>
  <si>
    <t>NSE:SJVN</t>
  </si>
  <si>
    <t>NSE:PERSISTENT</t>
  </si>
  <si>
    <t>NSE:HONAUT</t>
  </si>
  <si>
    <t>NSE:VMM</t>
  </si>
  <si>
    <t>NSE:GODREJIND</t>
  </si>
  <si>
    <t>NSE:ACC</t>
  </si>
  <si>
    <t>NSE:RVNL</t>
  </si>
  <si>
    <t>NSE:PGHH</t>
  </si>
  <si>
    <t>NSE:SBICARD</t>
  </si>
  <si>
    <t>NSE:PRESTIGE</t>
  </si>
  <si>
    <t>NSE:TATATECH</t>
  </si>
  <si>
    <t>NSE:INDHOTEL</t>
  </si>
  <si>
    <t>NSE:EXIDEIND</t>
  </si>
  <si>
    <t>NSE:COCHINSHIP</t>
  </si>
  <si>
    <t>NSE:AMBUJACEM</t>
  </si>
  <si>
    <t>NSE:BAJAJHLDNG</t>
  </si>
  <si>
    <t>NSE:BDL</t>
  </si>
  <si>
    <t>NSE:HAL</t>
  </si>
  <si>
    <t>NSE:PIIND</t>
  </si>
  <si>
    <t>NSE:INFY</t>
  </si>
  <si>
    <t>NSE:TATACOMM</t>
  </si>
  <si>
    <t>NSE:WAAREEENER</t>
  </si>
  <si>
    <t>NSE:CRISIL</t>
  </si>
  <si>
    <t>NSE:DEEPAKNTR</t>
  </si>
  <si>
    <t>NSE:HCLTECH</t>
  </si>
  <si>
    <t>NSE:TECHM</t>
  </si>
  <si>
    <t>NSE:GAIL</t>
  </si>
  <si>
    <t>NSE:SHREECEM</t>
  </si>
  <si>
    <t>NSE:COROMANDEL</t>
  </si>
  <si>
    <t>NSE:OBEROIRLTY</t>
  </si>
  <si>
    <t>NSE:PATANJALI</t>
  </si>
  <si>
    <t>NSE:SRF</t>
  </si>
  <si>
    <t>NSE:NTPCGREEN</t>
  </si>
  <si>
    <t>NSE:ADANIGREEN</t>
  </si>
  <si>
    <t>NSE:DALBHARAT</t>
  </si>
  <si>
    <t>NSE:HDFCLIFE</t>
  </si>
  <si>
    <t>NSE:HDFCBANK</t>
  </si>
  <si>
    <t>NSE:CIPLA</t>
  </si>
  <si>
    <t>NSE:TMPV</t>
  </si>
  <si>
    <t>NSE:CONCOR</t>
  </si>
  <si>
    <t>NSE:ADANIENT</t>
  </si>
  <si>
    <t>NSE:GLAXO</t>
  </si>
  <si>
    <t>NSE:MEDANTA</t>
  </si>
  <si>
    <t>NSE:UPL</t>
  </si>
  <si>
    <t>NSE:MAZDOCK</t>
  </si>
  <si>
    <t>NSE:BOSCHLTD</t>
  </si>
  <si>
    <t>NSE:ABBOTINDIA</t>
  </si>
  <si>
    <t>NSE:ASIANPAINT</t>
  </si>
  <si>
    <t>NSE:PAYTM</t>
  </si>
  <si>
    <t>NSE:NHPC</t>
  </si>
  <si>
    <t>NSE:UCOBANK</t>
  </si>
  <si>
    <t>NSE:MAXHEALTH</t>
  </si>
  <si>
    <t>NSE:IOB</t>
  </si>
  <si>
    <t>NSE:APOLLOTYRE</t>
  </si>
  <si>
    <t>NSE:JKCEMENT</t>
  </si>
  <si>
    <t>NSE:LLOYDSME</t>
  </si>
  <si>
    <t>NSE:IRB</t>
  </si>
  <si>
    <t>NSE:TATAINVEST</t>
  </si>
  <si>
    <t>NSE:GUJGASLTD</t>
  </si>
  <si>
    <t>NSE:HINDUNILVR</t>
  </si>
  <si>
    <t>NSE:FLUOROCHEM</t>
  </si>
  <si>
    <t>NSE:HAVELLS</t>
  </si>
  <si>
    <t>NSE:LICHSGFIN</t>
  </si>
  <si>
    <t>NSE:BHARTIHEXA</t>
  </si>
  <si>
    <t>NSE:RECLTD</t>
  </si>
  <si>
    <t>NSE:JSWINFRA</t>
  </si>
  <si>
    <t>NSE:BAJAJFINSV</t>
  </si>
  <si>
    <t>NSE:BALKRISIND</t>
  </si>
  <si>
    <t>NSE:IDFCFIRSTB</t>
  </si>
  <si>
    <t>NSE:MANKIND</t>
  </si>
  <si>
    <t>NSE:LICI</t>
  </si>
  <si>
    <t>NSE:UBL</t>
  </si>
  <si>
    <t>NSE:DMART</t>
  </si>
  <si>
    <t>NSE:ENDURANCE</t>
  </si>
  <si>
    <t>NSE:GODREJCP</t>
  </si>
  <si>
    <t>NSE:HYUNDAI</t>
  </si>
  <si>
    <t>NSE:MRF</t>
  </si>
  <si>
    <t>NSE:HDFCAMC</t>
  </si>
  <si>
    <t>NSE:ESCORTS</t>
  </si>
  <si>
    <t>NSE:UNOMINDA</t>
  </si>
  <si>
    <t>NSE:ICICIBANK</t>
  </si>
  <si>
    <t>NSE:HINDPETRO</t>
  </si>
  <si>
    <t>NSE:UNITDSPR</t>
  </si>
  <si>
    <t>NSE:VBL</t>
  </si>
  <si>
    <t>NSE:TIINDIA</t>
  </si>
  <si>
    <t>NSE:DABUR</t>
  </si>
  <si>
    <t>NSE:BHARTIARTL</t>
  </si>
  <si>
    <t>NSE:ENRIN</t>
  </si>
  <si>
    <t>NSE:ZYDUSLIFE</t>
  </si>
  <si>
    <t>NSE:GICRE</t>
  </si>
  <si>
    <t>NSE:ICICIGI</t>
  </si>
  <si>
    <t>NSE:KOTAKBANK</t>
  </si>
  <si>
    <t>NSE:YESBANK</t>
  </si>
  <si>
    <t>NSE:JSWENERGY</t>
  </si>
  <si>
    <t>NSE:360ONE</t>
  </si>
  <si>
    <t>NSE:PIDILITIND</t>
  </si>
  <si>
    <t>NSE:THERMAX</t>
  </si>
  <si>
    <t>NSE:M&amp;M</t>
  </si>
  <si>
    <t>NSE:MARUTI</t>
  </si>
  <si>
    <t>NSE:PHOENIXLTD</t>
  </si>
  <si>
    <t>NSE:COLPAL</t>
  </si>
  <si>
    <t>NSE:RELIANCE</t>
  </si>
  <si>
    <t>NSE:ICICIPRULI</t>
  </si>
  <si>
    <t>NSE:TATAPOWER</t>
  </si>
  <si>
    <t>NSE:GRASIM</t>
  </si>
  <si>
    <t>NSE:BAJFINANCE</t>
  </si>
  <si>
    <t>NSE:TATACONSUM</t>
  </si>
  <si>
    <t>NSE:ULTRACEMCO</t>
  </si>
  <si>
    <t>NSE:DIVISLAB</t>
  </si>
  <si>
    <t>NSE:SUPREMEIND</t>
  </si>
  <si>
    <t>NSE:CHOLAFIN</t>
  </si>
  <si>
    <t>NSE:NAM-INDIA</t>
  </si>
  <si>
    <t>NSE:SBILIFE</t>
  </si>
  <si>
    <t>NSE:NESTLEIND</t>
  </si>
  <si>
    <t>NSE:PETRONET</t>
  </si>
  <si>
    <t>NSE:JSL</t>
  </si>
  <si>
    <t>NSE:BRITANNIA</t>
  </si>
  <si>
    <t>NSE:ALKEM</t>
  </si>
  <si>
    <t>NSE:BPCL</t>
  </si>
  <si>
    <t>NSE:FORTIS</t>
  </si>
  <si>
    <t>NSE:BHEL</t>
  </si>
  <si>
    <t>NSE:DRREDDY</t>
  </si>
  <si>
    <t>NSE:CGPOWER</t>
  </si>
  <si>
    <t>NSE:SIEMENS</t>
  </si>
  <si>
    <t>NSE:NLCINDIA</t>
  </si>
  <si>
    <t>NSE:ADANIPORTS</t>
  </si>
  <si>
    <t>NSE:AIAENG</t>
  </si>
  <si>
    <t>NSE:LT</t>
  </si>
  <si>
    <t>NSE:GMRAIRPORT</t>
  </si>
  <si>
    <t>NSE:MUTHOOTFIN</t>
  </si>
  <si>
    <t>NSE:BIOCON</t>
  </si>
  <si>
    <t>NSE:APOLLOHOSP</t>
  </si>
  <si>
    <t>NSE:ADANIPOWER</t>
  </si>
  <si>
    <t>NSE:LINDEINDIA</t>
  </si>
  <si>
    <t>NSE:SUNPHARMA</t>
  </si>
  <si>
    <t>NSE:PNB</t>
  </si>
  <si>
    <t>NSE:HEROMOTOCO</t>
  </si>
  <si>
    <t>NSE:POWERGRID</t>
  </si>
  <si>
    <t>NSE:PFC</t>
  </si>
  <si>
    <t>NSE:MFSL</t>
  </si>
  <si>
    <t>NSE:AUROPHARMA</t>
  </si>
  <si>
    <t>NSE:SOLARINDS</t>
  </si>
  <si>
    <t>NSE:BLUESTARCO</t>
  </si>
  <si>
    <t>NSE:IPCALAB</t>
  </si>
  <si>
    <t>NSE:BSE</t>
  </si>
  <si>
    <t>NSE:3MINDIA</t>
  </si>
  <si>
    <t>NSE:SONACOMS</t>
  </si>
  <si>
    <t>NSE:VOLTAS</t>
  </si>
  <si>
    <t>NSE:MARICO</t>
  </si>
  <si>
    <t>NSE:NMDC</t>
  </si>
  <si>
    <t>NSE:SCHAEFFLER</t>
  </si>
  <si>
    <t>NSE:ABCAPITAL</t>
  </si>
  <si>
    <t>NSE:AXISBANK</t>
  </si>
  <si>
    <t>NSE:ADANIENSOL</t>
  </si>
  <si>
    <t>NSE:BAJAJ-AUTO</t>
  </si>
  <si>
    <t>NSE:IOC</t>
  </si>
  <si>
    <t>NSE:LTF</t>
  </si>
  <si>
    <t>NSE:NYKAA</t>
  </si>
  <si>
    <t>NSE:TORNTPOWER</t>
  </si>
  <si>
    <t>NSE:ONGC</t>
  </si>
  <si>
    <t>NSE:GLENMARK</t>
  </si>
  <si>
    <t>NSE:ABB</t>
  </si>
  <si>
    <t>NSE:OIL</t>
  </si>
  <si>
    <t>NSE:BANKBARODA</t>
  </si>
  <si>
    <t>NSE:JSWSTEEL</t>
  </si>
  <si>
    <t>NSE:COALINDIA</t>
  </si>
  <si>
    <t>NSE:IDBI</t>
  </si>
  <si>
    <t>NSE:SUNDARMFIN</t>
  </si>
  <si>
    <t>NSE:INDUSINDBK</t>
  </si>
  <si>
    <t>NSE:AJANTPHARM</t>
  </si>
  <si>
    <t>NSE:NTPC</t>
  </si>
  <si>
    <t>NSE:TVSMOTOR</t>
  </si>
  <si>
    <t>NSE:TITAN</t>
  </si>
  <si>
    <t>NSE:AUBANK</t>
  </si>
  <si>
    <t>NSE:CANBK</t>
  </si>
  <si>
    <t>NSE:LUPIN</t>
  </si>
  <si>
    <t>NSE:INDUSTOWER</t>
  </si>
  <si>
    <t>NSE:BEL</t>
  </si>
  <si>
    <t>NSE:SAIL</t>
  </si>
  <si>
    <t>NSE:MOTHERSON</t>
  </si>
  <si>
    <t>NSE:ASTRAL</t>
  </si>
  <si>
    <t>NSE:JINDALSTEL</t>
  </si>
  <si>
    <t>NSE:EICHERMOT</t>
  </si>
  <si>
    <t>NSE:IDEA</t>
  </si>
  <si>
    <t>NSE:TATASTEEL</t>
  </si>
  <si>
    <t>NSE:HINDZINC</t>
  </si>
  <si>
    <t>NSE:TORNTPHARM</t>
  </si>
  <si>
    <t>NSE:M&amp;MFIN</t>
  </si>
  <si>
    <t>NSE:POLYCAB</t>
  </si>
  <si>
    <t>NSE:APLAPOLLO</t>
  </si>
  <si>
    <t>NSE:MAHABANK</t>
  </si>
  <si>
    <t>NSE:CUMMINSIND</t>
  </si>
  <si>
    <t>NSE:KEI</t>
  </si>
  <si>
    <t>NSE:APARINDS</t>
  </si>
  <si>
    <t>NSE:BANKINDIA</t>
  </si>
  <si>
    <t>NSE:HINDALCO</t>
  </si>
  <si>
    <t>NSE:INDIANB</t>
  </si>
  <si>
    <t>NSE:FEDERALBNK</t>
  </si>
  <si>
    <t>NSE:SBIN</t>
  </si>
  <si>
    <t>NSE:UNIONBANK</t>
  </si>
  <si>
    <t>NSE:POWERINDIA</t>
  </si>
  <si>
    <t>NSE:SHRIRAMFIN</t>
  </si>
  <si>
    <t>NSE:ASHOKLEY</t>
  </si>
  <si>
    <t>NSE:VEDL</t>
  </si>
  <si>
    <t>NSE:GVT&amp;D</t>
  </si>
  <si>
    <t>NSE:BHARATFORG</t>
  </si>
  <si>
    <t>NSE:NATIONALUM</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</si>
</sst>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rgb="FF38761D"/>
      <name val="Arial"/>
      <scheme val="minor"/>
    </font>
    <font/>
    <font>
      <b/>
      <color rgb="FF000000"/>
      <name val="Arial"/>
      <scheme val="minor"/>
    </font>
    <font>
      <b/>
      <color rgb="FF000000"/>
      <name val="Arial"/>
    </font>
    <font>
      <b/>
      <color theme="1"/>
      <name val="Arial"/>
    </font>
    <font>
      <b/>
      <color rgb="FF6AA84F"/>
      <name val="Arial"/>
    </font>
    <font>
      <color theme="1"/>
      <name val="Arial"/>
      <scheme val="minor"/>
    </font>
    <font>
      <sz val="11.0"/>
      <color rgb="FF38761D"/>
      <name val="Inconsolata"/>
    </font>
    <font>
      <sz val="11.0"/>
      <color theme="1"/>
      <name val="Inconsolata"/>
    </font>
    <font>
      <color rgb="FFFF0000"/>
      <name val="Arial"/>
    </font>
    <font>
      <color rgb="FF38761D"/>
      <name val="Arial"/>
      <scheme val="minor"/>
    </font>
    <font>
      <color rgb="FF000000"/>
      <name val="Arial"/>
      <scheme val="minor"/>
    </font>
    <font>
      <color rgb="FF000000"/>
      <name val="Arial"/>
    </font>
    <font>
      <color theme="1"/>
      <name val="Arial"/>
    </font>
    <font>
      <color rgb="FF374151"/>
      <name val="Söhne"/>
    </font>
    <font>
      <sz val="11.0"/>
      <color rgb="FF000000"/>
      <name val="Calibri"/>
    </font>
    <font>
      <sz val="11.0"/>
      <color rgb="FF000000"/>
      <name val="Inconsolata"/>
    </font>
  </fonts>
  <fills count="4">
    <fill>
      <patternFill patternType="none"/>
    </fill>
    <fill>
      <patternFill patternType="lightGray"/>
    </fill>
    <fill>
      <patternFill patternType="solid">
        <fgColor rgb="FFFFFFFF"/>
        <bgColor rgb="FFFFFFFF"/>
      </patternFill>
    </fill>
    <fill>
      <patternFill patternType="solid">
        <fgColor rgb="FFECECF1"/>
        <bgColor rgb="FFECECF1"/>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4" fillId="0" fontId="3" numFmtId="0" xfId="0" applyAlignment="1" applyBorder="1" applyFont="1">
      <alignment readingOrder="0" shrinkToFit="0" wrapText="1"/>
    </xf>
    <xf borderId="4" fillId="0" fontId="3" numFmtId="2" xfId="0" applyAlignment="1" applyBorder="1" applyFont="1" applyNumberFormat="1">
      <alignment readingOrder="0" shrinkToFit="0" wrapText="1"/>
    </xf>
    <xf borderId="0" fillId="0" fontId="4" numFmtId="0" xfId="0" applyAlignment="1" applyFont="1">
      <alignment readingOrder="0"/>
    </xf>
    <xf borderId="0" fillId="0" fontId="5" numFmtId="0" xfId="0" applyFont="1"/>
    <xf borderId="0" fillId="0" fontId="6" numFmtId="0" xfId="0" applyFont="1"/>
    <xf borderId="0" fillId="0" fontId="7" numFmtId="0" xfId="0" applyAlignment="1" applyFont="1">
      <alignment shrinkToFit="0" wrapText="1"/>
    </xf>
    <xf borderId="4" fillId="2" fontId="8" numFmtId="0" xfId="0" applyAlignment="1" applyBorder="1" applyFill="1" applyFont="1">
      <alignment vertical="bottom"/>
    </xf>
    <xf borderId="4" fillId="2" fontId="9" numFmtId="2" xfId="0" applyAlignment="1" applyBorder="1" applyFont="1" applyNumberFormat="1">
      <alignment horizontal="right" vertical="bottom"/>
    </xf>
    <xf borderId="5" fillId="2" fontId="10" numFmtId="0" xfId="0" applyAlignment="1" applyBorder="1" applyFont="1">
      <alignment shrinkToFit="0" vertical="top" wrapText="1"/>
    </xf>
    <xf borderId="6" fillId="0" fontId="2" numFmtId="0" xfId="0" applyBorder="1" applyFont="1"/>
    <xf borderId="7" fillId="0" fontId="2" numFmtId="0" xfId="0" applyBorder="1" applyFont="1"/>
    <xf borderId="4" fillId="0" fontId="11" numFmtId="0" xfId="0" applyBorder="1" applyFont="1"/>
    <xf borderId="4" fillId="0" fontId="12" numFmtId="2" xfId="0" applyBorder="1" applyFont="1" applyNumberFormat="1"/>
    <xf borderId="4" fillId="2" fontId="13" numFmtId="2" xfId="0" applyAlignment="1" applyBorder="1" applyFont="1" applyNumberFormat="1">
      <alignment shrinkToFit="0" vertical="top"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13" numFmtId="2" xfId="0" applyAlignment="1" applyBorder="1" applyFont="1" applyNumberFormat="1">
      <alignment vertical="bottom"/>
    </xf>
    <xf borderId="4" fillId="0" fontId="5" numFmtId="0" xfId="0" applyAlignment="1" applyBorder="1" applyFont="1">
      <alignment vertical="bottom"/>
    </xf>
    <xf borderId="0" fillId="0" fontId="14" numFmtId="0" xfId="0" applyAlignment="1" applyFont="1">
      <alignment vertical="bottom"/>
    </xf>
    <xf borderId="4" fillId="2" fontId="13" numFmtId="2" xfId="0" applyAlignment="1" applyBorder="1" applyFont="1" applyNumberFormat="1">
      <alignment shrinkToFit="0" vertical="bottom" wrapText="1"/>
    </xf>
    <xf borderId="5" fillId="2" fontId="5" numFmtId="0" xfId="0" applyAlignment="1" applyBorder="1" applyFont="1">
      <alignment shrinkToFit="0" vertical="bottom" wrapText="1"/>
    </xf>
    <xf borderId="1" fillId="0" fontId="5" numFmtId="0" xfId="0" applyAlignment="1" applyBorder="1" applyFont="1">
      <alignment vertical="bottom"/>
    </xf>
    <xf borderId="4" fillId="0" fontId="13" numFmtId="2" xfId="0" applyAlignment="1" applyBorder="1" applyFont="1" applyNumberFormat="1">
      <alignment shrinkToFit="0" vertical="bottom" wrapText="1"/>
    </xf>
    <xf borderId="5" fillId="0" fontId="14" numFmtId="0" xfId="0" applyAlignment="1" applyBorder="1" applyFont="1">
      <alignment shrinkToFit="0" vertical="bottom" wrapText="1"/>
    </xf>
    <xf borderId="4" fillId="0" fontId="7" numFmtId="2" xfId="0" applyBorder="1" applyFont="1" applyNumberFormat="1"/>
    <xf borderId="4" fillId="0" fontId="7" numFmtId="0" xfId="0" applyBorder="1" applyFont="1"/>
    <xf borderId="0" fillId="0" fontId="7" numFmtId="2" xfId="0" applyFont="1" applyNumberFormat="1"/>
    <xf borderId="11" fillId="3" fontId="15" numFmtId="0" xfId="0" applyAlignment="1" applyBorder="1" applyFill="1" applyFont="1">
      <alignment horizontal="center" readingOrder="0" vertical="bottom"/>
    </xf>
    <xf borderId="4" fillId="0" fontId="7" numFmtId="0" xfId="0" applyAlignment="1" applyBorder="1" applyFont="1">
      <alignment readingOrder="0"/>
    </xf>
    <xf borderId="0" fillId="0" fontId="7" numFmtId="0" xfId="0" applyAlignment="1" applyFont="1">
      <alignment readingOrder="0"/>
    </xf>
    <xf borderId="0" fillId="0" fontId="16" numFmtId="0" xfId="0" applyAlignment="1" applyFont="1">
      <alignment readingOrder="0" shrinkToFit="0" vertical="bottom" wrapText="0"/>
    </xf>
    <xf borderId="4" fillId="2" fontId="17" numFmtId="0" xfId="0" applyBorder="1" applyFont="1"/>
    <xf borderId="4" fillId="2" fontId="17" numFmtId="2" xfId="0" applyBorder="1" applyFont="1" applyNumberFormat="1"/>
    <xf borderId="0" fillId="2" fontId="17" numFmtId="0" xfId="0" applyFont="1"/>
    <xf borderId="0" fillId="2" fontId="17" numFmtId="2" xfId="0" applyFont="1" applyNumberFormat="1"/>
  </cellXfs>
  <cellStyles count="1">
    <cellStyle xfId="0" name="Normal" builtinId="0"/>
  </cellStyles>
  <dxfs count="2">
    <dxf>
      <font/>
      <fill>
        <patternFill patternType="solid">
          <fgColor rgb="FFE06666"/>
          <bgColor rgb="FFE06666"/>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5.25"/>
    <col customWidth="1" min="3" max="3" width="18.63"/>
  </cols>
  <sheetData>
    <row r="1">
      <c r="A1" s="1" t="s">
        <v>0</v>
      </c>
      <c r="B1" s="2"/>
      <c r="C1" s="3"/>
    </row>
    <row r="2">
      <c r="A2" s="4" t="s">
        <v>1</v>
      </c>
      <c r="B2" s="5" t="s">
        <v>2</v>
      </c>
      <c r="C2" s="6" t="s">
        <v>3</v>
      </c>
      <c r="D2" s="7" t="s">
        <v>4</v>
      </c>
      <c r="E2" s="8" t="s">
        <v>5</v>
      </c>
      <c r="N2" s="9"/>
      <c r="O2" s="9"/>
      <c r="P2" s="9"/>
      <c r="Q2" s="9"/>
      <c r="R2" s="9"/>
      <c r="S2" s="9"/>
      <c r="T2" s="9"/>
      <c r="U2" s="9"/>
      <c r="V2" s="9"/>
      <c r="W2" s="9"/>
    </row>
    <row r="3">
      <c r="A3" s="10" t="str">
        <f>IFERROR(__xludf.DUMMYFUNCTION("SORT(FILTER({'Top 250 Stocks'!A:B, 'Top 250 Stocks'!G:G}, 'Top 250 Stocks'!F:F=""In Bull Run""), 2, TRUE)"),"NSE:IRB")</f>
        <v>NSE:IRB</v>
      </c>
      <c r="B3" s="11">
        <f>IFERROR(__xludf.DUMMYFUNCTION("""COMPUTED_VALUE"""),21.72)</f>
        <v>21.72</v>
      </c>
      <c r="C3" s="11">
        <f>IFERROR(__xludf.DUMMYFUNCTION("""COMPUTED_VALUE"""),1.8625558966085844)</f>
        <v>1.862555897</v>
      </c>
      <c r="D3" s="12" t="s">
        <v>6</v>
      </c>
      <c r="E3" s="13"/>
      <c r="F3" s="13"/>
      <c r="G3" s="13"/>
      <c r="H3" s="13"/>
      <c r="I3" s="13"/>
      <c r="J3" s="13"/>
      <c r="K3" s="13"/>
      <c r="L3" s="13"/>
      <c r="M3" s="14"/>
    </row>
    <row r="4">
      <c r="A4" s="15" t="str">
        <f>IFERROR(__xludf.DUMMYFUNCTION("""COMPUTED_VALUE"""),"NSE:YESBANK")</f>
        <v>NSE:YESBANK</v>
      </c>
      <c r="B4" s="16">
        <f>IFERROR(__xludf.DUMMYFUNCTION("""COMPUTED_VALUE"""),22.87)</f>
        <v>22.87</v>
      </c>
      <c r="C4" s="17">
        <f>IFERROR(__xludf.DUMMYFUNCTION("""COMPUTED_VALUE"""),8.532907490763806)</f>
        <v>8.532907491</v>
      </c>
      <c r="D4" s="18"/>
      <c r="M4" s="19"/>
    </row>
    <row r="5">
      <c r="A5" s="15" t="str">
        <f>IFERROR(__xludf.DUMMYFUNCTION("""COMPUTED_VALUE"""),"NSE:SUZLON")</f>
        <v>NSE:SUZLON</v>
      </c>
      <c r="B5" s="16">
        <f>IFERROR(__xludf.DUMMYFUNCTION("""COMPUTED_VALUE"""),55.19)</f>
        <v>55.19</v>
      </c>
      <c r="C5" s="17">
        <f>IFERROR(__xludf.DUMMYFUNCTION("""COMPUTED_VALUE"""),5.389893913108252)</f>
        <v>5.389893913</v>
      </c>
      <c r="D5" s="18"/>
      <c r="M5" s="19"/>
    </row>
    <row r="6">
      <c r="A6" s="15" t="str">
        <f>IFERROR(__xludf.DUMMYFUNCTION("""COMPUTED_VALUE"""),"NSE:NHPC")</f>
        <v>NSE:NHPC</v>
      </c>
      <c r="B6" s="16">
        <f>IFERROR(__xludf.DUMMYFUNCTION("""COMPUTED_VALUE"""),80.55)</f>
        <v>80.55</v>
      </c>
      <c r="C6" s="17">
        <f>IFERROR(__xludf.DUMMYFUNCTION("""COMPUTED_VALUE"""),0.4885327052436315)</f>
        <v>0.4885327052</v>
      </c>
      <c r="D6" s="18"/>
      <c r="M6" s="19"/>
    </row>
    <row r="7">
      <c r="A7" s="15" t="str">
        <f>IFERROR(__xludf.DUMMYFUNCTION("""COMPUTED_VALUE"""),"NSE:GMRAIRPORT")</f>
        <v>NSE:GMRAIRPORT</v>
      </c>
      <c r="B7" s="16">
        <f>IFERROR(__xludf.DUMMYFUNCTION("""COMPUTED_VALUE"""),97.02)</f>
        <v>97.02</v>
      </c>
      <c r="C7" s="17">
        <f>IFERROR(__xludf.DUMMYFUNCTION("""COMPUTED_VALUE"""),1.8551666143497834)</f>
        <v>1.855166614</v>
      </c>
      <c r="D7" s="18"/>
      <c r="M7" s="19"/>
    </row>
    <row r="8">
      <c r="A8" s="15" t="str">
        <f>IFERROR(__xludf.DUMMYFUNCTION("""COMPUTED_VALUE"""),"NSE:NTPCGREEN")</f>
        <v>NSE:NTPCGREEN</v>
      </c>
      <c r="B8" s="16">
        <f>IFERROR(__xludf.DUMMYFUNCTION("""COMPUTED_VALUE"""),104.95)</f>
        <v>104.95</v>
      </c>
      <c r="C8" s="17">
        <f>IFERROR(__xludf.DUMMYFUNCTION("""COMPUTED_VALUE"""),6.836192987188887)</f>
        <v>6.836192987</v>
      </c>
      <c r="D8" s="20"/>
      <c r="E8" s="21"/>
      <c r="F8" s="21"/>
      <c r="G8" s="21"/>
      <c r="H8" s="21"/>
      <c r="I8" s="21"/>
      <c r="J8" s="21"/>
      <c r="K8" s="21"/>
      <c r="L8" s="21"/>
      <c r="M8" s="22"/>
    </row>
    <row r="9">
      <c r="A9" s="15" t="str">
        <f>IFERROR(__xludf.DUMMYFUNCTION("""COMPUTED_VALUE"""),"NSE:GAIL")</f>
        <v>NSE:GAIL</v>
      </c>
      <c r="B9" s="16">
        <f>IFERROR(__xludf.DUMMYFUNCTION("""COMPUTED_VALUE"""),168.76)</f>
        <v>168.76</v>
      </c>
      <c r="C9" s="23">
        <f>IFERROR(__xludf.DUMMYFUNCTION("""COMPUTED_VALUE"""),0.23267450959433195)</f>
        <v>0.2326745096</v>
      </c>
      <c r="D9" s="24" t="s">
        <v>7</v>
      </c>
      <c r="E9" s="25"/>
      <c r="F9" s="25"/>
      <c r="G9" s="25"/>
      <c r="H9" s="25"/>
      <c r="I9" s="25"/>
      <c r="J9" s="25"/>
      <c r="K9" s="25"/>
      <c r="L9" s="25"/>
      <c r="M9" s="25"/>
    </row>
    <row r="10">
      <c r="A10" s="15" t="str">
        <f>IFERROR(__xludf.DUMMYFUNCTION("""COMPUTED_VALUE"""),"NSE:NYKAA")</f>
        <v>NSE:NYKAA</v>
      </c>
      <c r="B10" s="16">
        <f>IFERROR(__xludf.DUMMYFUNCTION("""COMPUTED_VALUE"""),264.95)</f>
        <v>264.95</v>
      </c>
      <c r="C10" s="26">
        <f>IFERROR(__xludf.DUMMYFUNCTION("""COMPUTED_VALUE"""),5.19977534616763)</f>
        <v>5.199775346</v>
      </c>
      <c r="D10" s="27" t="s">
        <v>8</v>
      </c>
      <c r="E10" s="13"/>
      <c r="F10" s="13"/>
      <c r="G10" s="13"/>
      <c r="H10" s="13"/>
      <c r="I10" s="13"/>
      <c r="J10" s="13"/>
      <c r="K10" s="13"/>
      <c r="L10" s="13"/>
      <c r="M10" s="14"/>
    </row>
    <row r="11">
      <c r="A11" s="15" t="str">
        <f>IFERROR(__xludf.DUMMYFUNCTION("""COMPUTED_VALUE"""),"NSE:JSWINFRA")</f>
        <v>NSE:JSWINFRA</v>
      </c>
      <c r="B11" s="16">
        <f>IFERROR(__xludf.DUMMYFUNCTION("""COMPUTED_VALUE"""),282.6)</f>
        <v>282.6</v>
      </c>
      <c r="C11" s="26">
        <f>IFERROR(__xludf.DUMMYFUNCTION("""COMPUTED_VALUE"""),0.7007180716631891)</f>
        <v>0.7007180717</v>
      </c>
      <c r="D11" s="18"/>
      <c r="M11" s="19"/>
    </row>
    <row r="12">
      <c r="A12" s="15" t="str">
        <f>IFERROR(__xludf.DUMMYFUNCTION("""COMPUTED_VALUE"""),"NSE:EXIDEIND")</f>
        <v>NSE:EXIDEIND</v>
      </c>
      <c r="B12" s="16">
        <f>IFERROR(__xludf.DUMMYFUNCTION("""COMPUTED_VALUE"""),388.85)</f>
        <v>388.85</v>
      </c>
      <c r="C12" s="26">
        <f>IFERROR(__xludf.DUMMYFUNCTION("""COMPUTED_VALUE"""),7.382198193819591)</f>
        <v>7.382198194</v>
      </c>
      <c r="D12" s="18"/>
      <c r="M12" s="19"/>
    </row>
    <row r="13">
      <c r="A13" s="15" t="str">
        <f>IFERROR(__xludf.DUMMYFUNCTION("""COMPUTED_VALUE"""),"NSE:TMPV")</f>
        <v>NSE:TMPV</v>
      </c>
      <c r="B13" s="16">
        <f>IFERROR(__xludf.DUMMYFUNCTION("""COMPUTED_VALUE"""),391.85)</f>
        <v>391.85</v>
      </c>
      <c r="C13" s="26">
        <f>IFERROR(__xludf.DUMMYFUNCTION("""COMPUTED_VALUE"""),4.921426743972349)</f>
        <v>4.921426744</v>
      </c>
      <c r="D13" s="20"/>
      <c r="E13" s="21"/>
      <c r="F13" s="21"/>
      <c r="G13" s="21"/>
      <c r="H13" s="21"/>
      <c r="I13" s="21"/>
      <c r="J13" s="21"/>
      <c r="K13" s="21"/>
      <c r="L13" s="21"/>
      <c r="M13" s="22"/>
    </row>
    <row r="14">
      <c r="A14" s="15" t="str">
        <f>IFERROR(__xludf.DUMMYFUNCTION("""COMPUTED_VALUE"""),"NSE:GICRE")</f>
        <v>NSE:GICRE</v>
      </c>
      <c r="B14" s="16">
        <f>IFERROR(__xludf.DUMMYFUNCTION("""COMPUTED_VALUE"""),397.1)</f>
        <v>397.1</v>
      </c>
      <c r="C14" s="23">
        <f>IFERROR(__xludf.DUMMYFUNCTION("""COMPUTED_VALUE"""),4.5880741677201895)</f>
        <v>4.588074168</v>
      </c>
      <c r="D14" s="28" t="s">
        <v>9</v>
      </c>
      <c r="E14" s="3"/>
      <c r="F14" s="25"/>
      <c r="G14" s="25"/>
      <c r="H14" s="25"/>
      <c r="I14" s="25"/>
      <c r="J14" s="25"/>
      <c r="K14" s="25"/>
      <c r="L14" s="25"/>
      <c r="M14" s="25"/>
    </row>
    <row r="15">
      <c r="A15" s="15" t="str">
        <f>IFERROR(__xludf.DUMMYFUNCTION("""COMPUTED_VALUE"""),"NSE:TATAPOWER")</f>
        <v>NSE:TATAPOWER</v>
      </c>
      <c r="B15" s="16">
        <f>IFERROR(__xludf.DUMMYFUNCTION("""COMPUTED_VALUE"""),427.6)</f>
        <v>427.6</v>
      </c>
      <c r="C15" s="29">
        <f>IFERROR(__xludf.DUMMYFUNCTION("""COMPUTED_VALUE"""),9.50253301433502)</f>
        <v>9.502533014</v>
      </c>
      <c r="D15" s="30" t="s">
        <v>10</v>
      </c>
      <c r="E15" s="13"/>
      <c r="F15" s="13"/>
      <c r="G15" s="13"/>
      <c r="H15" s="13"/>
      <c r="I15" s="13"/>
      <c r="J15" s="13"/>
      <c r="K15" s="13"/>
      <c r="L15" s="13"/>
      <c r="M15" s="14"/>
    </row>
    <row r="16">
      <c r="A16" s="15" t="str">
        <f>IFERROR(__xludf.DUMMYFUNCTION("""COMPUTED_VALUE"""),"NSE:INDUSTOWER")</f>
        <v>NSE:INDUSTOWER</v>
      </c>
      <c r="B16" s="16">
        <f>IFERROR(__xludf.DUMMYFUNCTION("""COMPUTED_VALUE"""),439.4)</f>
        <v>439.4</v>
      </c>
      <c r="C16" s="29">
        <f>IFERROR(__xludf.DUMMYFUNCTION("""COMPUTED_VALUE"""),9.618225963478354)</f>
        <v>9.618225963</v>
      </c>
      <c r="D16" s="20"/>
      <c r="E16" s="21"/>
      <c r="F16" s="21"/>
      <c r="G16" s="21"/>
      <c r="H16" s="21"/>
      <c r="I16" s="21"/>
      <c r="J16" s="21"/>
      <c r="K16" s="21"/>
      <c r="L16" s="21"/>
      <c r="M16" s="22"/>
    </row>
    <row r="17">
      <c r="A17" s="15" t="str">
        <f>IFERROR(__xludf.DUMMYFUNCTION("""COMPUTED_VALUE"""),"NSE:BERGEPAINT")</f>
        <v>NSE:BERGEPAINT</v>
      </c>
      <c r="B17" s="16">
        <f>IFERROR(__xludf.DUMMYFUNCTION("""COMPUTED_VALUE"""),525.4)</f>
        <v>525.4</v>
      </c>
      <c r="C17" s="16">
        <f>IFERROR(__xludf.DUMMYFUNCTION("""COMPUTED_VALUE"""),3.0345074410269643)</f>
        <v>3.034507441</v>
      </c>
    </row>
    <row r="18">
      <c r="A18" s="15" t="str">
        <f>IFERROR(__xludf.DUMMYFUNCTION("""COMPUTED_VALUE"""),"NSE:MOTILALOFS")</f>
        <v>NSE:MOTILALOFS</v>
      </c>
      <c r="B18" s="16">
        <f>IFERROR(__xludf.DUMMYFUNCTION("""COMPUTED_VALUE"""),898.4)</f>
        <v>898.4</v>
      </c>
      <c r="C18" s="16">
        <f>IFERROR(__xludf.DUMMYFUNCTION("""COMPUTED_VALUE"""),4.675593336951109)</f>
        <v>4.675593337</v>
      </c>
    </row>
    <row r="19">
      <c r="A19" s="15" t="str">
        <f>IFERROR(__xludf.DUMMYFUNCTION("""COMPUTED_VALUE"""),"NSE:FACT")</f>
        <v>NSE:FACT</v>
      </c>
      <c r="B19" s="16">
        <f>IFERROR(__xludf.DUMMYFUNCTION("""COMPUTED_VALUE"""),909.95)</f>
        <v>909.95</v>
      </c>
      <c r="C19" s="16">
        <f>IFERROR(__xludf.DUMMYFUNCTION("""COMPUTED_VALUE"""),4.064960689016475)</f>
        <v>4.064960689</v>
      </c>
    </row>
    <row r="20">
      <c r="A20" s="15" t="str">
        <f>IFERROR(__xludf.DUMMYFUNCTION("""COMPUTED_VALUE"""),"NSE:FORTIS")</f>
        <v>NSE:FORTIS</v>
      </c>
      <c r="B20" s="16">
        <f>IFERROR(__xludf.DUMMYFUNCTION("""COMPUTED_VALUE"""),959.4)</f>
        <v>959.4</v>
      </c>
      <c r="C20" s="16">
        <f>IFERROR(__xludf.DUMMYFUNCTION("""COMPUTED_VALUE"""),3.7400875043421538)</f>
        <v>3.740087504</v>
      </c>
    </row>
    <row r="21">
      <c r="A21" s="15" t="str">
        <f>IFERROR(__xludf.DUMMYFUNCTION("""COMPUTED_VALUE"""),"NSE:360ONE")</f>
        <v>NSE:360ONE</v>
      </c>
      <c r="B21" s="16">
        <f>IFERROR(__xludf.DUMMYFUNCTION("""COMPUTED_VALUE"""),1122.5)</f>
        <v>1122.5</v>
      </c>
      <c r="C21" s="16">
        <f>IFERROR(__xludf.DUMMYFUNCTION("""COMPUTED_VALUE"""),2.6663056958992266)</f>
        <v>2.666305696</v>
      </c>
    </row>
    <row r="22">
      <c r="A22" s="15" t="str">
        <f>IFERROR(__xludf.DUMMYFUNCTION("""COMPUTED_VALUE"""),"NSE:GODREJIND")</f>
        <v>NSE:GODREJIND</v>
      </c>
      <c r="B22" s="16">
        <f>IFERROR(__xludf.DUMMYFUNCTION("""COMPUTED_VALUE"""),1136.25)</f>
        <v>1136.25</v>
      </c>
      <c r="C22" s="16">
        <f>IFERROR(__xludf.DUMMYFUNCTION("""COMPUTED_VALUE"""),8.30552022155803)</f>
        <v>8.305520222</v>
      </c>
    </row>
    <row r="23">
      <c r="A23" s="15" t="str">
        <f>IFERROR(__xludf.DUMMYFUNCTION("""COMPUTED_VALUE"""),"NSE:TATACONSUM")</f>
        <v>NSE:TATACONSUM</v>
      </c>
      <c r="B23" s="16">
        <f>IFERROR(__xludf.DUMMYFUNCTION("""COMPUTED_VALUE"""),1203.5)</f>
        <v>1203.5</v>
      </c>
      <c r="C23" s="16">
        <f>IFERROR(__xludf.DUMMYFUNCTION("""COMPUTED_VALUE"""),5.827177667871548)</f>
        <v>5.827177668</v>
      </c>
    </row>
    <row r="24">
      <c r="A24" s="15" t="str">
        <f>IFERROR(__xludf.DUMMYFUNCTION("""COMPUTED_VALUE"""),"NSE:MEDANTA")</f>
        <v>NSE:MEDANTA</v>
      </c>
      <c r="B24" s="16">
        <f>IFERROR(__xludf.DUMMYFUNCTION("""COMPUTED_VALUE"""),1217.3)</f>
        <v>1217.3</v>
      </c>
      <c r="C24" s="16">
        <f>IFERROR(__xludf.DUMMYFUNCTION("""COMPUTED_VALUE"""),0.34857796922938145)</f>
        <v>0.3485779692</v>
      </c>
    </row>
    <row r="25">
      <c r="A25" s="15" t="str">
        <f>IFERROR(__xludf.DUMMYFUNCTION("""COMPUTED_VALUE"""),"NSE:AXISBANK")</f>
        <v>NSE:AXISBANK</v>
      </c>
      <c r="B25" s="16">
        <f>IFERROR(__xludf.DUMMYFUNCTION("""COMPUTED_VALUE"""),1311.5)</f>
        <v>1311.5</v>
      </c>
      <c r="C25" s="16">
        <f>IFERROR(__xludf.DUMMYFUNCTION("""COMPUTED_VALUE"""),6.121035430589231)</f>
        <v>6.121035431</v>
      </c>
    </row>
    <row r="26">
      <c r="A26" s="15" t="str">
        <f>IFERROR(__xludf.DUMMYFUNCTION("""COMPUTED_VALUE"""),"NSE:DRREDDY")</f>
        <v>NSE:DRREDDY</v>
      </c>
      <c r="B26" s="16">
        <f>IFERROR(__xludf.DUMMYFUNCTION("""COMPUTED_VALUE"""),1328.3)</f>
        <v>1328.3</v>
      </c>
      <c r="C26" s="16">
        <f>IFERROR(__xludf.DUMMYFUNCTION("""COMPUTED_VALUE"""),5.295742470537879)</f>
        <v>5.295742471</v>
      </c>
    </row>
    <row r="27">
      <c r="A27" s="15" t="str">
        <f>IFERROR(__xludf.DUMMYFUNCTION("""COMPUTED_VALUE"""),"NSE:PIDILITIND")</f>
        <v>NSE:PIDILITIND</v>
      </c>
      <c r="B27" s="16">
        <f>IFERROR(__xludf.DUMMYFUNCTION("""COMPUTED_VALUE"""),1478.4)</f>
        <v>1478.4</v>
      </c>
      <c r="C27" s="16">
        <f>IFERROR(__xludf.DUMMYFUNCTION("""COMPUTED_VALUE"""),1.0467435168251162)</f>
        <v>1.046743517</v>
      </c>
    </row>
    <row r="28">
      <c r="A28" s="15" t="str">
        <f>IFERROR(__xludf.DUMMYFUNCTION("""COMPUTED_VALUE"""),"NSE:IPCALAB")</f>
        <v>NSE:IPCALAB</v>
      </c>
      <c r="B28" s="16">
        <f>IFERROR(__xludf.DUMMYFUNCTION("""COMPUTED_VALUE"""),1576.9)</f>
        <v>1576.9</v>
      </c>
      <c r="C28" s="16">
        <f>IFERROR(__xludf.DUMMYFUNCTION("""COMPUTED_VALUE"""),9.656046207273514)</f>
        <v>9.656046207</v>
      </c>
    </row>
    <row r="29">
      <c r="A29" s="15" t="str">
        <f>IFERROR(__xludf.DUMMYFUNCTION("""COMPUTED_VALUE"""),"NSE:ASTRAL")</f>
        <v>NSE:ASTRAL</v>
      </c>
      <c r="B29" s="16">
        <f>IFERROR(__xludf.DUMMYFUNCTION("""COMPUTED_VALUE"""),1593.1)</f>
        <v>1593.1</v>
      </c>
      <c r="C29" s="16">
        <f>IFERROR(__xludf.DUMMYFUNCTION("""COMPUTED_VALUE"""),6.884456634337233)</f>
        <v>6.884456634</v>
      </c>
    </row>
    <row r="30">
      <c r="A30" s="15" t="str">
        <f>IFERROR(__xludf.DUMMYFUNCTION("""COMPUTED_VALUE"""),"NSE:MFSL")</f>
        <v>NSE:MFSL</v>
      </c>
      <c r="B30" s="16">
        <f>IFERROR(__xludf.DUMMYFUNCTION("""COMPUTED_VALUE"""),1692.6)</f>
        <v>1692.6</v>
      </c>
      <c r="C30" s="16">
        <f>IFERROR(__xludf.DUMMYFUNCTION("""COMPUTED_VALUE"""),3.1250999584172)</f>
        <v>3.125099958</v>
      </c>
    </row>
    <row r="31">
      <c r="A31" s="15" t="str">
        <f>IFERROR(__xludf.DUMMYFUNCTION("""COMPUTED_VALUE"""),"NSE:OBEROIRLTY")</f>
        <v>NSE:OBEROIRLTY</v>
      </c>
      <c r="B31" s="16">
        <f>IFERROR(__xludf.DUMMYFUNCTION("""COMPUTED_VALUE"""),1692.9)</f>
        <v>1692.9</v>
      </c>
      <c r="C31" s="16">
        <f>IFERROR(__xludf.DUMMYFUNCTION("""COMPUTED_VALUE"""),4.46498488469598)</f>
        <v>4.464984885</v>
      </c>
    </row>
    <row r="32">
      <c r="A32" s="15" t="str">
        <f>IFERROR(__xludf.DUMMYFUNCTION("""COMPUTED_VALUE"""),"NSE:DEEPAKNTR")</f>
        <v>NSE:DEEPAKNTR</v>
      </c>
      <c r="B32" s="16">
        <f>IFERROR(__xludf.DUMMYFUNCTION("""COMPUTED_VALUE"""),1723.5)</f>
        <v>1723.5</v>
      </c>
      <c r="C32" s="16">
        <f>IFERROR(__xludf.DUMMYFUNCTION("""COMPUTED_VALUE"""),3.1274514086306793)</f>
        <v>3.127451409</v>
      </c>
    </row>
    <row r="33">
      <c r="A33" s="15" t="str">
        <f>IFERROR(__xludf.DUMMYFUNCTION("""COMPUTED_VALUE"""),"NSE:PHOENIXLTD")</f>
        <v>NSE:PHOENIXLTD</v>
      </c>
      <c r="B33" s="31">
        <f>IFERROR(__xludf.DUMMYFUNCTION("""COMPUTED_VALUE"""),1780.7)</f>
        <v>1780.7</v>
      </c>
      <c r="C33" s="31">
        <f>IFERROR(__xludf.DUMMYFUNCTION("""COMPUTED_VALUE"""),5.705685027095738)</f>
        <v>5.705685027</v>
      </c>
    </row>
    <row r="34">
      <c r="A34" s="15" t="str">
        <f>IFERROR(__xludf.DUMMYFUNCTION("""COMPUTED_VALUE"""),"NSE:POLICYBZR")</f>
        <v>NSE:POLICYBZR</v>
      </c>
      <c r="B34" s="31">
        <f>IFERROR(__xludf.DUMMYFUNCTION("""COMPUTED_VALUE"""),1789.2)</f>
        <v>1789.2</v>
      </c>
      <c r="C34" s="31">
        <f>IFERROR(__xludf.DUMMYFUNCTION("""COMPUTED_VALUE"""),5.209245382982936)</f>
        <v>5.209245383</v>
      </c>
    </row>
    <row r="35">
      <c r="A35" s="15" t="str">
        <f>IFERROR(__xludf.DUMMYFUNCTION("""COMPUTED_VALUE"""),"NSE:SUNPHARMA")</f>
        <v>NSE:SUNPHARMA</v>
      </c>
      <c r="B35" s="31">
        <f>IFERROR(__xludf.DUMMYFUNCTION("""COMPUTED_VALUE"""),1836.0)</f>
        <v>1836</v>
      </c>
      <c r="C35" s="31">
        <f>IFERROR(__xludf.DUMMYFUNCTION("""COMPUTED_VALUE"""),7.175129765965953)</f>
        <v>7.175129766</v>
      </c>
    </row>
    <row r="36">
      <c r="A36" s="15" t="str">
        <f>IFERROR(__xludf.DUMMYFUNCTION("""COMPUTED_VALUE"""),"NSE:MANKIND")</f>
        <v>NSE:MANKIND</v>
      </c>
      <c r="B36" s="31">
        <f>IFERROR(__xludf.DUMMYFUNCTION("""COMPUTED_VALUE"""),2408.7)</f>
        <v>2408.7</v>
      </c>
      <c r="C36" s="31">
        <f>IFERROR(__xludf.DUMMYFUNCTION("""COMPUTED_VALUE"""),5.0083310881683305)</f>
        <v>5.008331088</v>
      </c>
    </row>
    <row r="37">
      <c r="A37" s="15" t="str">
        <f>IFERROR(__xludf.DUMMYFUNCTION("""COMPUTED_VALUE"""),"NSE:ASIANPAINT")</f>
        <v>NSE:ASIANPAINT</v>
      </c>
      <c r="B37" s="31">
        <f>IFERROR(__xludf.DUMMYFUNCTION("""COMPUTED_VALUE"""),2679.0)</f>
        <v>2679</v>
      </c>
      <c r="C37" s="31">
        <f>IFERROR(__xludf.DUMMYFUNCTION("""COMPUTED_VALUE"""),5.584926303376752)</f>
        <v>5.584926303</v>
      </c>
    </row>
    <row r="38">
      <c r="A38" s="15" t="str">
        <f>IFERROR(__xludf.DUMMYFUNCTION("""COMPUTED_VALUE"""),"NSE:HDFCAMC")</f>
        <v>NSE:HDFCAMC</v>
      </c>
      <c r="B38" s="31">
        <f>IFERROR(__xludf.DUMMYFUNCTION("""COMPUTED_VALUE"""),2712.0)</f>
        <v>2712</v>
      </c>
      <c r="C38" s="31">
        <f>IFERROR(__xludf.DUMMYFUNCTION("""COMPUTED_VALUE"""),0.7835062886566443)</f>
        <v>0.7835062887</v>
      </c>
    </row>
    <row r="39">
      <c r="A39" s="15" t="str">
        <f>IFERROR(__xludf.DUMMYFUNCTION("""COMPUTED_VALUE"""),"NSE:ENDURANCE")</f>
        <v>NSE:ENDURANCE</v>
      </c>
      <c r="B39" s="31">
        <f>IFERROR(__xludf.DUMMYFUNCTION("""COMPUTED_VALUE"""),2743.8)</f>
        <v>2743.8</v>
      </c>
      <c r="C39" s="31">
        <f>IFERROR(__xludf.DUMMYFUNCTION("""COMPUTED_VALUE"""),4.7000348580369415)</f>
        <v>4.700034858</v>
      </c>
    </row>
    <row r="40">
      <c r="A40" s="15" t="str">
        <f>IFERROR(__xludf.DUMMYFUNCTION("""COMPUTED_VALUE"""),"NSE:FLUOROCHEM")</f>
        <v>NSE:FLUOROCHEM</v>
      </c>
      <c r="B40" s="31">
        <f>IFERROR(__xludf.DUMMYFUNCTION("""COMPUTED_VALUE"""),3615.0)</f>
        <v>3615</v>
      </c>
      <c r="C40" s="31">
        <f>IFERROR(__xludf.DUMMYFUNCTION("""COMPUTED_VALUE"""),3.652718948448182)</f>
        <v>3.652718948</v>
      </c>
    </row>
    <row r="41">
      <c r="A41" s="15" t="str">
        <f>IFERROR(__xludf.DUMMYFUNCTION("""COMPUTED_VALUE"""),"NSE:LT")</f>
        <v>NSE:LT</v>
      </c>
      <c r="B41" s="31">
        <f>IFERROR(__xludf.DUMMYFUNCTION("""COMPUTED_VALUE"""),4068.7)</f>
        <v>4068.7</v>
      </c>
      <c r="C41" s="31">
        <f>IFERROR(__xludf.DUMMYFUNCTION("""COMPUTED_VALUE"""),4.806001867533885)</f>
        <v>4.806001868</v>
      </c>
    </row>
    <row r="42">
      <c r="A42" s="15" t="str">
        <f>IFERROR(__xludf.DUMMYFUNCTION("""COMPUTED_VALUE"""),"NSE:SCHAEFFLER")</f>
        <v>NSE:SCHAEFFLER</v>
      </c>
      <c r="B42" s="31">
        <f>IFERROR(__xludf.DUMMYFUNCTION("""COMPUTED_VALUE"""),4156.0)</f>
        <v>4156</v>
      </c>
      <c r="C42" s="31">
        <f>IFERROR(__xludf.DUMMYFUNCTION("""COMPUTED_VALUE"""),4.617216404211064)</f>
        <v>4.617216404</v>
      </c>
    </row>
    <row r="43">
      <c r="A43" s="15" t="str">
        <f>IFERROR(__xludf.DUMMYFUNCTION("""COMPUTED_VALUE"""),"NSE:HAL")</f>
        <v>NSE:HAL</v>
      </c>
      <c r="B43" s="31">
        <f>IFERROR(__xludf.DUMMYFUNCTION("""COMPUTED_VALUE"""),4448.7)</f>
        <v>4448.7</v>
      </c>
      <c r="C43" s="31">
        <f>IFERROR(__xludf.DUMMYFUNCTION("""COMPUTED_VALUE"""),0.8186372725054394)</f>
        <v>0.8186372725</v>
      </c>
    </row>
    <row r="44">
      <c r="A44" s="15" t="str">
        <f>IFERROR(__xludf.DUMMYFUNCTION("""COMPUTED_VALUE"""),"NSE:DIVISLAB")</f>
        <v>NSE:DIVISLAB</v>
      </c>
      <c r="B44" s="31">
        <f>IFERROR(__xludf.DUMMYFUNCTION("""COMPUTED_VALUE"""),6795.0)</f>
        <v>6795</v>
      </c>
      <c r="C44" s="31">
        <f>IFERROR(__xludf.DUMMYFUNCTION("""COMPUTED_VALUE"""),7.732993407596956)</f>
        <v>7.732993408</v>
      </c>
    </row>
    <row r="45">
      <c r="A45" s="15" t="str">
        <f>IFERROR(__xludf.DUMMYFUNCTION("""COMPUTED_VALUE"""),"NSE:EICHERMOT")</f>
        <v>NSE:EICHERMOT</v>
      </c>
      <c r="B45" s="31">
        <f>IFERROR(__xludf.DUMMYFUNCTION("""COMPUTED_VALUE"""),7357.5)</f>
        <v>7357.5</v>
      </c>
      <c r="C45" s="31">
        <f>IFERROR(__xludf.DUMMYFUNCTION("""COMPUTED_VALUE"""),5.115852456346382)</f>
        <v>5.115852456</v>
      </c>
    </row>
    <row r="46">
      <c r="A46" s="15" t="str">
        <f>IFERROR(__xludf.DUMMYFUNCTION("""COMPUTED_VALUE"""),"NSE:APOLLOHOSP")</f>
        <v>NSE:APOLLOHOSP</v>
      </c>
      <c r="B46" s="31">
        <f>IFERROR(__xludf.DUMMYFUNCTION("""COMPUTED_VALUE"""),8189.5)</f>
        <v>8189.5</v>
      </c>
      <c r="C46" s="31">
        <f>IFERROR(__xludf.DUMMYFUNCTION("""COMPUTED_VALUE"""),8.73317453868562)</f>
        <v>8.733174539</v>
      </c>
    </row>
    <row r="47">
      <c r="A47" s="15" t="str">
        <f>IFERROR(__xludf.DUMMYFUNCTION("""COMPUTED_VALUE"""),"NSE:HONAUT")</f>
        <v>NSE:HONAUT</v>
      </c>
      <c r="B47" s="31">
        <f>IFERROR(__xludf.DUMMYFUNCTION("""COMPUTED_VALUE"""),36160.0)</f>
        <v>36160</v>
      </c>
      <c r="C47" s="31">
        <f>IFERROR(__xludf.DUMMYFUNCTION("""COMPUTED_VALUE"""),7.398736371891876)</f>
        <v>7.398736372</v>
      </c>
    </row>
    <row r="48">
      <c r="A48" s="15" t="str">
        <f>IFERROR(__xludf.DUMMYFUNCTION("""COMPUTED_VALUE"""),"NSE:PAGEIND")</f>
        <v>NSE:PAGEIND</v>
      </c>
      <c r="B48" s="31">
        <f>IFERROR(__xludf.DUMMYFUNCTION("""COMPUTED_VALUE"""),38120.0)</f>
        <v>38120</v>
      </c>
      <c r="C48" s="31">
        <f>IFERROR(__xludf.DUMMYFUNCTION("""COMPUTED_VALUE"""),0.14212195166802452)</f>
        <v>0.1421219517</v>
      </c>
    </row>
    <row r="49">
      <c r="A49" s="15"/>
      <c r="B49" s="31"/>
      <c r="C49" s="31"/>
    </row>
    <row r="50">
      <c r="A50" s="15"/>
      <c r="B50" s="31"/>
      <c r="C50" s="31"/>
    </row>
    <row r="51">
      <c r="A51" s="15"/>
      <c r="B51" s="31"/>
      <c r="C51" s="31"/>
    </row>
    <row r="52">
      <c r="A52" s="15"/>
      <c r="B52" s="31"/>
      <c r="C52" s="31"/>
    </row>
    <row r="53">
      <c r="A53" s="15"/>
      <c r="B53" s="31"/>
      <c r="C53" s="31"/>
    </row>
    <row r="54">
      <c r="A54" s="15"/>
      <c r="B54" s="31"/>
      <c r="C54" s="31"/>
    </row>
    <row r="55">
      <c r="A55" s="15"/>
      <c r="B55" s="31"/>
      <c r="C55" s="31"/>
    </row>
    <row r="56">
      <c r="A56" s="15"/>
      <c r="B56" s="31"/>
      <c r="C56" s="31"/>
    </row>
    <row r="57">
      <c r="A57" s="15"/>
      <c r="B57" s="31"/>
      <c r="C57" s="31"/>
    </row>
    <row r="58">
      <c r="A58" s="15"/>
      <c r="B58" s="31"/>
      <c r="C58" s="31"/>
    </row>
    <row r="59">
      <c r="A59" s="15"/>
      <c r="B59" s="31"/>
      <c r="C59" s="31"/>
    </row>
    <row r="60">
      <c r="A60" s="15"/>
      <c r="B60" s="31"/>
      <c r="C60" s="31"/>
    </row>
    <row r="61">
      <c r="A61" s="15"/>
      <c r="B61" s="31"/>
      <c r="C61" s="31"/>
    </row>
    <row r="62">
      <c r="A62" s="15"/>
      <c r="B62" s="31"/>
      <c r="C62" s="31"/>
    </row>
    <row r="63">
      <c r="A63" s="15"/>
      <c r="B63" s="31"/>
      <c r="C63" s="31"/>
    </row>
    <row r="64">
      <c r="A64" s="15"/>
      <c r="B64" s="31"/>
      <c r="C64" s="31"/>
    </row>
    <row r="65">
      <c r="A65" s="15"/>
      <c r="B65" s="31"/>
      <c r="C65" s="31"/>
    </row>
    <row r="66">
      <c r="A66" s="15"/>
      <c r="B66" s="31"/>
      <c r="C66" s="31"/>
    </row>
    <row r="67">
      <c r="A67" s="15"/>
      <c r="B67" s="31"/>
      <c r="C67" s="31"/>
    </row>
    <row r="68">
      <c r="A68" s="15"/>
      <c r="B68" s="31"/>
      <c r="C68" s="31"/>
    </row>
    <row r="69">
      <c r="A69" s="15"/>
      <c r="B69" s="31"/>
      <c r="C69" s="31"/>
    </row>
    <row r="70">
      <c r="A70" s="15"/>
      <c r="B70" s="31"/>
      <c r="C70" s="31"/>
    </row>
    <row r="71">
      <c r="A71" s="15"/>
      <c r="B71" s="31"/>
      <c r="C71" s="31"/>
    </row>
    <row r="72">
      <c r="A72" s="15"/>
      <c r="B72" s="31"/>
      <c r="C72" s="31"/>
    </row>
    <row r="73">
      <c r="A73" s="15"/>
      <c r="B73" s="31"/>
      <c r="C73" s="31"/>
    </row>
    <row r="74">
      <c r="A74" s="15"/>
      <c r="B74" s="31"/>
      <c r="C74" s="31"/>
    </row>
    <row r="75">
      <c r="A75" s="15"/>
      <c r="B75" s="31"/>
      <c r="C75" s="31"/>
    </row>
    <row r="76">
      <c r="A76" s="15"/>
      <c r="B76" s="31"/>
      <c r="C76" s="31"/>
    </row>
    <row r="77">
      <c r="A77" s="15"/>
      <c r="B77" s="31"/>
      <c r="C77" s="31"/>
    </row>
    <row r="78">
      <c r="A78" s="15"/>
      <c r="B78" s="31"/>
      <c r="C78" s="31"/>
    </row>
    <row r="79">
      <c r="A79" s="15"/>
      <c r="B79" s="31"/>
      <c r="C79" s="31"/>
    </row>
    <row r="80">
      <c r="A80" s="15"/>
      <c r="B80" s="31"/>
      <c r="C80" s="31"/>
    </row>
    <row r="81">
      <c r="A81" s="15"/>
      <c r="B81" s="31"/>
      <c r="C81" s="31"/>
    </row>
    <row r="82">
      <c r="A82" s="15"/>
      <c r="B82" s="31"/>
      <c r="C82" s="31"/>
    </row>
    <row r="83">
      <c r="A83" s="15"/>
      <c r="B83" s="31"/>
      <c r="C83" s="31"/>
    </row>
    <row r="84">
      <c r="A84" s="15"/>
      <c r="B84" s="31"/>
      <c r="C84" s="31"/>
    </row>
    <row r="85">
      <c r="A85" s="15"/>
      <c r="B85" s="31"/>
      <c r="C85" s="31"/>
    </row>
    <row r="86">
      <c r="A86" s="15"/>
      <c r="B86" s="31"/>
      <c r="C86" s="31"/>
    </row>
    <row r="87">
      <c r="A87" s="15"/>
      <c r="B87" s="31"/>
      <c r="C87" s="31"/>
    </row>
    <row r="88">
      <c r="A88" s="15"/>
      <c r="B88" s="31"/>
      <c r="C88" s="31"/>
    </row>
    <row r="89">
      <c r="A89" s="15"/>
      <c r="B89" s="31"/>
      <c r="C89" s="31"/>
    </row>
    <row r="90">
      <c r="A90" s="15"/>
      <c r="B90" s="31"/>
      <c r="C90" s="31"/>
    </row>
    <row r="91">
      <c r="A91" s="15"/>
      <c r="B91" s="31"/>
      <c r="C91" s="31"/>
    </row>
    <row r="92">
      <c r="A92" s="15"/>
      <c r="B92" s="31"/>
      <c r="C92" s="31"/>
    </row>
    <row r="93">
      <c r="A93" s="15"/>
      <c r="B93" s="31"/>
      <c r="C93" s="31"/>
    </row>
    <row r="94">
      <c r="A94" s="15"/>
      <c r="B94" s="31"/>
      <c r="C94" s="31"/>
    </row>
    <row r="95">
      <c r="A95" s="15"/>
      <c r="B95" s="31"/>
      <c r="C95" s="31"/>
    </row>
    <row r="96">
      <c r="A96" s="15"/>
      <c r="B96" s="31"/>
      <c r="C96" s="31"/>
    </row>
    <row r="97">
      <c r="A97" s="15"/>
      <c r="B97" s="31"/>
      <c r="C97" s="31"/>
    </row>
    <row r="98">
      <c r="A98" s="15"/>
      <c r="B98" s="31"/>
      <c r="C98" s="31"/>
    </row>
    <row r="99">
      <c r="A99" s="15"/>
      <c r="B99" s="31"/>
      <c r="C99" s="31"/>
    </row>
    <row r="100">
      <c r="A100" s="15"/>
      <c r="B100" s="31"/>
      <c r="C100" s="31"/>
    </row>
    <row r="101">
      <c r="A101" s="15"/>
      <c r="B101" s="31"/>
      <c r="C101" s="31"/>
    </row>
    <row r="102">
      <c r="A102" s="15"/>
      <c r="B102" s="31"/>
      <c r="C102" s="31"/>
    </row>
    <row r="103">
      <c r="A103" s="15"/>
      <c r="B103" s="31"/>
      <c r="C103" s="31"/>
    </row>
    <row r="104">
      <c r="A104" s="15"/>
      <c r="B104" s="31"/>
      <c r="C104" s="31"/>
    </row>
    <row r="105">
      <c r="A105" s="15"/>
      <c r="B105" s="31"/>
      <c r="C105" s="31"/>
    </row>
    <row r="106">
      <c r="A106" s="15"/>
      <c r="B106" s="31"/>
      <c r="C106" s="31"/>
    </row>
    <row r="107">
      <c r="A107" s="15"/>
      <c r="B107" s="31"/>
      <c r="C107" s="31"/>
    </row>
    <row r="108">
      <c r="A108" s="15"/>
      <c r="B108" s="31"/>
      <c r="C108" s="31"/>
    </row>
    <row r="109">
      <c r="A109" s="15"/>
      <c r="B109" s="31"/>
      <c r="C109" s="32"/>
    </row>
    <row r="110">
      <c r="A110" s="15"/>
      <c r="B110" s="31"/>
      <c r="C110" s="32"/>
    </row>
    <row r="111">
      <c r="A111" s="15"/>
      <c r="B111" s="31"/>
      <c r="C111" s="32"/>
    </row>
    <row r="112">
      <c r="A112" s="15"/>
      <c r="B112" s="31"/>
      <c r="C112" s="32"/>
    </row>
    <row r="113">
      <c r="A113" s="15"/>
      <c r="B113" s="31"/>
      <c r="C113" s="32"/>
    </row>
    <row r="114">
      <c r="A114" s="15"/>
      <c r="B114" s="31"/>
      <c r="C114" s="32"/>
    </row>
    <row r="115">
      <c r="A115" s="15"/>
      <c r="B115" s="31"/>
      <c r="C115" s="32"/>
    </row>
    <row r="116">
      <c r="A116" s="15"/>
      <c r="B116" s="31"/>
      <c r="C116" s="32"/>
    </row>
    <row r="117">
      <c r="A117" s="15"/>
      <c r="B117" s="31"/>
      <c r="C117" s="32"/>
    </row>
    <row r="118">
      <c r="A118" s="15"/>
      <c r="B118" s="31"/>
      <c r="C118" s="32"/>
    </row>
    <row r="119">
      <c r="A119" s="15"/>
      <c r="B119" s="31"/>
      <c r="C119" s="32"/>
    </row>
    <row r="120">
      <c r="A120" s="15"/>
      <c r="B120" s="31"/>
      <c r="C120" s="32"/>
    </row>
    <row r="121">
      <c r="A121" s="15"/>
      <c r="B121" s="31"/>
      <c r="C121" s="32"/>
    </row>
    <row r="122">
      <c r="A122" s="15"/>
      <c r="B122" s="31"/>
      <c r="C122" s="32"/>
    </row>
    <row r="123">
      <c r="A123" s="15"/>
      <c r="B123" s="31"/>
      <c r="C123" s="32"/>
    </row>
    <row r="124">
      <c r="A124" s="15"/>
      <c r="B124" s="31"/>
      <c r="C124" s="32"/>
    </row>
    <row r="125">
      <c r="A125" s="15"/>
      <c r="B125" s="31"/>
      <c r="C125" s="32"/>
    </row>
    <row r="126">
      <c r="A126" s="15"/>
      <c r="B126" s="31"/>
      <c r="C126" s="32"/>
    </row>
    <row r="127">
      <c r="A127" s="15"/>
      <c r="B127" s="31"/>
      <c r="C127" s="32"/>
    </row>
    <row r="128">
      <c r="A128" s="15"/>
      <c r="B128" s="31"/>
      <c r="C128" s="32"/>
    </row>
    <row r="129">
      <c r="A129" s="15"/>
      <c r="B129" s="31"/>
      <c r="C129" s="32"/>
    </row>
    <row r="130">
      <c r="A130" s="15"/>
      <c r="B130" s="31"/>
      <c r="C130" s="32"/>
    </row>
    <row r="131">
      <c r="B131" s="33"/>
    </row>
    <row r="132">
      <c r="B132" s="33"/>
    </row>
    <row r="133">
      <c r="B133" s="33"/>
    </row>
    <row r="134">
      <c r="B134" s="33"/>
    </row>
    <row r="135">
      <c r="B135" s="33"/>
    </row>
    <row r="136">
      <c r="B136" s="33"/>
    </row>
    <row r="137">
      <c r="B137" s="33"/>
    </row>
    <row r="138">
      <c r="B138" s="33"/>
    </row>
    <row r="139">
      <c r="B139" s="33"/>
    </row>
    <row r="140">
      <c r="B140" s="33"/>
    </row>
    <row r="141">
      <c r="B141" s="33"/>
    </row>
    <row r="142">
      <c r="B142" s="33"/>
    </row>
    <row r="143">
      <c r="B143" s="33"/>
    </row>
    <row r="144">
      <c r="B144" s="33"/>
    </row>
    <row r="145">
      <c r="B145" s="33"/>
    </row>
    <row r="146">
      <c r="B146" s="33"/>
    </row>
    <row r="147">
      <c r="B147" s="33"/>
    </row>
    <row r="148">
      <c r="B148" s="33"/>
    </row>
    <row r="149">
      <c r="B149" s="33"/>
    </row>
    <row r="150">
      <c r="B150" s="33"/>
    </row>
    <row r="151">
      <c r="B151" s="33"/>
    </row>
    <row r="152">
      <c r="B152" s="33"/>
    </row>
    <row r="153">
      <c r="B153" s="33"/>
    </row>
    <row r="154">
      <c r="B154" s="33"/>
    </row>
    <row r="155">
      <c r="B155" s="33"/>
    </row>
    <row r="156">
      <c r="B156" s="33"/>
    </row>
    <row r="157">
      <c r="B157" s="33"/>
    </row>
    <row r="158">
      <c r="B158" s="33"/>
    </row>
    <row r="159">
      <c r="B159" s="33"/>
    </row>
    <row r="160">
      <c r="B160" s="33"/>
    </row>
    <row r="161">
      <c r="B161" s="33"/>
    </row>
    <row r="162">
      <c r="B162" s="33"/>
    </row>
    <row r="163">
      <c r="B163" s="33"/>
    </row>
    <row r="164">
      <c r="B164" s="33"/>
    </row>
    <row r="165">
      <c r="B165" s="33"/>
    </row>
    <row r="166">
      <c r="B166" s="33"/>
    </row>
    <row r="167">
      <c r="B167" s="33"/>
    </row>
    <row r="168">
      <c r="B168" s="33"/>
    </row>
    <row r="169">
      <c r="B169" s="33"/>
    </row>
    <row r="170">
      <c r="B170" s="33"/>
    </row>
    <row r="171">
      <c r="B171" s="33"/>
    </row>
    <row r="172">
      <c r="B172" s="33"/>
    </row>
    <row r="173">
      <c r="B173" s="33"/>
    </row>
    <row r="174">
      <c r="B174" s="33"/>
    </row>
    <row r="175">
      <c r="B175" s="33"/>
    </row>
    <row r="176">
      <c r="B176" s="33"/>
    </row>
    <row r="177">
      <c r="B177" s="33"/>
    </row>
    <row r="178">
      <c r="B178" s="33"/>
    </row>
    <row r="179">
      <c r="B179" s="33"/>
    </row>
    <row r="180">
      <c r="B180" s="33"/>
    </row>
    <row r="181">
      <c r="B181" s="33"/>
    </row>
    <row r="182">
      <c r="B182" s="33"/>
    </row>
    <row r="183">
      <c r="B183" s="33"/>
    </row>
    <row r="184">
      <c r="B184" s="33"/>
    </row>
    <row r="185">
      <c r="B185" s="33"/>
    </row>
    <row r="186">
      <c r="B186" s="33"/>
    </row>
    <row r="187">
      <c r="B187" s="33"/>
    </row>
    <row r="188">
      <c r="B188" s="33"/>
    </row>
    <row r="189">
      <c r="B189" s="33"/>
    </row>
    <row r="190">
      <c r="B190" s="33"/>
    </row>
    <row r="191">
      <c r="B191" s="33"/>
    </row>
    <row r="192">
      <c r="B192" s="33"/>
    </row>
    <row r="193">
      <c r="B193" s="33"/>
    </row>
    <row r="194">
      <c r="B194" s="33"/>
    </row>
    <row r="195">
      <c r="B195" s="33"/>
    </row>
    <row r="196">
      <c r="B196" s="33"/>
    </row>
    <row r="197">
      <c r="B197" s="33"/>
    </row>
    <row r="198">
      <c r="B198" s="33"/>
    </row>
    <row r="199">
      <c r="B199" s="33"/>
    </row>
    <row r="200">
      <c r="B200" s="33"/>
    </row>
    <row r="201">
      <c r="B201" s="33"/>
    </row>
    <row r="202">
      <c r="B202" s="33"/>
    </row>
    <row r="203">
      <c r="B203" s="33"/>
    </row>
    <row r="204">
      <c r="B204" s="33"/>
    </row>
    <row r="205">
      <c r="B205" s="33"/>
    </row>
    <row r="206">
      <c r="B206" s="33"/>
    </row>
    <row r="207">
      <c r="B207" s="33"/>
    </row>
    <row r="208">
      <c r="B208" s="33"/>
    </row>
    <row r="209">
      <c r="B209" s="33"/>
    </row>
    <row r="210">
      <c r="B210" s="33"/>
    </row>
    <row r="211">
      <c r="B211" s="33"/>
    </row>
    <row r="212">
      <c r="B212" s="33"/>
    </row>
    <row r="213">
      <c r="B213" s="33"/>
    </row>
    <row r="214">
      <c r="B214" s="33"/>
    </row>
    <row r="215">
      <c r="B215" s="33"/>
    </row>
    <row r="216">
      <c r="B216" s="33"/>
    </row>
    <row r="217">
      <c r="B217" s="33"/>
    </row>
    <row r="218">
      <c r="B218" s="33"/>
    </row>
    <row r="219">
      <c r="B219" s="33"/>
    </row>
    <row r="220">
      <c r="B220" s="33"/>
    </row>
    <row r="221">
      <c r="B221" s="33"/>
    </row>
    <row r="222">
      <c r="B222" s="33"/>
    </row>
    <row r="223">
      <c r="B223" s="33"/>
    </row>
    <row r="224">
      <c r="B224" s="33"/>
    </row>
    <row r="225">
      <c r="B225" s="33"/>
    </row>
    <row r="226">
      <c r="B226" s="33"/>
    </row>
    <row r="227">
      <c r="B227" s="33"/>
    </row>
    <row r="228">
      <c r="B228" s="33"/>
    </row>
    <row r="229">
      <c r="B229" s="33"/>
    </row>
    <row r="230">
      <c r="B230" s="33"/>
    </row>
    <row r="231">
      <c r="B231" s="33"/>
    </row>
    <row r="232">
      <c r="B232" s="33"/>
    </row>
    <row r="233">
      <c r="B233" s="33"/>
    </row>
    <row r="234">
      <c r="B234" s="33"/>
    </row>
    <row r="235">
      <c r="B235" s="33"/>
    </row>
    <row r="236">
      <c r="B236" s="33"/>
    </row>
    <row r="237">
      <c r="B237" s="33"/>
    </row>
    <row r="238">
      <c r="B238" s="33"/>
    </row>
    <row r="239">
      <c r="B239" s="33"/>
    </row>
    <row r="240">
      <c r="B240" s="33"/>
    </row>
    <row r="241">
      <c r="B241" s="33"/>
    </row>
    <row r="242">
      <c r="B242" s="33"/>
    </row>
    <row r="243">
      <c r="B243" s="33"/>
    </row>
    <row r="244">
      <c r="B244" s="33"/>
    </row>
    <row r="245">
      <c r="B245" s="33"/>
    </row>
    <row r="246">
      <c r="B246" s="33"/>
    </row>
    <row r="247">
      <c r="B247" s="33"/>
    </row>
    <row r="248">
      <c r="B248" s="33"/>
    </row>
    <row r="249">
      <c r="B249" s="33"/>
    </row>
    <row r="250">
      <c r="B250" s="33"/>
    </row>
    <row r="251">
      <c r="B251" s="33"/>
    </row>
    <row r="252">
      <c r="B252" s="33"/>
    </row>
    <row r="253">
      <c r="B253" s="33"/>
    </row>
    <row r="254">
      <c r="B254" s="33"/>
    </row>
    <row r="255">
      <c r="B255" s="33"/>
    </row>
    <row r="256">
      <c r="B256" s="33"/>
    </row>
    <row r="257">
      <c r="B257" s="33"/>
    </row>
    <row r="258">
      <c r="B258" s="33"/>
    </row>
    <row r="259">
      <c r="B259" s="33"/>
    </row>
    <row r="260">
      <c r="B260" s="33"/>
    </row>
    <row r="261">
      <c r="B261" s="33"/>
    </row>
    <row r="262">
      <c r="B262" s="33"/>
    </row>
    <row r="263">
      <c r="B263" s="33"/>
    </row>
    <row r="264">
      <c r="B264" s="33"/>
    </row>
    <row r="265">
      <c r="B265" s="33"/>
    </row>
    <row r="266">
      <c r="B266" s="33"/>
    </row>
    <row r="267">
      <c r="B267" s="33"/>
    </row>
    <row r="268">
      <c r="B268" s="33"/>
    </row>
    <row r="269">
      <c r="B269" s="33"/>
    </row>
    <row r="270">
      <c r="B270" s="33"/>
    </row>
    <row r="271">
      <c r="B271" s="33"/>
    </row>
    <row r="272">
      <c r="B272" s="33"/>
    </row>
    <row r="273">
      <c r="B273" s="33"/>
    </row>
    <row r="274">
      <c r="B274" s="33"/>
    </row>
    <row r="275">
      <c r="B275" s="33"/>
    </row>
    <row r="276">
      <c r="B276" s="33"/>
    </row>
    <row r="277">
      <c r="B277" s="33"/>
    </row>
    <row r="278">
      <c r="B278" s="33"/>
    </row>
    <row r="279">
      <c r="B279" s="33"/>
    </row>
    <row r="280">
      <c r="B280" s="33"/>
    </row>
    <row r="281">
      <c r="B281" s="33"/>
    </row>
    <row r="282">
      <c r="B282" s="33"/>
    </row>
    <row r="283">
      <c r="B283" s="33"/>
    </row>
    <row r="284">
      <c r="B284" s="33"/>
    </row>
    <row r="285">
      <c r="B285" s="33"/>
    </row>
    <row r="286">
      <c r="B286" s="33"/>
    </row>
    <row r="287">
      <c r="B287" s="33"/>
    </row>
    <row r="288">
      <c r="B288" s="33"/>
    </row>
    <row r="289">
      <c r="B289" s="33"/>
    </row>
    <row r="290">
      <c r="B290" s="33"/>
    </row>
    <row r="291">
      <c r="B291" s="33"/>
    </row>
    <row r="292">
      <c r="B292" s="33"/>
    </row>
    <row r="293">
      <c r="B293" s="33"/>
    </row>
    <row r="294">
      <c r="B294" s="33"/>
    </row>
    <row r="295">
      <c r="B295" s="33"/>
    </row>
    <row r="296">
      <c r="B296" s="33"/>
    </row>
    <row r="297">
      <c r="B297" s="33"/>
    </row>
    <row r="298">
      <c r="B298" s="33"/>
    </row>
    <row r="299">
      <c r="B299" s="33"/>
    </row>
    <row r="300">
      <c r="B300" s="33"/>
    </row>
    <row r="301">
      <c r="B301" s="33"/>
    </row>
    <row r="302">
      <c r="B302" s="33"/>
    </row>
    <row r="303">
      <c r="B303" s="33"/>
    </row>
    <row r="304">
      <c r="B304" s="33"/>
    </row>
    <row r="305">
      <c r="B305" s="33"/>
    </row>
    <row r="306">
      <c r="B306" s="33"/>
    </row>
    <row r="307">
      <c r="B307" s="33"/>
    </row>
    <row r="308">
      <c r="B308" s="33"/>
    </row>
    <row r="309">
      <c r="B309" s="33"/>
    </row>
    <row r="310">
      <c r="B310" s="33"/>
    </row>
    <row r="311">
      <c r="B311" s="33"/>
    </row>
    <row r="312">
      <c r="B312" s="33"/>
    </row>
    <row r="313">
      <c r="B313" s="33"/>
    </row>
    <row r="314">
      <c r="B314" s="33"/>
    </row>
    <row r="315">
      <c r="B315" s="33"/>
    </row>
    <row r="316">
      <c r="B316" s="33"/>
    </row>
    <row r="317">
      <c r="B317" s="33"/>
    </row>
    <row r="318">
      <c r="B318" s="33"/>
    </row>
    <row r="319">
      <c r="B319" s="33"/>
    </row>
    <row r="320">
      <c r="B320" s="33"/>
    </row>
    <row r="321">
      <c r="B321" s="33"/>
    </row>
    <row r="322">
      <c r="B322" s="33"/>
    </row>
    <row r="323">
      <c r="B323" s="33"/>
    </row>
    <row r="324">
      <c r="B324" s="33"/>
    </row>
    <row r="325">
      <c r="B325" s="33"/>
    </row>
    <row r="326">
      <c r="B326" s="33"/>
    </row>
    <row r="327">
      <c r="B327" s="33"/>
    </row>
    <row r="328">
      <c r="B328" s="33"/>
    </row>
    <row r="329">
      <c r="B329" s="33"/>
    </row>
    <row r="330">
      <c r="B330" s="33"/>
    </row>
    <row r="331">
      <c r="B331" s="33"/>
    </row>
    <row r="332">
      <c r="B332" s="33"/>
    </row>
    <row r="333">
      <c r="B333" s="33"/>
    </row>
    <row r="334">
      <c r="B334" s="33"/>
    </row>
    <row r="335">
      <c r="B335" s="33"/>
    </row>
    <row r="336">
      <c r="B336" s="33"/>
    </row>
    <row r="337">
      <c r="B337" s="33"/>
    </row>
    <row r="338">
      <c r="B338" s="33"/>
    </row>
    <row r="339">
      <c r="B339" s="33"/>
    </row>
    <row r="340">
      <c r="B340" s="33"/>
    </row>
    <row r="341">
      <c r="B341" s="33"/>
    </row>
    <row r="342">
      <c r="B342" s="33"/>
    </row>
    <row r="343">
      <c r="B343" s="33"/>
    </row>
    <row r="344">
      <c r="B344" s="33"/>
    </row>
    <row r="345">
      <c r="B345" s="33"/>
    </row>
    <row r="346">
      <c r="B346" s="33"/>
    </row>
    <row r="347">
      <c r="B347" s="33"/>
    </row>
    <row r="348">
      <c r="B348" s="33"/>
    </row>
    <row r="349">
      <c r="B349" s="33"/>
    </row>
    <row r="350">
      <c r="B350" s="33"/>
    </row>
    <row r="351">
      <c r="B351" s="33"/>
    </row>
    <row r="352">
      <c r="B352" s="33"/>
    </row>
    <row r="353">
      <c r="B353" s="33"/>
    </row>
    <row r="354">
      <c r="B354" s="33"/>
    </row>
    <row r="355">
      <c r="B355" s="33"/>
    </row>
    <row r="356">
      <c r="B356" s="33"/>
    </row>
    <row r="357">
      <c r="B357" s="33"/>
    </row>
    <row r="358">
      <c r="B358" s="33"/>
    </row>
    <row r="359">
      <c r="B359" s="33"/>
    </row>
    <row r="360">
      <c r="B360" s="33"/>
    </row>
    <row r="361">
      <c r="B361" s="33"/>
    </row>
    <row r="362">
      <c r="B362" s="33"/>
    </row>
    <row r="363">
      <c r="B363" s="33"/>
    </row>
    <row r="364">
      <c r="B364" s="33"/>
    </row>
    <row r="365">
      <c r="B365" s="33"/>
    </row>
    <row r="366">
      <c r="B366" s="33"/>
    </row>
    <row r="367">
      <c r="B367" s="33"/>
    </row>
    <row r="368">
      <c r="B368" s="33"/>
    </row>
    <row r="369">
      <c r="B369" s="33"/>
    </row>
    <row r="370">
      <c r="B370" s="33"/>
    </row>
    <row r="371">
      <c r="B371" s="33"/>
    </row>
    <row r="372">
      <c r="B372" s="33"/>
    </row>
    <row r="373">
      <c r="B373" s="33"/>
    </row>
    <row r="374">
      <c r="B374" s="33"/>
    </row>
    <row r="375">
      <c r="B375" s="33"/>
    </row>
    <row r="376">
      <c r="B376" s="33"/>
    </row>
    <row r="377">
      <c r="B377" s="33"/>
    </row>
    <row r="378">
      <c r="B378" s="33"/>
    </row>
    <row r="379">
      <c r="B379" s="33"/>
    </row>
    <row r="380">
      <c r="B380" s="33"/>
    </row>
    <row r="381">
      <c r="B381" s="33"/>
    </row>
    <row r="382">
      <c r="B382" s="33"/>
    </row>
    <row r="383">
      <c r="B383" s="33"/>
    </row>
    <row r="384">
      <c r="B384" s="33"/>
    </row>
    <row r="385">
      <c r="B385" s="33"/>
    </row>
    <row r="386">
      <c r="B386" s="33"/>
    </row>
    <row r="387">
      <c r="B387" s="33"/>
    </row>
    <row r="388">
      <c r="B388" s="33"/>
    </row>
    <row r="389">
      <c r="B389" s="33"/>
    </row>
    <row r="390">
      <c r="B390" s="33"/>
    </row>
    <row r="391">
      <c r="B391" s="33"/>
    </row>
    <row r="392">
      <c r="B392" s="33"/>
    </row>
    <row r="393">
      <c r="B393" s="33"/>
    </row>
    <row r="394">
      <c r="B394" s="33"/>
    </row>
    <row r="395">
      <c r="B395" s="33"/>
    </row>
    <row r="396">
      <c r="B396" s="33"/>
    </row>
    <row r="397">
      <c r="B397" s="33"/>
    </row>
    <row r="398">
      <c r="B398" s="33"/>
    </row>
    <row r="399">
      <c r="B399" s="33"/>
    </row>
    <row r="400">
      <c r="B400" s="33"/>
    </row>
    <row r="401">
      <c r="B401" s="33"/>
    </row>
    <row r="402">
      <c r="B402" s="33"/>
    </row>
    <row r="403">
      <c r="B403" s="33"/>
    </row>
    <row r="404">
      <c r="B404" s="33"/>
    </row>
    <row r="405">
      <c r="B405" s="33"/>
    </row>
    <row r="406">
      <c r="B406" s="33"/>
    </row>
    <row r="407">
      <c r="B407" s="33"/>
    </row>
    <row r="408">
      <c r="B408" s="33"/>
    </row>
    <row r="409">
      <c r="B409" s="33"/>
    </row>
    <row r="410">
      <c r="B410" s="33"/>
    </row>
    <row r="411">
      <c r="B411" s="33"/>
    </row>
    <row r="412">
      <c r="B412" s="33"/>
    </row>
    <row r="413">
      <c r="B413" s="33"/>
    </row>
    <row r="414">
      <c r="B414" s="33"/>
    </row>
    <row r="415">
      <c r="B415" s="33"/>
    </row>
    <row r="416">
      <c r="B416" s="33"/>
    </row>
    <row r="417">
      <c r="B417" s="33"/>
    </row>
    <row r="418">
      <c r="B418" s="33"/>
    </row>
    <row r="419">
      <c r="B419" s="33"/>
    </row>
    <row r="420">
      <c r="B420" s="33"/>
    </row>
    <row r="421">
      <c r="B421" s="33"/>
    </row>
    <row r="422">
      <c r="B422" s="33"/>
    </row>
    <row r="423">
      <c r="B423" s="33"/>
    </row>
    <row r="424">
      <c r="B424" s="33"/>
    </row>
    <row r="425">
      <c r="B425" s="33"/>
    </row>
    <row r="426">
      <c r="B426" s="33"/>
    </row>
    <row r="427">
      <c r="B427" s="33"/>
    </row>
    <row r="428">
      <c r="B428" s="33"/>
    </row>
    <row r="429">
      <c r="B429" s="33"/>
    </row>
    <row r="430">
      <c r="B430" s="33"/>
    </row>
    <row r="431">
      <c r="B431" s="33"/>
    </row>
    <row r="432">
      <c r="B432" s="33"/>
    </row>
    <row r="433">
      <c r="B433" s="33"/>
    </row>
    <row r="434">
      <c r="B434" s="33"/>
    </row>
    <row r="435">
      <c r="B435" s="33"/>
    </row>
    <row r="436">
      <c r="B436" s="33"/>
    </row>
    <row r="437">
      <c r="B437" s="33"/>
    </row>
    <row r="438">
      <c r="B438" s="33"/>
    </row>
    <row r="439">
      <c r="B439" s="33"/>
    </row>
    <row r="440">
      <c r="B440" s="33"/>
    </row>
    <row r="441">
      <c r="B441" s="33"/>
    </row>
    <row r="442">
      <c r="B442" s="33"/>
    </row>
    <row r="443">
      <c r="B443" s="33"/>
    </row>
    <row r="444">
      <c r="B444" s="33"/>
    </row>
    <row r="445">
      <c r="B445" s="33"/>
    </row>
    <row r="446">
      <c r="B446" s="33"/>
    </row>
    <row r="447">
      <c r="B447" s="33"/>
    </row>
    <row r="448">
      <c r="B448" s="33"/>
    </row>
    <row r="449">
      <c r="B449" s="33"/>
    </row>
    <row r="450">
      <c r="B450" s="33"/>
    </row>
    <row r="451">
      <c r="B451" s="33"/>
    </row>
    <row r="452">
      <c r="B452" s="33"/>
    </row>
    <row r="453">
      <c r="B453" s="33"/>
    </row>
    <row r="454">
      <c r="B454" s="33"/>
    </row>
    <row r="455">
      <c r="B455" s="33"/>
    </row>
    <row r="456">
      <c r="B456" s="33"/>
    </row>
    <row r="457">
      <c r="B457" s="33"/>
    </row>
    <row r="458">
      <c r="B458" s="33"/>
    </row>
    <row r="459">
      <c r="B459" s="33"/>
    </row>
    <row r="460">
      <c r="B460" s="33"/>
    </row>
    <row r="461">
      <c r="B461" s="33"/>
    </row>
    <row r="462">
      <c r="B462" s="33"/>
    </row>
    <row r="463">
      <c r="B463" s="33"/>
    </row>
    <row r="464">
      <c r="B464" s="33"/>
    </row>
    <row r="465">
      <c r="B465" s="33"/>
    </row>
    <row r="466">
      <c r="B466" s="33"/>
    </row>
    <row r="467">
      <c r="B467" s="33"/>
    </row>
    <row r="468">
      <c r="B468" s="33"/>
    </row>
    <row r="469">
      <c r="B469" s="33"/>
    </row>
    <row r="470">
      <c r="B470" s="33"/>
    </row>
    <row r="471">
      <c r="B471" s="33"/>
    </row>
    <row r="472">
      <c r="B472" s="33"/>
    </row>
    <row r="473">
      <c r="B473" s="33"/>
    </row>
    <row r="474">
      <c r="B474" s="33"/>
    </row>
    <row r="475">
      <c r="B475" s="33"/>
    </row>
    <row r="476">
      <c r="B476" s="33"/>
    </row>
    <row r="477">
      <c r="B477" s="33"/>
    </row>
    <row r="478">
      <c r="B478" s="33"/>
    </row>
    <row r="479">
      <c r="B479" s="33"/>
    </row>
    <row r="480">
      <c r="B480" s="33"/>
    </row>
    <row r="481">
      <c r="B481" s="33"/>
    </row>
    <row r="482">
      <c r="B482" s="33"/>
    </row>
    <row r="483">
      <c r="B483" s="33"/>
    </row>
    <row r="484">
      <c r="B484" s="33"/>
    </row>
    <row r="485">
      <c r="B485" s="33"/>
    </row>
    <row r="486">
      <c r="B486" s="33"/>
    </row>
    <row r="487">
      <c r="B487" s="33"/>
    </row>
    <row r="488">
      <c r="B488" s="33"/>
    </row>
    <row r="489">
      <c r="B489" s="33"/>
    </row>
    <row r="490">
      <c r="B490" s="33"/>
    </row>
    <row r="491">
      <c r="B491" s="33"/>
    </row>
    <row r="492">
      <c r="B492" s="33"/>
    </row>
    <row r="493">
      <c r="B493" s="33"/>
    </row>
    <row r="494">
      <c r="B494" s="33"/>
    </row>
    <row r="495">
      <c r="B495" s="33"/>
    </row>
    <row r="496">
      <c r="B496" s="33"/>
    </row>
    <row r="497">
      <c r="B497" s="33"/>
    </row>
    <row r="498">
      <c r="B498" s="33"/>
    </row>
    <row r="499">
      <c r="B499" s="33"/>
    </row>
    <row r="500">
      <c r="B500" s="33"/>
    </row>
    <row r="501">
      <c r="B501" s="33"/>
    </row>
    <row r="502">
      <c r="B502" s="33"/>
    </row>
    <row r="503">
      <c r="B503" s="33"/>
    </row>
    <row r="504">
      <c r="B504" s="33"/>
    </row>
    <row r="505">
      <c r="B505" s="33"/>
    </row>
    <row r="506">
      <c r="B506" s="33"/>
    </row>
    <row r="507">
      <c r="B507" s="33"/>
    </row>
    <row r="508">
      <c r="B508" s="33"/>
    </row>
    <row r="509">
      <c r="B509" s="33"/>
    </row>
    <row r="510">
      <c r="B510" s="33"/>
    </row>
    <row r="511">
      <c r="B511" s="33"/>
    </row>
    <row r="512">
      <c r="B512" s="33"/>
    </row>
    <row r="513">
      <c r="B513" s="33"/>
    </row>
    <row r="514">
      <c r="B514" s="33"/>
    </row>
    <row r="515">
      <c r="B515" s="33"/>
    </row>
    <row r="516">
      <c r="B516" s="33"/>
    </row>
    <row r="517">
      <c r="B517" s="33"/>
    </row>
    <row r="518">
      <c r="B518" s="33"/>
    </row>
    <row r="519">
      <c r="B519" s="33"/>
    </row>
    <row r="520">
      <c r="B520" s="33"/>
    </row>
    <row r="521">
      <c r="B521" s="33"/>
    </row>
    <row r="522">
      <c r="B522" s="33"/>
    </row>
    <row r="523">
      <c r="B523" s="33"/>
    </row>
    <row r="524">
      <c r="B524" s="33"/>
    </row>
    <row r="525">
      <c r="B525" s="33"/>
    </row>
    <row r="526">
      <c r="B526" s="33"/>
    </row>
    <row r="527">
      <c r="B527" s="33"/>
    </row>
    <row r="528">
      <c r="B528" s="33"/>
    </row>
    <row r="529">
      <c r="B529" s="33"/>
    </row>
    <row r="530">
      <c r="B530" s="33"/>
    </row>
    <row r="531">
      <c r="B531" s="33"/>
    </row>
    <row r="532">
      <c r="B532" s="33"/>
    </row>
    <row r="533">
      <c r="B533" s="33"/>
    </row>
    <row r="534">
      <c r="B534" s="33"/>
    </row>
    <row r="535">
      <c r="B535" s="33"/>
    </row>
    <row r="536">
      <c r="B536" s="33"/>
    </row>
    <row r="537">
      <c r="B537" s="33"/>
    </row>
    <row r="538">
      <c r="B538" s="33"/>
    </row>
    <row r="539">
      <c r="B539" s="33"/>
    </row>
    <row r="540">
      <c r="B540" s="33"/>
    </row>
    <row r="541">
      <c r="B541" s="33"/>
    </row>
    <row r="542">
      <c r="B542" s="33"/>
    </row>
    <row r="543">
      <c r="B543" s="33"/>
    </row>
    <row r="544">
      <c r="B544" s="33"/>
    </row>
    <row r="545">
      <c r="B545" s="33"/>
    </row>
    <row r="546">
      <c r="B546" s="33"/>
    </row>
    <row r="547">
      <c r="B547" s="33"/>
    </row>
    <row r="548">
      <c r="B548" s="33"/>
    </row>
    <row r="549">
      <c r="B549" s="33"/>
    </row>
    <row r="550">
      <c r="B550" s="33"/>
    </row>
    <row r="551">
      <c r="B551" s="33"/>
    </row>
    <row r="552">
      <c r="B552" s="33"/>
    </row>
    <row r="553">
      <c r="B553" s="33"/>
    </row>
    <row r="554">
      <c r="B554" s="33"/>
    </row>
    <row r="555">
      <c r="B555" s="33"/>
    </row>
    <row r="556">
      <c r="B556" s="33"/>
    </row>
    <row r="557">
      <c r="B557" s="33"/>
    </row>
    <row r="558">
      <c r="B558" s="33"/>
    </row>
    <row r="559">
      <c r="B559" s="33"/>
    </row>
    <row r="560">
      <c r="B560" s="33"/>
    </row>
    <row r="561">
      <c r="B561" s="33"/>
    </row>
    <row r="562">
      <c r="B562" s="33"/>
    </row>
    <row r="563">
      <c r="B563" s="33"/>
    </row>
    <row r="564">
      <c r="B564" s="33"/>
    </row>
    <row r="565">
      <c r="B565" s="33"/>
    </row>
    <row r="566">
      <c r="B566" s="33"/>
    </row>
    <row r="567">
      <c r="B567" s="33"/>
    </row>
    <row r="568">
      <c r="B568" s="33"/>
    </row>
    <row r="569">
      <c r="B569" s="33"/>
    </row>
    <row r="570">
      <c r="B570" s="33"/>
    </row>
    <row r="571">
      <c r="B571" s="33"/>
    </row>
    <row r="572">
      <c r="B572" s="33"/>
    </row>
    <row r="573">
      <c r="B573" s="33"/>
    </row>
    <row r="574">
      <c r="B574" s="33"/>
    </row>
    <row r="575">
      <c r="B575" s="33"/>
    </row>
    <row r="576">
      <c r="B576" s="33"/>
    </row>
    <row r="577">
      <c r="B577" s="33"/>
    </row>
    <row r="578">
      <c r="B578" s="33"/>
    </row>
    <row r="579">
      <c r="B579" s="33"/>
    </row>
    <row r="580">
      <c r="B580" s="33"/>
    </row>
    <row r="581">
      <c r="B581" s="33"/>
    </row>
    <row r="582">
      <c r="B582" s="33"/>
    </row>
    <row r="583">
      <c r="B583" s="33"/>
    </row>
    <row r="584">
      <c r="B584" s="33"/>
    </row>
    <row r="585">
      <c r="B585" s="33"/>
    </row>
    <row r="586">
      <c r="B586" s="33"/>
    </row>
    <row r="587">
      <c r="B587" s="33"/>
    </row>
    <row r="588">
      <c r="B588" s="33"/>
    </row>
    <row r="589">
      <c r="B589" s="33"/>
    </row>
    <row r="590">
      <c r="B590" s="33"/>
    </row>
    <row r="591">
      <c r="B591" s="33"/>
    </row>
    <row r="592">
      <c r="B592" s="33"/>
    </row>
    <row r="593">
      <c r="B593" s="33"/>
    </row>
    <row r="594">
      <c r="B594" s="33"/>
    </row>
    <row r="595">
      <c r="B595" s="33"/>
    </row>
    <row r="596">
      <c r="B596" s="33"/>
    </row>
    <row r="597">
      <c r="B597" s="33"/>
    </row>
    <row r="598">
      <c r="B598" s="33"/>
    </row>
    <row r="599">
      <c r="B599" s="33"/>
    </row>
    <row r="600">
      <c r="B600" s="33"/>
    </row>
    <row r="601">
      <c r="B601" s="33"/>
    </row>
    <row r="602">
      <c r="B602" s="33"/>
    </row>
    <row r="603">
      <c r="B603" s="33"/>
    </row>
    <row r="604">
      <c r="B604" s="33"/>
    </row>
    <row r="605">
      <c r="B605" s="33"/>
    </row>
    <row r="606">
      <c r="B606" s="33"/>
    </row>
    <row r="607">
      <c r="B607" s="33"/>
    </row>
    <row r="608">
      <c r="B608" s="33"/>
    </row>
    <row r="609">
      <c r="B609" s="33"/>
    </row>
    <row r="610">
      <c r="B610" s="33"/>
    </row>
    <row r="611">
      <c r="B611" s="33"/>
    </row>
    <row r="612">
      <c r="B612" s="33"/>
    </row>
    <row r="613">
      <c r="B613" s="33"/>
    </row>
    <row r="614">
      <c r="B614" s="33"/>
    </row>
    <row r="615">
      <c r="B615" s="33"/>
    </row>
    <row r="616">
      <c r="B616" s="33"/>
    </row>
    <row r="617">
      <c r="B617" s="33"/>
    </row>
    <row r="618">
      <c r="B618" s="33"/>
    </row>
    <row r="619">
      <c r="B619" s="33"/>
    </row>
    <row r="620">
      <c r="B620" s="33"/>
    </row>
    <row r="621">
      <c r="B621" s="33"/>
    </row>
    <row r="622">
      <c r="B622" s="33"/>
    </row>
    <row r="623">
      <c r="B623" s="33"/>
    </row>
    <row r="624">
      <c r="B624" s="33"/>
    </row>
    <row r="625">
      <c r="B625" s="33"/>
    </row>
    <row r="626">
      <c r="B626" s="33"/>
    </row>
    <row r="627">
      <c r="B627" s="33"/>
    </row>
    <row r="628">
      <c r="B628" s="33"/>
    </row>
    <row r="629">
      <c r="B629" s="33"/>
    </row>
    <row r="630">
      <c r="B630" s="33"/>
    </row>
    <row r="631">
      <c r="B631" s="33"/>
    </row>
    <row r="632">
      <c r="B632" s="33"/>
    </row>
    <row r="633">
      <c r="B633" s="33"/>
    </row>
    <row r="634">
      <c r="B634" s="33"/>
    </row>
    <row r="635">
      <c r="B635" s="33"/>
    </row>
    <row r="636">
      <c r="B636" s="33"/>
    </row>
    <row r="637">
      <c r="B637" s="33"/>
    </row>
    <row r="638">
      <c r="B638" s="33"/>
    </row>
    <row r="639">
      <c r="B639" s="33"/>
    </row>
    <row r="640">
      <c r="B640" s="33"/>
    </row>
    <row r="641">
      <c r="B641" s="33"/>
    </row>
    <row r="642">
      <c r="B642" s="33"/>
    </row>
    <row r="643">
      <c r="B643" s="33"/>
    </row>
    <row r="644">
      <c r="B644" s="33"/>
    </row>
    <row r="645">
      <c r="B645" s="33"/>
    </row>
    <row r="646">
      <c r="B646" s="33"/>
    </row>
    <row r="647">
      <c r="B647" s="33"/>
    </row>
    <row r="648">
      <c r="B648" s="33"/>
    </row>
    <row r="649">
      <c r="B649" s="33"/>
    </row>
    <row r="650">
      <c r="B650" s="33"/>
    </row>
    <row r="651">
      <c r="B651" s="33"/>
    </row>
    <row r="652">
      <c r="B652" s="33"/>
    </row>
    <row r="653">
      <c r="B653" s="33"/>
    </row>
    <row r="654">
      <c r="B654" s="33"/>
    </row>
    <row r="655">
      <c r="B655" s="33"/>
    </row>
    <row r="656">
      <c r="B656" s="33"/>
    </row>
    <row r="657">
      <c r="B657" s="33"/>
    </row>
    <row r="658">
      <c r="B658" s="33"/>
    </row>
    <row r="659">
      <c r="B659" s="33"/>
    </row>
    <row r="660">
      <c r="B660" s="33"/>
    </row>
    <row r="661">
      <c r="B661" s="33"/>
    </row>
    <row r="662">
      <c r="B662" s="33"/>
    </row>
    <row r="663">
      <c r="B663" s="33"/>
    </row>
    <row r="664">
      <c r="B664" s="33"/>
    </row>
    <row r="665">
      <c r="B665" s="33"/>
    </row>
    <row r="666">
      <c r="B666" s="33"/>
    </row>
    <row r="667">
      <c r="B667" s="33"/>
    </row>
    <row r="668">
      <c r="B668" s="33"/>
    </row>
    <row r="669">
      <c r="B669" s="33"/>
    </row>
    <row r="670">
      <c r="B670" s="33"/>
    </row>
    <row r="671">
      <c r="B671" s="33"/>
    </row>
    <row r="672">
      <c r="B672" s="33"/>
    </row>
    <row r="673">
      <c r="B673" s="33"/>
    </row>
    <row r="674">
      <c r="B674" s="33"/>
    </row>
    <row r="675">
      <c r="B675" s="33"/>
    </row>
    <row r="676">
      <c r="B676" s="33"/>
    </row>
    <row r="677">
      <c r="B677" s="33"/>
    </row>
    <row r="678">
      <c r="B678" s="33"/>
    </row>
    <row r="679">
      <c r="B679" s="33"/>
    </row>
    <row r="680">
      <c r="B680" s="33"/>
    </row>
    <row r="681">
      <c r="B681" s="33"/>
    </row>
    <row r="682">
      <c r="B682" s="33"/>
    </row>
    <row r="683">
      <c r="B683" s="33"/>
    </row>
    <row r="684">
      <c r="B684" s="33"/>
    </row>
    <row r="685">
      <c r="B685" s="33"/>
    </row>
    <row r="686">
      <c r="B686" s="33"/>
    </row>
    <row r="687">
      <c r="B687" s="33"/>
    </row>
    <row r="688">
      <c r="B688" s="33"/>
    </row>
    <row r="689">
      <c r="B689" s="33"/>
    </row>
    <row r="690">
      <c r="B690" s="33"/>
    </row>
    <row r="691">
      <c r="B691" s="33"/>
    </row>
    <row r="692">
      <c r="B692" s="33"/>
    </row>
    <row r="693">
      <c r="B693" s="33"/>
    </row>
    <row r="694">
      <c r="B694" s="33"/>
    </row>
    <row r="695">
      <c r="B695" s="33"/>
    </row>
    <row r="696">
      <c r="B696" s="33"/>
    </row>
    <row r="697">
      <c r="B697" s="33"/>
    </row>
    <row r="698">
      <c r="B698" s="33"/>
    </row>
    <row r="699">
      <c r="B699" s="33"/>
    </row>
    <row r="700">
      <c r="B700" s="33"/>
    </row>
    <row r="701">
      <c r="B701" s="33"/>
    </row>
    <row r="702">
      <c r="B702" s="33"/>
    </row>
    <row r="703">
      <c r="B703" s="33"/>
    </row>
    <row r="704">
      <c r="B704" s="33"/>
    </row>
    <row r="705">
      <c r="B705" s="33"/>
    </row>
    <row r="706">
      <c r="B706" s="33"/>
    </row>
    <row r="707">
      <c r="B707" s="33"/>
    </row>
    <row r="708">
      <c r="B708" s="33"/>
    </row>
    <row r="709">
      <c r="B709" s="33"/>
    </row>
    <row r="710">
      <c r="B710" s="33"/>
    </row>
    <row r="711">
      <c r="B711" s="33"/>
    </row>
    <row r="712">
      <c r="B712" s="33"/>
    </row>
    <row r="713">
      <c r="B713" s="33"/>
    </row>
    <row r="714">
      <c r="B714" s="33"/>
    </row>
    <row r="715">
      <c r="B715" s="33"/>
    </row>
    <row r="716">
      <c r="B716" s="33"/>
    </row>
    <row r="717">
      <c r="B717" s="33"/>
    </row>
    <row r="718">
      <c r="B718" s="33"/>
    </row>
    <row r="719">
      <c r="B719" s="33"/>
    </row>
    <row r="720">
      <c r="B720" s="33"/>
    </row>
    <row r="721">
      <c r="B721" s="33"/>
    </row>
    <row r="722">
      <c r="B722" s="33"/>
    </row>
    <row r="723">
      <c r="B723" s="33"/>
    </row>
    <row r="724">
      <c r="B724" s="33"/>
    </row>
    <row r="725">
      <c r="B725" s="33"/>
    </row>
    <row r="726">
      <c r="B726" s="33"/>
    </row>
    <row r="727">
      <c r="B727" s="33"/>
    </row>
    <row r="728">
      <c r="B728" s="33"/>
    </row>
    <row r="729">
      <c r="B729" s="33"/>
    </row>
    <row r="730">
      <c r="B730" s="33"/>
    </row>
    <row r="731">
      <c r="B731" s="33"/>
    </row>
    <row r="732">
      <c r="B732" s="33"/>
    </row>
    <row r="733">
      <c r="B733" s="33"/>
    </row>
    <row r="734">
      <c r="B734" s="33"/>
    </row>
    <row r="735">
      <c r="B735" s="33"/>
    </row>
    <row r="736">
      <c r="B736" s="33"/>
    </row>
    <row r="737">
      <c r="B737" s="33"/>
    </row>
    <row r="738">
      <c r="B738" s="33"/>
    </row>
    <row r="739">
      <c r="B739" s="33"/>
    </row>
    <row r="740">
      <c r="B740" s="33"/>
    </row>
    <row r="741">
      <c r="B741" s="33"/>
    </row>
    <row r="742">
      <c r="B742" s="33"/>
    </row>
    <row r="743">
      <c r="B743" s="33"/>
    </row>
    <row r="744">
      <c r="B744" s="33"/>
    </row>
    <row r="745">
      <c r="B745" s="33"/>
    </row>
    <row r="746">
      <c r="B746" s="33"/>
    </row>
    <row r="747">
      <c r="B747" s="33"/>
    </row>
    <row r="748">
      <c r="B748" s="33"/>
    </row>
    <row r="749">
      <c r="B749" s="33"/>
    </row>
    <row r="750">
      <c r="B750" s="33"/>
    </row>
    <row r="751">
      <c r="B751" s="33"/>
    </row>
    <row r="752">
      <c r="B752" s="33"/>
    </row>
    <row r="753">
      <c r="B753" s="33"/>
    </row>
    <row r="754">
      <c r="B754" s="33"/>
    </row>
    <row r="755">
      <c r="B755" s="33"/>
    </row>
    <row r="756">
      <c r="B756" s="33"/>
    </row>
    <row r="757">
      <c r="B757" s="33"/>
    </row>
    <row r="758">
      <c r="B758" s="33"/>
    </row>
    <row r="759">
      <c r="B759" s="33"/>
    </row>
    <row r="760">
      <c r="B760" s="33"/>
    </row>
    <row r="761">
      <c r="B761" s="33"/>
    </row>
    <row r="762">
      <c r="B762" s="33"/>
    </row>
    <row r="763">
      <c r="B763" s="33"/>
    </row>
    <row r="764">
      <c r="B764" s="33"/>
    </row>
    <row r="765">
      <c r="B765" s="33"/>
    </row>
    <row r="766">
      <c r="B766" s="33"/>
    </row>
    <row r="767">
      <c r="B767" s="33"/>
    </row>
    <row r="768">
      <c r="B768" s="33"/>
    </row>
    <row r="769">
      <c r="B769" s="33"/>
    </row>
    <row r="770">
      <c r="B770" s="33"/>
    </row>
    <row r="771">
      <c r="B771" s="33"/>
    </row>
    <row r="772">
      <c r="B772" s="33"/>
    </row>
    <row r="773">
      <c r="B773" s="33"/>
    </row>
    <row r="774">
      <c r="B774" s="33"/>
    </row>
    <row r="775">
      <c r="B775" s="33"/>
    </row>
    <row r="776">
      <c r="B776" s="33"/>
    </row>
    <row r="777">
      <c r="B777" s="33"/>
    </row>
    <row r="778">
      <c r="B778" s="33"/>
    </row>
    <row r="779">
      <c r="B779" s="33"/>
    </row>
    <row r="780">
      <c r="B780" s="33"/>
    </row>
    <row r="781">
      <c r="B781" s="33"/>
    </row>
    <row r="782">
      <c r="B782" s="33"/>
    </row>
    <row r="783">
      <c r="B783" s="33"/>
    </row>
    <row r="784">
      <c r="B784" s="33"/>
    </row>
    <row r="785">
      <c r="B785" s="33"/>
    </row>
    <row r="786">
      <c r="B786" s="33"/>
    </row>
    <row r="787">
      <c r="B787" s="33"/>
    </row>
    <row r="788">
      <c r="B788" s="33"/>
    </row>
    <row r="789">
      <c r="B789" s="33"/>
    </row>
    <row r="790">
      <c r="B790" s="33"/>
    </row>
    <row r="791">
      <c r="B791" s="33"/>
    </row>
    <row r="792">
      <c r="B792" s="33"/>
    </row>
    <row r="793">
      <c r="B793" s="33"/>
    </row>
    <row r="794">
      <c r="B794" s="33"/>
    </row>
    <row r="795">
      <c r="B795" s="33"/>
    </row>
    <row r="796">
      <c r="B796" s="33"/>
    </row>
    <row r="797">
      <c r="B797" s="33"/>
    </row>
    <row r="798">
      <c r="B798" s="33"/>
    </row>
    <row r="799">
      <c r="B799" s="33"/>
    </row>
    <row r="800">
      <c r="B800" s="33"/>
    </row>
    <row r="801">
      <c r="B801" s="33"/>
    </row>
    <row r="802">
      <c r="B802" s="33"/>
    </row>
    <row r="803">
      <c r="B803" s="33"/>
    </row>
    <row r="804">
      <c r="B804" s="33"/>
    </row>
    <row r="805">
      <c r="B805" s="33"/>
    </row>
    <row r="806">
      <c r="B806" s="33"/>
    </row>
    <row r="807">
      <c r="B807" s="33"/>
    </row>
    <row r="808">
      <c r="B808" s="33"/>
    </row>
    <row r="809">
      <c r="B809" s="33"/>
    </row>
    <row r="810">
      <c r="B810" s="33"/>
    </row>
    <row r="811">
      <c r="B811" s="33"/>
    </row>
    <row r="812">
      <c r="B812" s="33"/>
    </row>
    <row r="813">
      <c r="B813" s="33"/>
    </row>
    <row r="814">
      <c r="B814" s="33"/>
    </row>
    <row r="815">
      <c r="B815" s="33"/>
    </row>
    <row r="816">
      <c r="B816" s="33"/>
    </row>
    <row r="817">
      <c r="B817" s="33"/>
    </row>
    <row r="818">
      <c r="B818" s="33"/>
    </row>
    <row r="819">
      <c r="B819" s="33"/>
    </row>
    <row r="820">
      <c r="B820" s="33"/>
    </row>
    <row r="821">
      <c r="B821" s="33"/>
    </row>
    <row r="822">
      <c r="B822" s="33"/>
    </row>
    <row r="823">
      <c r="B823" s="33"/>
    </row>
    <row r="824">
      <c r="B824" s="33"/>
    </row>
    <row r="825">
      <c r="B825" s="33"/>
    </row>
    <row r="826">
      <c r="B826" s="33"/>
    </row>
    <row r="827">
      <c r="B827" s="33"/>
    </row>
    <row r="828">
      <c r="B828" s="33"/>
    </row>
    <row r="829">
      <c r="B829" s="33"/>
    </row>
    <row r="830">
      <c r="B830" s="33"/>
    </row>
    <row r="831">
      <c r="B831" s="33"/>
    </row>
    <row r="832">
      <c r="B832" s="33"/>
    </row>
    <row r="833">
      <c r="B833" s="33"/>
    </row>
    <row r="834">
      <c r="B834" s="33"/>
    </row>
    <row r="835">
      <c r="B835" s="33"/>
    </row>
    <row r="836">
      <c r="B836" s="33"/>
    </row>
    <row r="837">
      <c r="B837" s="33"/>
    </row>
    <row r="838">
      <c r="B838" s="33"/>
    </row>
    <row r="839">
      <c r="B839" s="33"/>
    </row>
    <row r="840">
      <c r="B840" s="33"/>
    </row>
    <row r="841">
      <c r="B841" s="33"/>
    </row>
    <row r="842">
      <c r="B842" s="33"/>
    </row>
    <row r="843">
      <c r="B843" s="33"/>
    </row>
    <row r="844">
      <c r="B844" s="33"/>
    </row>
    <row r="845">
      <c r="B845" s="33"/>
    </row>
    <row r="846">
      <c r="B846" s="33"/>
    </row>
    <row r="847">
      <c r="B847" s="33"/>
    </row>
    <row r="848">
      <c r="B848" s="33"/>
    </row>
    <row r="849">
      <c r="B849" s="33"/>
    </row>
    <row r="850">
      <c r="B850" s="33"/>
    </row>
    <row r="851">
      <c r="B851" s="33"/>
    </row>
    <row r="852">
      <c r="B852" s="33"/>
    </row>
    <row r="853">
      <c r="B853" s="33"/>
    </row>
    <row r="854">
      <c r="B854" s="33"/>
    </row>
    <row r="855">
      <c r="B855" s="33"/>
    </row>
    <row r="856">
      <c r="B856" s="33"/>
    </row>
    <row r="857">
      <c r="B857" s="33"/>
    </row>
    <row r="858">
      <c r="B858" s="33"/>
    </row>
    <row r="859">
      <c r="B859" s="33"/>
    </row>
    <row r="860">
      <c r="B860" s="33"/>
    </row>
    <row r="861">
      <c r="B861" s="33"/>
    </row>
    <row r="862">
      <c r="B862" s="33"/>
    </row>
    <row r="863">
      <c r="B863" s="33"/>
    </row>
    <row r="864">
      <c r="B864" s="33"/>
    </row>
    <row r="865">
      <c r="B865" s="33"/>
    </row>
    <row r="866">
      <c r="B866" s="33"/>
    </row>
    <row r="867">
      <c r="B867" s="33"/>
    </row>
    <row r="868">
      <c r="B868" s="33"/>
    </row>
    <row r="869">
      <c r="B869" s="33"/>
    </row>
    <row r="870">
      <c r="B870" s="33"/>
    </row>
    <row r="871">
      <c r="B871" s="33"/>
    </row>
    <row r="872">
      <c r="B872" s="33"/>
    </row>
    <row r="873">
      <c r="B873" s="33"/>
    </row>
    <row r="874">
      <c r="B874" s="33"/>
    </row>
    <row r="875">
      <c r="B875" s="33"/>
    </row>
    <row r="876">
      <c r="B876" s="33"/>
    </row>
    <row r="877">
      <c r="B877" s="33"/>
    </row>
    <row r="878">
      <c r="B878" s="33"/>
    </row>
    <row r="879">
      <c r="B879" s="33"/>
    </row>
    <row r="880">
      <c r="B880" s="33"/>
    </row>
    <row r="881">
      <c r="B881" s="33"/>
    </row>
    <row r="882">
      <c r="B882" s="33"/>
    </row>
    <row r="883">
      <c r="B883" s="33"/>
    </row>
    <row r="884">
      <c r="B884" s="33"/>
    </row>
    <row r="885">
      <c r="B885" s="33"/>
    </row>
    <row r="886">
      <c r="B886" s="33"/>
    </row>
    <row r="887">
      <c r="B887" s="33"/>
    </row>
    <row r="888">
      <c r="B888" s="33"/>
    </row>
    <row r="889">
      <c r="B889" s="33"/>
    </row>
    <row r="890">
      <c r="B890" s="33"/>
    </row>
    <row r="891">
      <c r="B891" s="33"/>
    </row>
    <row r="892">
      <c r="B892" s="33"/>
    </row>
    <row r="893">
      <c r="B893" s="33"/>
    </row>
    <row r="894">
      <c r="B894" s="33"/>
    </row>
    <row r="895">
      <c r="B895" s="33"/>
    </row>
    <row r="896">
      <c r="B896" s="33"/>
    </row>
    <row r="897">
      <c r="B897" s="33"/>
    </row>
    <row r="898">
      <c r="B898" s="33"/>
    </row>
    <row r="899">
      <c r="B899" s="33"/>
    </row>
    <row r="900">
      <c r="B900" s="33"/>
    </row>
    <row r="901">
      <c r="B901" s="33"/>
    </row>
    <row r="902">
      <c r="B902" s="33"/>
    </row>
    <row r="903">
      <c r="B903" s="33"/>
    </row>
    <row r="904">
      <c r="B904" s="33"/>
    </row>
    <row r="905">
      <c r="B905" s="33"/>
    </row>
    <row r="906">
      <c r="B906" s="33"/>
    </row>
    <row r="907">
      <c r="B907" s="33"/>
    </row>
    <row r="908">
      <c r="B908" s="33"/>
    </row>
    <row r="909">
      <c r="B909" s="33"/>
    </row>
    <row r="910">
      <c r="B910" s="33"/>
    </row>
    <row r="911">
      <c r="B911" s="33"/>
    </row>
    <row r="912">
      <c r="B912" s="33"/>
    </row>
    <row r="913">
      <c r="B913" s="33"/>
    </row>
    <row r="914">
      <c r="B914" s="33"/>
    </row>
    <row r="915">
      <c r="B915" s="33"/>
    </row>
    <row r="916">
      <c r="B916" s="33"/>
    </row>
    <row r="917">
      <c r="B917" s="33"/>
    </row>
    <row r="918">
      <c r="B918" s="33"/>
    </row>
    <row r="919">
      <c r="B919" s="33"/>
    </row>
    <row r="920">
      <c r="B920" s="33"/>
    </row>
    <row r="921">
      <c r="B921" s="33"/>
    </row>
    <row r="922">
      <c r="B922" s="33"/>
    </row>
    <row r="923">
      <c r="B923" s="33"/>
    </row>
    <row r="924">
      <c r="B924" s="33"/>
    </row>
    <row r="925">
      <c r="B925" s="33"/>
    </row>
    <row r="926">
      <c r="B926" s="33"/>
    </row>
    <row r="927">
      <c r="B927" s="33"/>
    </row>
    <row r="928">
      <c r="B928" s="33"/>
    </row>
    <row r="929">
      <c r="B929" s="33"/>
    </row>
    <row r="930">
      <c r="B930" s="33"/>
    </row>
    <row r="931">
      <c r="B931" s="33"/>
    </row>
    <row r="932">
      <c r="B932" s="33"/>
    </row>
    <row r="933">
      <c r="B933" s="33"/>
    </row>
    <row r="934">
      <c r="B934" s="33"/>
    </row>
    <row r="935">
      <c r="B935" s="33"/>
    </row>
    <row r="936">
      <c r="B936" s="33"/>
    </row>
    <row r="937">
      <c r="B937" s="33"/>
    </row>
    <row r="938">
      <c r="B938" s="33"/>
    </row>
    <row r="939">
      <c r="B939" s="33"/>
    </row>
    <row r="940">
      <c r="B940" s="33"/>
    </row>
    <row r="941">
      <c r="B941" s="33"/>
    </row>
    <row r="942">
      <c r="B942" s="33"/>
    </row>
    <row r="943">
      <c r="B943" s="33"/>
    </row>
    <row r="944">
      <c r="B944" s="33"/>
    </row>
    <row r="945">
      <c r="B945" s="33"/>
    </row>
    <row r="946">
      <c r="B946" s="33"/>
    </row>
    <row r="947">
      <c r="B947" s="33"/>
    </row>
    <row r="948">
      <c r="B948" s="33"/>
    </row>
    <row r="949">
      <c r="B949" s="33"/>
    </row>
    <row r="950">
      <c r="B950" s="33"/>
    </row>
    <row r="951">
      <c r="B951" s="33"/>
    </row>
    <row r="952">
      <c r="B952" s="33"/>
    </row>
    <row r="953">
      <c r="B953" s="33"/>
    </row>
    <row r="954">
      <c r="B954" s="33"/>
    </row>
    <row r="955">
      <c r="B955" s="33"/>
    </row>
    <row r="956">
      <c r="B956" s="33"/>
    </row>
    <row r="957">
      <c r="B957" s="33"/>
    </row>
    <row r="958">
      <c r="B958" s="33"/>
    </row>
    <row r="959">
      <c r="B959" s="33"/>
    </row>
    <row r="960">
      <c r="B960" s="33"/>
    </row>
    <row r="961">
      <c r="B961" s="33"/>
    </row>
    <row r="962">
      <c r="B962" s="33"/>
    </row>
    <row r="963">
      <c r="B963" s="33"/>
    </row>
    <row r="964">
      <c r="B964" s="33"/>
    </row>
    <row r="965">
      <c r="B965" s="33"/>
    </row>
    <row r="966">
      <c r="B966" s="33"/>
    </row>
    <row r="967">
      <c r="B967" s="33"/>
    </row>
    <row r="968">
      <c r="B968" s="33"/>
    </row>
    <row r="969">
      <c r="B969" s="33"/>
    </row>
    <row r="970">
      <c r="B970" s="33"/>
    </row>
    <row r="971">
      <c r="B971" s="33"/>
    </row>
    <row r="972">
      <c r="B972" s="33"/>
    </row>
    <row r="973">
      <c r="B973" s="33"/>
    </row>
    <row r="974">
      <c r="B974" s="33"/>
    </row>
    <row r="975">
      <c r="B975" s="33"/>
    </row>
    <row r="976">
      <c r="B976" s="33"/>
    </row>
    <row r="977">
      <c r="B977" s="33"/>
    </row>
    <row r="978">
      <c r="B978" s="33"/>
    </row>
    <row r="979">
      <c r="B979" s="33"/>
    </row>
    <row r="980">
      <c r="B980" s="33"/>
    </row>
    <row r="981">
      <c r="B981" s="33"/>
    </row>
    <row r="982">
      <c r="B982" s="33"/>
    </row>
    <row r="983">
      <c r="B983" s="33"/>
    </row>
    <row r="984">
      <c r="B984" s="33"/>
    </row>
    <row r="985">
      <c r="B985" s="33"/>
    </row>
    <row r="986">
      <c r="B986" s="33"/>
    </row>
    <row r="987">
      <c r="B987" s="33"/>
    </row>
    <row r="988">
      <c r="B988" s="33"/>
    </row>
    <row r="989">
      <c r="B989" s="33"/>
    </row>
    <row r="990">
      <c r="B990" s="33"/>
    </row>
    <row r="991">
      <c r="B991" s="33"/>
    </row>
    <row r="992">
      <c r="B992" s="33"/>
    </row>
    <row r="993">
      <c r="B993" s="33"/>
    </row>
    <row r="994">
      <c r="B994" s="33"/>
    </row>
    <row r="995">
      <c r="B995" s="33"/>
    </row>
    <row r="996">
      <c r="B996" s="33"/>
    </row>
    <row r="997">
      <c r="B997" s="33"/>
    </row>
    <row r="998">
      <c r="B998" s="33"/>
    </row>
    <row r="999">
      <c r="B999" s="33"/>
    </row>
    <row r="1000">
      <c r="B1000" s="33"/>
    </row>
  </sheetData>
  <mergeCells count="6">
    <mergeCell ref="A1:C1"/>
    <mergeCell ref="E2:M2"/>
    <mergeCell ref="D3:M8"/>
    <mergeCell ref="D10:M13"/>
    <mergeCell ref="D14:E14"/>
    <mergeCell ref="D15:M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6.5"/>
    <col customWidth="1" min="3" max="5" width="8.38"/>
    <col customWidth="1" min="6" max="6" width="16.0"/>
    <col customWidth="1" min="7" max="7" width="19.75"/>
    <col customWidth="1" min="8" max="9" width="16.0"/>
  </cols>
  <sheetData>
    <row r="1">
      <c r="A1" s="34" t="s">
        <v>11</v>
      </c>
      <c r="B1" s="35" t="s">
        <v>12</v>
      </c>
      <c r="C1" s="35" t="s">
        <v>13</v>
      </c>
      <c r="D1" s="35" t="s">
        <v>14</v>
      </c>
      <c r="E1" s="35" t="s">
        <v>15</v>
      </c>
      <c r="F1" s="35" t="s">
        <v>16</v>
      </c>
      <c r="G1" s="36" t="s">
        <v>17</v>
      </c>
      <c r="H1" s="36"/>
      <c r="I1" s="36"/>
    </row>
    <row r="2">
      <c r="A2" s="37" t="s">
        <v>18</v>
      </c>
      <c r="B2" s="38">
        <f>IFERROR(__xludf.DUMMYFUNCTION("GOOGLEFINANCE(A2,""price"")"),776.95)</f>
        <v>776.95</v>
      </c>
      <c r="C2" s="39">
        <f>IFERROR(__xludf.DUMMYFUNCTION("AVERAGE(QUERY(SORT(GOOGLEFINANCE(A2,""price"",TODAY()-150,TODAY()),1,0),""select Col2 limit 50""))"),712.8889999999999)</f>
        <v>712.889</v>
      </c>
      <c r="D2" s="39">
        <f>IFERROR(__xludf.DUMMYFUNCTION("AVERAGE(QUERY(SORT(GOOGLEFINANCE(A2,""price"",TODAY()-300,TODAY()),1,0),""select Col2 limit 100""))"),852.7180000000001)</f>
        <v>852.718</v>
      </c>
      <c r="E2" s="39">
        <f>IFERROR(__xludf.DUMMYFUNCTION("AVERAGE(QUERY(SORT(GOOGLEFINANCE(A2,""price"",TODAY()-500,TODAY()),1,0),""select Col2 limit 200""))"),1029.5299999999997)</f>
        <v>1029.53</v>
      </c>
      <c r="F2" s="32" t="str">
        <f t="shared" ref="F2:F251" si="1">IF(AND(B2&gt;C2, B2&gt;D2, B2&gt;E2, G2&gt;=0.01, G2&lt;=10), "In Bull Run", IF(AND(B2&lt;C2, B2&lt;D2, B2&lt;E2, G2&gt;=-10, G2&lt;=-0.01), "In Bear Run", "Unconfirmed"))</f>
        <v>Unconfirmed</v>
      </c>
      <c r="G2" s="33">
        <f t="shared" ref="G2:G251" si="2">((B2-E2)*100)/E2</f>
        <v>-24.53352501</v>
      </c>
    </row>
    <row r="3">
      <c r="A3" s="37" t="s">
        <v>19</v>
      </c>
      <c r="B3" s="38">
        <f>IFERROR(__xludf.DUMMYFUNCTION("GOOGLEFINANCE(A3,""price"")"),506.35)</f>
        <v>506.35</v>
      </c>
      <c r="C3" s="39">
        <f>IFERROR(__xludf.DUMMYFUNCTION("AVERAGE(QUERY(SORT(GOOGLEFINANCE(A3,""price"",TODAY()-150,TODAY()),1,0),""select Col2 limit 50""))"),463.5310000000001)</f>
        <v>463.531</v>
      </c>
      <c r="D3" s="39">
        <f>IFERROR(__xludf.DUMMYFUNCTION("AVERAGE(QUERY(SORT(GOOGLEFINANCE(A3,""price"",TODAY()-300,TODAY()),1,0),""select Col2 limit 100""))"),548.5809999999999)</f>
        <v>548.581</v>
      </c>
      <c r="E3" s="39">
        <f>IFERROR(__xludf.DUMMYFUNCTION("AVERAGE(QUERY(SORT(GOOGLEFINANCE(A3,""price"",TODAY()-500,TODAY()),1,0),""select Col2 limit 200""))"),639.363)</f>
        <v>639.363</v>
      </c>
      <c r="F3" s="32" t="str">
        <f t="shared" si="1"/>
        <v>Unconfirmed</v>
      </c>
      <c r="G3" s="33">
        <f t="shared" si="2"/>
        <v>-20.80398772</v>
      </c>
    </row>
    <row r="4">
      <c r="A4" s="37" t="s">
        <v>20</v>
      </c>
      <c r="B4" s="38">
        <f>IFERROR(__xludf.DUMMYFUNCTION("GOOGLEFINANCE(A4,""price"")"),461.75)</f>
        <v>461.75</v>
      </c>
      <c r="C4" s="39">
        <f>IFERROR(__xludf.DUMMYFUNCTION("AVERAGE(QUERY(SORT(GOOGLEFINANCE(A4,""price"",TODAY()-150,TODAY()),1,0),""select Col2 limit 50""))"),432.25899999999996)</f>
        <v>432.259</v>
      </c>
      <c r="D4" s="39">
        <f>IFERROR(__xludf.DUMMYFUNCTION("AVERAGE(QUERY(SORT(GOOGLEFINANCE(A4,""price"",TODAY()-300,TODAY()),1,0),""select Col2 limit 100""))"),477.432)</f>
        <v>477.432</v>
      </c>
      <c r="E4" s="39">
        <f>IFERROR(__xludf.DUMMYFUNCTION("AVERAGE(QUERY(SORT(GOOGLEFINANCE(A4,""price"",TODAY()-500,TODAY()),1,0),""select Col2 limit 200""))"),563.6184999999998)</f>
        <v>563.6185</v>
      </c>
      <c r="F4" s="32" t="str">
        <f t="shared" si="1"/>
        <v>Unconfirmed</v>
      </c>
      <c r="G4" s="33">
        <f t="shared" si="2"/>
        <v>-18.07401638</v>
      </c>
    </row>
    <row r="5">
      <c r="A5" s="37" t="s">
        <v>21</v>
      </c>
      <c r="B5" s="38">
        <f>IFERROR(__xludf.DUMMYFUNCTION("GOOGLEFINANCE(A5,""price"")"),1416.3)</f>
        <v>1416.3</v>
      </c>
      <c r="C5" s="39">
        <f>IFERROR(__xludf.DUMMYFUNCTION("AVERAGE(QUERY(SORT(GOOGLEFINANCE(A5,""price"",TODAY()-150,TODAY()),1,0),""select Col2 limit 50""))"),1229.878)</f>
        <v>1229.878</v>
      </c>
      <c r="D5" s="39">
        <f>IFERROR(__xludf.DUMMYFUNCTION("AVERAGE(QUERY(SORT(GOOGLEFINANCE(A5,""price"",TODAY()-300,TODAY()),1,0),""select Col2 limit 100""))"),1377.729)</f>
        <v>1377.729</v>
      </c>
      <c r="E5" s="39">
        <f>IFERROR(__xludf.DUMMYFUNCTION("AVERAGE(QUERY(SORT(GOOGLEFINANCE(A5,""price"",TODAY()-500,TODAY()),1,0),""select Col2 limit 200""))"),1568.3565000000003)</f>
        <v>1568.3565</v>
      </c>
      <c r="F5" s="32" t="str">
        <f t="shared" si="1"/>
        <v>Unconfirmed</v>
      </c>
      <c r="G5" s="33">
        <f t="shared" si="2"/>
        <v>-9.695276552</v>
      </c>
    </row>
    <row r="6">
      <c r="A6" s="37" t="s">
        <v>22</v>
      </c>
      <c r="B6" s="38">
        <f>IFERROR(__xludf.DUMMYFUNCTION("GOOGLEFINANCE(A6,""price"")"),11823.0)</f>
        <v>11823</v>
      </c>
      <c r="C6" s="39">
        <f>IFERROR(__xludf.DUMMYFUNCTION("AVERAGE(QUERY(SORT(GOOGLEFINANCE(A6,""price"",TODAY()-150,TODAY()),1,0),""select Col2 limit 50""))"),10797.1)</f>
        <v>10797.1</v>
      </c>
      <c r="D6" s="39">
        <f>IFERROR(__xludf.DUMMYFUNCTION("AVERAGE(QUERY(SORT(GOOGLEFINANCE(A6,""price"",TODAY()-300,TODAY()),1,0),""select Col2 limit 100""))"),10980.5)</f>
        <v>10980.5</v>
      </c>
      <c r="E6" s="39">
        <f>IFERROR(__xludf.DUMMYFUNCTION("AVERAGE(QUERY(SORT(GOOGLEFINANCE(A6,""price"",TODAY()-500,TODAY()),1,0),""select Col2 limit 200""))"),13494.965)</f>
        <v>13494.965</v>
      </c>
      <c r="F6" s="32" t="str">
        <f t="shared" si="1"/>
        <v>Unconfirmed</v>
      </c>
      <c r="G6" s="33">
        <f t="shared" si="2"/>
        <v>-12.38954677</v>
      </c>
    </row>
    <row r="7">
      <c r="A7" s="37" t="s">
        <v>23</v>
      </c>
      <c r="B7" s="38">
        <f>IFERROR(__xludf.DUMMYFUNCTION("GOOGLEFINANCE(A7,""price"")"),193.0)</f>
        <v>193</v>
      </c>
      <c r="C7" s="39">
        <f>IFERROR(__xludf.DUMMYFUNCTION("AVERAGE(QUERY(SORT(GOOGLEFINANCE(A7,""price"",TODAY()-150,TODAY()),1,0),""select Col2 limit 50""))"),190.0074)</f>
        <v>190.0074</v>
      </c>
      <c r="D7" s="39">
        <f>IFERROR(__xludf.DUMMYFUNCTION("AVERAGE(QUERY(SORT(GOOGLEFINANCE(A7,""price"",TODAY()-300,TODAY()),1,0),""select Col2 limit 100""))"),200.35679999999996)</f>
        <v>200.3568</v>
      </c>
      <c r="E7" s="39">
        <f>IFERROR(__xludf.DUMMYFUNCTION("AVERAGE(QUERY(SORT(GOOGLEFINANCE(A7,""price"",TODAY()-500,TODAY()),1,0),""select Col2 limit 200""))"),230.39265)</f>
        <v>230.39265</v>
      </c>
      <c r="F7" s="32" t="str">
        <f t="shared" si="1"/>
        <v>Unconfirmed</v>
      </c>
      <c r="G7" s="33">
        <f t="shared" si="2"/>
        <v>-16.22996654</v>
      </c>
    </row>
    <row r="8">
      <c r="A8" s="37" t="s">
        <v>24</v>
      </c>
      <c r="B8" s="38">
        <f>IFERROR(__xludf.DUMMYFUNCTION("GOOGLEFINANCE(A8,""price"")"),55.19)</f>
        <v>55.19</v>
      </c>
      <c r="C8" s="39">
        <f>IFERROR(__xludf.DUMMYFUNCTION("AVERAGE(QUERY(SORT(GOOGLEFINANCE(A8,""price"",TODAY()-150,TODAY()),1,0),""select Col2 limit 50""))"),48.60659999999998)</f>
        <v>48.6066</v>
      </c>
      <c r="D8" s="39">
        <f>IFERROR(__xludf.DUMMYFUNCTION("AVERAGE(QUERY(SORT(GOOGLEFINANCE(A8,""price"",TODAY()-300,TODAY()),1,0),""select Col2 limit 100""))"),48.01559999999998)</f>
        <v>48.0156</v>
      </c>
      <c r="E8" s="39">
        <f>IFERROR(__xludf.DUMMYFUNCTION("AVERAGE(QUERY(SORT(GOOGLEFINANCE(A8,""price"",TODAY()-500,TODAY()),1,0),""select Col2 limit 200""))"),52.36744999999999)</f>
        <v>52.36745</v>
      </c>
      <c r="F8" s="32" t="str">
        <f t="shared" si="1"/>
        <v>In Bull Run</v>
      </c>
      <c r="G8" s="33">
        <f t="shared" si="2"/>
        <v>5.389893913</v>
      </c>
    </row>
    <row r="9">
      <c r="A9" s="37" t="s">
        <v>25</v>
      </c>
      <c r="B9" s="38">
        <f>IFERROR(__xludf.DUMMYFUNCTION("GOOGLEFINANCE(A9,""price"")"),2322.1)</f>
        <v>2322.1</v>
      </c>
      <c r="C9" s="39">
        <f>IFERROR(__xludf.DUMMYFUNCTION("AVERAGE(QUERY(SORT(GOOGLEFINANCE(A9,""price"",TODAY()-150,TODAY()),1,0),""select Col2 limit 50""))"),2144.382000000001)</f>
        <v>2144.382</v>
      </c>
      <c r="D9" s="39">
        <f>IFERROR(__xludf.DUMMYFUNCTION("AVERAGE(QUERY(SORT(GOOGLEFINANCE(A9,""price"",TODAY()-300,TODAY()),1,0),""select Col2 limit 100""))"),2178.4179999999997)</f>
        <v>2178.418</v>
      </c>
      <c r="E9" s="39">
        <f>IFERROR(__xludf.DUMMYFUNCTION("AVERAGE(QUERY(SORT(GOOGLEFINANCE(A9,""price"",TODAY()-500,TODAY()),1,0),""select Col2 limit 200""))"),2690.225700000001)</f>
        <v>2690.2257</v>
      </c>
      <c r="F9" s="32" t="str">
        <f t="shared" si="1"/>
        <v>Unconfirmed</v>
      </c>
      <c r="G9" s="33">
        <f t="shared" si="2"/>
        <v>-13.68382214</v>
      </c>
    </row>
    <row r="10">
      <c r="A10" s="37" t="s">
        <v>26</v>
      </c>
      <c r="B10" s="38">
        <f>IFERROR(__xludf.DUMMYFUNCTION("GOOGLEFINANCE(A10,""price"")"),931.55)</f>
        <v>931.55</v>
      </c>
      <c r="C10" s="39">
        <f>IFERROR(__xludf.DUMMYFUNCTION("AVERAGE(QUERY(SORT(GOOGLEFINANCE(A10,""price"",TODAY()-150,TODAY()),1,0),""select Col2 limit 50""))"),843.69)</f>
        <v>843.69</v>
      </c>
      <c r="D10" s="39">
        <f>IFERROR(__xludf.DUMMYFUNCTION("AVERAGE(QUERY(SORT(GOOGLEFINANCE(A10,""price"",TODAY()-300,TODAY()),1,0),""select Col2 limit 100""))"),936.2754999999999)</f>
        <v>936.2755</v>
      </c>
      <c r="E10" s="39">
        <f>IFERROR(__xludf.DUMMYFUNCTION("AVERAGE(QUERY(SORT(GOOGLEFINANCE(A10,""price"",TODAY()-500,TODAY()),1,0),""select Col2 limit 200""))"),1055.8617499999998)</f>
        <v>1055.86175</v>
      </c>
      <c r="F10" s="32" t="str">
        <f t="shared" si="1"/>
        <v>Unconfirmed</v>
      </c>
      <c r="G10" s="33">
        <f t="shared" si="2"/>
        <v>-11.77348739</v>
      </c>
    </row>
    <row r="11">
      <c r="A11" s="37" t="s">
        <v>27</v>
      </c>
      <c r="B11" s="38">
        <f>IFERROR(__xludf.DUMMYFUNCTION("GOOGLEFINANCE(A11,""price"")"),1001.15)</f>
        <v>1001.15</v>
      </c>
      <c r="C11" s="39">
        <f>IFERROR(__xludf.DUMMYFUNCTION("AVERAGE(QUERY(SORT(GOOGLEFINANCE(A11,""price"",TODAY()-150,TODAY()),1,0),""select Col2 limit 50""))"),982.3400000000001)</f>
        <v>982.34</v>
      </c>
      <c r="D11" s="39">
        <f>IFERROR(__xludf.DUMMYFUNCTION("AVERAGE(QUERY(SORT(GOOGLEFINANCE(A11,""price"",TODAY()-300,TODAY()),1,0),""select Col2 limit 100""))"),1093.7439999999997)</f>
        <v>1093.744</v>
      </c>
      <c r="E11" s="39">
        <f>IFERROR(__xludf.DUMMYFUNCTION("AVERAGE(QUERY(SORT(GOOGLEFINANCE(A11,""price"",TODAY()-500,TODAY()),1,0),""select Col2 limit 200""))"),1225.3959999999997)</f>
        <v>1225.396</v>
      </c>
      <c r="F11" s="32" t="str">
        <f t="shared" si="1"/>
        <v>Unconfirmed</v>
      </c>
      <c r="G11" s="33">
        <f t="shared" si="2"/>
        <v>-18.2998802</v>
      </c>
    </row>
    <row r="12">
      <c r="A12" s="37" t="s">
        <v>28</v>
      </c>
      <c r="B12" s="38">
        <f>IFERROR(__xludf.DUMMYFUNCTION("GOOGLEFINANCE(A12,""price"")"),1032.8)</f>
        <v>1032.8</v>
      </c>
      <c r="C12" s="39">
        <f>IFERROR(__xludf.DUMMYFUNCTION("AVERAGE(QUERY(SORT(GOOGLEFINANCE(A12,""price"",TODAY()-150,TODAY()),1,0),""select Col2 limit 50""))"),955.7189999999998)</f>
        <v>955.719</v>
      </c>
      <c r="D12" s="39">
        <f>IFERROR(__xludf.DUMMYFUNCTION("AVERAGE(QUERY(SORT(GOOGLEFINANCE(A12,""price"",TODAY()-300,TODAY()),1,0),""select Col2 limit 100""))"),857.9099999999997)</f>
        <v>857.91</v>
      </c>
      <c r="E12" s="39">
        <f>IFERROR(__xludf.DUMMYFUNCTION("AVERAGE(QUERY(SORT(GOOGLEFINANCE(A12,""price"",TODAY()-500,TODAY()),1,0),""select Col2 limit 200""))"),932.3094999999998)</f>
        <v>932.3095</v>
      </c>
      <c r="F12" s="32" t="str">
        <f t="shared" si="1"/>
        <v>Unconfirmed</v>
      </c>
      <c r="G12" s="33">
        <f t="shared" si="2"/>
        <v>10.77866309</v>
      </c>
    </row>
    <row r="13">
      <c r="A13" s="37" t="s">
        <v>29</v>
      </c>
      <c r="B13" s="38">
        <f>IFERROR(__xludf.DUMMYFUNCTION("GOOGLEFINANCE(A13,""price"")"),38120.0)</f>
        <v>38120</v>
      </c>
      <c r="C13" s="39">
        <f>IFERROR(__xludf.DUMMYFUNCTION("AVERAGE(QUERY(SORT(GOOGLEFINANCE(A13,""price"",TODAY()-150,TODAY()),1,0),""select Col2 limit 50""))"),35461.1)</f>
        <v>35461.1</v>
      </c>
      <c r="D13" s="39">
        <f>IFERROR(__xludf.DUMMYFUNCTION("AVERAGE(QUERY(SORT(GOOGLEFINANCE(A13,""price"",TODAY()-300,TODAY()),1,0),""select Col2 limit 100""))"),34599.45)</f>
        <v>34599.45</v>
      </c>
      <c r="E13" s="39">
        <f>IFERROR(__xludf.DUMMYFUNCTION("AVERAGE(QUERY(SORT(GOOGLEFINANCE(A13,""price"",TODAY()-500,TODAY()),1,0),""select Col2 limit 200""))"),38065.9)</f>
        <v>38065.9</v>
      </c>
      <c r="F13" s="32" t="str">
        <f t="shared" si="1"/>
        <v>In Bull Run</v>
      </c>
      <c r="G13" s="33">
        <f t="shared" si="2"/>
        <v>0.1421219517</v>
      </c>
    </row>
    <row r="14">
      <c r="A14" s="37" t="s">
        <v>30</v>
      </c>
      <c r="B14" s="38">
        <f>IFERROR(__xludf.DUMMYFUNCTION("GOOGLEFINANCE(A14,""price"")"),909.95)</f>
        <v>909.95</v>
      </c>
      <c r="C14" s="39">
        <f>IFERROR(__xludf.DUMMYFUNCTION("AVERAGE(QUERY(SORT(GOOGLEFINANCE(A14,""price"",TODAY()-150,TODAY()),1,0),""select Col2 limit 50""))"),857.6019999999999)</f>
        <v>857.602</v>
      </c>
      <c r="D14" s="39">
        <f>IFERROR(__xludf.DUMMYFUNCTION("AVERAGE(QUERY(SORT(GOOGLEFINANCE(A14,""price"",TODAY()-300,TODAY()),1,0),""select Col2 limit 100""))"),832.6475)</f>
        <v>832.6475</v>
      </c>
      <c r="E14" s="39">
        <f>IFERROR(__xludf.DUMMYFUNCTION("AVERAGE(QUERY(SORT(GOOGLEFINANCE(A14,""price"",TODAY()-500,TODAY()),1,0),""select Col2 limit 200""))"),874.4057500000004)</f>
        <v>874.40575</v>
      </c>
      <c r="F14" s="32" t="str">
        <f t="shared" si="1"/>
        <v>In Bull Run</v>
      </c>
      <c r="G14" s="33">
        <f t="shared" si="2"/>
        <v>4.064960689</v>
      </c>
    </row>
    <row r="15">
      <c r="A15" s="37" t="s">
        <v>31</v>
      </c>
      <c r="B15" s="38">
        <f>IFERROR(__xludf.DUMMYFUNCTION("GOOGLEFINANCE(A15,""price"")"),3510.1)</f>
        <v>3510.1</v>
      </c>
      <c r="C15" s="39">
        <f>IFERROR(__xludf.DUMMYFUNCTION("AVERAGE(QUERY(SORT(GOOGLEFINANCE(A15,""price"",TODAY()-150,TODAY()),1,0),""select Col2 limit 50""))"),3452.3740000000003)</f>
        <v>3452.374</v>
      </c>
      <c r="D15" s="39">
        <f>IFERROR(__xludf.DUMMYFUNCTION("AVERAGE(QUERY(SORT(GOOGLEFINANCE(A15,""price"",TODAY()-300,TODAY()),1,0),""select Col2 limit 100""))"),3638.8199999999993)</f>
        <v>3638.82</v>
      </c>
      <c r="E15" s="39">
        <f>IFERROR(__xludf.DUMMYFUNCTION("AVERAGE(QUERY(SORT(GOOGLEFINANCE(A15,""price"",TODAY()-500,TODAY()),1,0),""select Col2 limit 200""))"),3955.569499999998)</f>
        <v>3955.5695</v>
      </c>
      <c r="F15" s="32" t="str">
        <f t="shared" si="1"/>
        <v>Unconfirmed</v>
      </c>
      <c r="G15" s="33">
        <f t="shared" si="2"/>
        <v>-11.26182968</v>
      </c>
    </row>
    <row r="16">
      <c r="A16" s="37" t="s">
        <v>32</v>
      </c>
      <c r="B16" s="38">
        <f>IFERROR(__xludf.DUMMYFUNCTION("GOOGLEFINANCE(A16,""price"")"),156.85)</f>
        <v>156.85</v>
      </c>
      <c r="C16" s="39">
        <f>IFERROR(__xludf.DUMMYFUNCTION("AVERAGE(QUERY(SORT(GOOGLEFINANCE(A16,""price"",TODAY()-150,TODAY()),1,0),""select Col2 limit 50""))"),155.56879999999998)</f>
        <v>155.5688</v>
      </c>
      <c r="D16" s="39">
        <f>IFERROR(__xludf.DUMMYFUNCTION("AVERAGE(QUERY(SORT(GOOGLEFINANCE(A16,""price"",TODAY()-300,TODAY()),1,0),""select Col2 limit 100""))"),169.83500000000004)</f>
        <v>169.835</v>
      </c>
      <c r="E16" s="39">
        <f>IFERROR(__xludf.DUMMYFUNCTION("AVERAGE(QUERY(SORT(GOOGLEFINANCE(A16,""price"",TODAY()-500,TODAY()),1,0),""select Col2 limit 200""))"),195.38980000000004)</f>
        <v>195.3898</v>
      </c>
      <c r="F16" s="32" t="str">
        <f t="shared" si="1"/>
        <v>Unconfirmed</v>
      </c>
      <c r="G16" s="33">
        <f t="shared" si="2"/>
        <v>-19.72457109</v>
      </c>
    </row>
    <row r="17">
      <c r="A17" s="37" t="s">
        <v>33</v>
      </c>
      <c r="B17" s="38">
        <f>IFERROR(__xludf.DUMMYFUNCTION("GOOGLEFINANCE(A17,""price"")"),597.75)</f>
        <v>597.75</v>
      </c>
      <c r="C17" s="39">
        <f>IFERROR(__xludf.DUMMYFUNCTION("AVERAGE(QUERY(SORT(GOOGLEFINANCE(A17,""price"",TODAY()-150,TODAY()),1,0),""select Col2 limit 50""))"),570.2939999999998)</f>
        <v>570.294</v>
      </c>
      <c r="D17" s="39">
        <f>IFERROR(__xludf.DUMMYFUNCTION("AVERAGE(QUERY(SORT(GOOGLEFINANCE(A17,""price"",TODAY()-300,TODAY()),1,0),""select Col2 limit 100""))"),606.0825000000003)</f>
        <v>606.0825</v>
      </c>
      <c r="E17" s="39">
        <f>IFERROR(__xludf.DUMMYFUNCTION("AVERAGE(QUERY(SORT(GOOGLEFINANCE(A17,""price"",TODAY()-500,TODAY()),1,0),""select Col2 limit 200""))"),675.7350000000001)</f>
        <v>675.735</v>
      </c>
      <c r="F17" s="32" t="str">
        <f t="shared" si="1"/>
        <v>Unconfirmed</v>
      </c>
      <c r="G17" s="33">
        <f t="shared" si="2"/>
        <v>-11.54076672</v>
      </c>
    </row>
    <row r="18">
      <c r="A18" s="37" t="s">
        <v>34</v>
      </c>
      <c r="B18" s="38">
        <f>IFERROR(__xludf.DUMMYFUNCTION("GOOGLEFINANCE(A18,""price"")"),265.25)</f>
        <v>265.25</v>
      </c>
      <c r="C18" s="39">
        <f>IFERROR(__xludf.DUMMYFUNCTION("AVERAGE(QUERY(SORT(GOOGLEFINANCE(A18,""price"",TODAY()-150,TODAY()),1,0),""select Col2 limit 50""))"),273.0359999999999)</f>
        <v>273.036</v>
      </c>
      <c r="D18" s="39">
        <f>IFERROR(__xludf.DUMMYFUNCTION("AVERAGE(QUERY(SORT(GOOGLEFINANCE(A18,""price"",TODAY()-300,TODAY()),1,0),""select Col2 limit 100""))"),303.73099999999994)</f>
        <v>303.731</v>
      </c>
      <c r="E18" s="39">
        <f>IFERROR(__xludf.DUMMYFUNCTION("AVERAGE(QUERY(SORT(GOOGLEFINANCE(A18,""price"",TODAY()-500,TODAY()),1,0),""select Col2 limit 200""))"),358.5859999999999)</f>
        <v>358.586</v>
      </c>
      <c r="F18" s="32" t="str">
        <f t="shared" si="1"/>
        <v>Unconfirmed</v>
      </c>
      <c r="G18" s="33">
        <f t="shared" si="2"/>
        <v>-26.02890241</v>
      </c>
    </row>
    <row r="19">
      <c r="A19" s="37" t="s">
        <v>35</v>
      </c>
      <c r="B19" s="38">
        <f>IFERROR(__xludf.DUMMYFUNCTION("GOOGLEFINANCE(A19,""price"")"),4345.4)</f>
        <v>4345.4</v>
      </c>
      <c r="C19" s="39">
        <f>IFERROR(__xludf.DUMMYFUNCTION("AVERAGE(QUERY(SORT(GOOGLEFINANCE(A19,""price"",TODAY()-150,TODAY()),1,0),""select Col2 limit 50""))"),4258.304)</f>
        <v>4258.304</v>
      </c>
      <c r="D19" s="39">
        <f>IFERROR(__xludf.DUMMYFUNCTION("AVERAGE(QUERY(SORT(GOOGLEFINANCE(A19,""price"",TODAY()-300,TODAY()),1,0),""select Col2 limit 100""))"),4698.102)</f>
        <v>4698.102</v>
      </c>
      <c r="E19" s="39">
        <f>IFERROR(__xludf.DUMMYFUNCTION("AVERAGE(QUERY(SORT(GOOGLEFINANCE(A19,""price"",TODAY()-500,TODAY()),1,0),""select Col2 limit 200""))"),5063.9484999999995)</f>
        <v>5063.9485</v>
      </c>
      <c r="F19" s="32" t="str">
        <f t="shared" si="1"/>
        <v>Unconfirmed</v>
      </c>
      <c r="G19" s="33">
        <f t="shared" si="2"/>
        <v>-14.18949067</v>
      </c>
    </row>
    <row r="20">
      <c r="A20" s="37" t="s">
        <v>36</v>
      </c>
      <c r="B20" s="38">
        <f>IFERROR(__xludf.DUMMYFUNCTION("GOOGLEFINANCE(A20,""price"")"),166.06)</f>
        <v>166.06</v>
      </c>
      <c r="C20" s="39">
        <f>IFERROR(__xludf.DUMMYFUNCTION("AVERAGE(QUERY(SORT(GOOGLEFINANCE(A20,""price"",TODAY()-150,TODAY()),1,0),""select Col2 limit 50""))"),158.9836)</f>
        <v>158.9836</v>
      </c>
      <c r="D20" s="39">
        <f>IFERROR(__xludf.DUMMYFUNCTION("AVERAGE(QUERY(SORT(GOOGLEFINANCE(A20,""price"",TODAY()-300,TODAY()),1,0),""select Col2 limit 100""))"),167.6327)</f>
        <v>167.6327</v>
      </c>
      <c r="E20" s="39">
        <f>IFERROR(__xludf.DUMMYFUNCTION("AVERAGE(QUERY(SORT(GOOGLEFINANCE(A20,""price"",TODAY()-500,TODAY()),1,0),""select Col2 limit 200""))"),186.84540000000004)</f>
        <v>186.8454</v>
      </c>
      <c r="F20" s="32" t="str">
        <f t="shared" si="1"/>
        <v>Unconfirmed</v>
      </c>
      <c r="G20" s="33">
        <f t="shared" si="2"/>
        <v>-11.12438412</v>
      </c>
    </row>
    <row r="21">
      <c r="A21" s="37" t="s">
        <v>37</v>
      </c>
      <c r="B21" s="38">
        <f>IFERROR(__xludf.DUMMYFUNCTION("GOOGLEFINANCE(A21,""price"")"),85.55)</f>
        <v>85.55</v>
      </c>
      <c r="C21" s="39">
        <f>IFERROR(__xludf.DUMMYFUNCTION("AVERAGE(QUERY(SORT(GOOGLEFINANCE(A21,""price"",TODAY()-150,TODAY()),1,0),""select Col2 limit 50""))"),84.24660000000002)</f>
        <v>84.2466</v>
      </c>
      <c r="D21" s="39">
        <f>IFERROR(__xludf.DUMMYFUNCTION("AVERAGE(QUERY(SORT(GOOGLEFINANCE(A21,""price"",TODAY()-300,TODAY()),1,0),""select Col2 limit 100""))"),87.4545)</f>
        <v>87.4545</v>
      </c>
      <c r="E21" s="39">
        <f>IFERROR(__xludf.DUMMYFUNCTION("AVERAGE(QUERY(SORT(GOOGLEFINANCE(A21,""price"",TODAY()-500,TODAY()),1,0),""select Col2 limit 200""))"),97.90454999999996)</f>
        <v>97.90455</v>
      </c>
      <c r="F21" s="32" t="str">
        <f t="shared" si="1"/>
        <v>Unconfirmed</v>
      </c>
      <c r="G21" s="33">
        <f t="shared" si="2"/>
        <v>-12.6189743</v>
      </c>
    </row>
    <row r="22">
      <c r="A22" s="37" t="s">
        <v>38</v>
      </c>
      <c r="B22" s="38">
        <f>IFERROR(__xludf.DUMMYFUNCTION("GOOGLEFINANCE(A22,""price"")"),4010.9)</f>
        <v>4010.9</v>
      </c>
      <c r="C22" s="39">
        <f>IFERROR(__xludf.DUMMYFUNCTION("AVERAGE(QUERY(SORT(GOOGLEFINANCE(A22,""price"",TODAY()-150,TODAY()),1,0),""select Col2 limit 50""))"),4296.116)</f>
        <v>4296.116</v>
      </c>
      <c r="D22" s="39">
        <f>IFERROR(__xludf.DUMMYFUNCTION("AVERAGE(QUERY(SORT(GOOGLEFINANCE(A22,""price"",TODAY()-300,TODAY()),1,0),""select Col2 limit 100""))"),4302.652631578948)</f>
        <v>4302.652632</v>
      </c>
      <c r="E22" s="39">
        <f>IFERROR(__xludf.DUMMYFUNCTION("AVERAGE(QUERY(SORT(GOOGLEFINANCE(A22,""price"",TODAY()-500,TODAY()),1,0),""select Col2 limit 200""))"),4302.652631578948)</f>
        <v>4302.652632</v>
      </c>
      <c r="F22" s="32" t="str">
        <f t="shared" si="1"/>
        <v>In Bear Run</v>
      </c>
      <c r="G22" s="33">
        <f t="shared" si="2"/>
        <v>-6.780761929</v>
      </c>
    </row>
    <row r="23">
      <c r="A23" s="37" t="s">
        <v>39</v>
      </c>
      <c r="B23" s="38">
        <f>IFERROR(__xludf.DUMMYFUNCTION("GOOGLEFINANCE(A23,""price"")"),293.95)</f>
        <v>293.95</v>
      </c>
      <c r="C23" s="39">
        <f>IFERROR(__xludf.DUMMYFUNCTION("AVERAGE(QUERY(SORT(GOOGLEFINANCE(A23,""price"",TODAY()-150,TODAY()),1,0),""select Col2 limit 50""))"),303.5150000000001)</f>
        <v>303.515</v>
      </c>
      <c r="D23" s="39">
        <f>IFERROR(__xludf.DUMMYFUNCTION("AVERAGE(QUERY(SORT(GOOGLEFINANCE(A23,""price"",TODAY()-300,TODAY()),1,0),""select Col2 limit 100""))"),319.2215000000001)</f>
        <v>319.2215</v>
      </c>
      <c r="E23" s="39">
        <f>IFERROR(__xludf.DUMMYFUNCTION("AVERAGE(QUERY(SORT(GOOGLEFINANCE(A23,""price"",TODAY()-500,TODAY()),1,0),""select Col2 limit 200""))"),363.2620000000004)</f>
        <v>363.262</v>
      </c>
      <c r="F23" s="32" t="str">
        <f t="shared" si="1"/>
        <v>Unconfirmed</v>
      </c>
      <c r="G23" s="33">
        <f t="shared" si="2"/>
        <v>-19.08044332</v>
      </c>
    </row>
    <row r="24">
      <c r="A24" s="37" t="s">
        <v>40</v>
      </c>
      <c r="B24" s="38">
        <f>IFERROR(__xludf.DUMMYFUNCTION("GOOGLEFINANCE(A24,""price"")"),4258.7)</f>
        <v>4258.7</v>
      </c>
      <c r="C24" s="39">
        <f>IFERROR(__xludf.DUMMYFUNCTION("AVERAGE(QUERY(SORT(GOOGLEFINANCE(A24,""price"",TODAY()-150,TODAY()),1,0),""select Col2 limit 50""))"),3937.978)</f>
        <v>3937.978</v>
      </c>
      <c r="D24" s="39">
        <f>IFERROR(__xludf.DUMMYFUNCTION("AVERAGE(QUERY(SORT(GOOGLEFINANCE(A24,""price"",TODAY()-300,TODAY()),1,0),""select Col2 limit 100""))"),3977.104)</f>
        <v>3977.104</v>
      </c>
      <c r="E24" s="39">
        <f>IFERROR(__xludf.DUMMYFUNCTION("AVERAGE(QUERY(SORT(GOOGLEFINANCE(A24,""price"",TODAY()-500,TODAY()),1,0),""select Col2 limit 200""))"),4378.803000000001)</f>
        <v>4378.803</v>
      </c>
      <c r="F24" s="32" t="str">
        <f t="shared" si="1"/>
        <v>Unconfirmed</v>
      </c>
      <c r="G24" s="33">
        <f t="shared" si="2"/>
        <v>-2.742827206</v>
      </c>
    </row>
    <row r="25">
      <c r="A25" s="37" t="s">
        <v>41</v>
      </c>
      <c r="B25" s="38">
        <f>IFERROR(__xludf.DUMMYFUNCTION("GOOGLEFINANCE(A25,""price"")"),355.55)</f>
        <v>355.55</v>
      </c>
      <c r="C25" s="39">
        <f>IFERROR(__xludf.DUMMYFUNCTION("AVERAGE(QUERY(SORT(GOOGLEFINANCE(A25,""price"",TODAY()-150,TODAY()),1,0),""select Col2 limit 50""))"),393.8409999999999)</f>
        <v>393.841</v>
      </c>
      <c r="D25" s="39">
        <f>IFERROR(__xludf.DUMMYFUNCTION("AVERAGE(QUERY(SORT(GOOGLEFINANCE(A25,""price"",TODAY()-300,TODAY()),1,0),""select Col2 limit 100""))"),413.26349999999996)</f>
        <v>413.2635</v>
      </c>
      <c r="E25" s="39">
        <f>IFERROR(__xludf.DUMMYFUNCTION("AVERAGE(QUERY(SORT(GOOGLEFINANCE(A25,""price"",TODAY()-500,TODAY()),1,0),""select Col2 limit 200""))"),458.94199999999984)</f>
        <v>458.942</v>
      </c>
      <c r="F25" s="32" t="str">
        <f t="shared" si="1"/>
        <v>Unconfirmed</v>
      </c>
      <c r="G25" s="33">
        <f t="shared" si="2"/>
        <v>-22.52833691</v>
      </c>
    </row>
    <row r="26">
      <c r="A26" s="37" t="s">
        <v>42</v>
      </c>
      <c r="B26" s="38">
        <f>IFERROR(__xludf.DUMMYFUNCTION("GOOGLEFINANCE(A26,""price"")"),161.26)</f>
        <v>161.26</v>
      </c>
      <c r="C26" s="39">
        <f>IFERROR(__xludf.DUMMYFUNCTION("AVERAGE(QUERY(SORT(GOOGLEFINANCE(A26,""price"",TODAY()-150,TODAY()),1,0),""select Col2 limit 50""))"),150.78360000000004)</f>
        <v>150.7836</v>
      </c>
      <c r="D26" s="39">
        <f>IFERROR(__xludf.DUMMYFUNCTION("AVERAGE(QUERY(SORT(GOOGLEFINANCE(A26,""price"",TODAY()-300,TODAY()),1,0),""select Col2 limit 100""))"),149.8876)</f>
        <v>149.8876</v>
      </c>
      <c r="E26" s="39">
        <f>IFERROR(__xludf.DUMMYFUNCTION("AVERAGE(QUERY(SORT(GOOGLEFINANCE(A26,""price"",TODAY()-500,TODAY()),1,0),""select Col2 limit 200""))"),166.85689999999994)</f>
        <v>166.8569</v>
      </c>
      <c r="F26" s="32" t="str">
        <f t="shared" si="1"/>
        <v>Unconfirmed</v>
      </c>
      <c r="G26" s="33">
        <f t="shared" si="2"/>
        <v>-3.354311389</v>
      </c>
    </row>
    <row r="27">
      <c r="A27" s="37" t="s">
        <v>43</v>
      </c>
      <c r="B27" s="38">
        <f>IFERROR(__xludf.DUMMYFUNCTION("GOOGLEFINANCE(A27,""price"")"),525.8)</f>
        <v>525.8</v>
      </c>
      <c r="C27" s="39">
        <f>IFERROR(__xludf.DUMMYFUNCTION("AVERAGE(QUERY(SORT(GOOGLEFINANCE(A27,""price"",TODAY()-150,TODAY()),1,0),""select Col2 limit 50""))"),537.605)</f>
        <v>537.605</v>
      </c>
      <c r="D27" s="39">
        <f>IFERROR(__xludf.DUMMYFUNCTION("AVERAGE(QUERY(SORT(GOOGLEFINANCE(A27,""price"",TODAY()-300,TODAY()),1,0),""select Col2 limit 100""))"),581.391)</f>
        <v>581.391</v>
      </c>
      <c r="E27" s="39">
        <f>IFERROR(__xludf.DUMMYFUNCTION("AVERAGE(QUERY(SORT(GOOGLEFINANCE(A27,""price"",TODAY()-500,TODAY()),1,0),""select Col2 limit 200""))"),644.2154999999998)</f>
        <v>644.2155</v>
      </c>
      <c r="F27" s="32" t="str">
        <f t="shared" si="1"/>
        <v>Unconfirmed</v>
      </c>
      <c r="G27" s="33">
        <f t="shared" si="2"/>
        <v>-18.3813491</v>
      </c>
    </row>
    <row r="28">
      <c r="A28" s="37" t="s">
        <v>44</v>
      </c>
      <c r="B28" s="38">
        <f>IFERROR(__xludf.DUMMYFUNCTION("GOOGLEFINANCE(A28,""price"")"),205.92)</f>
        <v>205.92</v>
      </c>
      <c r="C28" s="39">
        <f>IFERROR(__xludf.DUMMYFUNCTION("AVERAGE(QUERY(SORT(GOOGLEFINANCE(A28,""price"",TODAY()-150,TODAY()),1,0),""select Col2 limit 50""))"),197.9366)</f>
        <v>197.9366</v>
      </c>
      <c r="D28" s="39">
        <f>IFERROR(__xludf.DUMMYFUNCTION("AVERAGE(QUERY(SORT(GOOGLEFINANCE(A28,""price"",TODAY()-300,TODAY()),1,0),""select Col2 limit 100""))"),216.5356)</f>
        <v>216.5356</v>
      </c>
      <c r="E28" s="39">
        <f>IFERROR(__xludf.DUMMYFUNCTION("AVERAGE(QUERY(SORT(GOOGLEFINANCE(A28,""price"",TODAY()-500,TODAY()),1,0),""select Col2 limit 200""))"),232.3936999999999)</f>
        <v>232.3937</v>
      </c>
      <c r="F28" s="32" t="str">
        <f t="shared" si="1"/>
        <v>Unconfirmed</v>
      </c>
      <c r="G28" s="33">
        <f t="shared" si="2"/>
        <v>-11.39174599</v>
      </c>
    </row>
    <row r="29">
      <c r="A29" s="37" t="s">
        <v>45</v>
      </c>
      <c r="B29" s="38">
        <f>IFERROR(__xludf.DUMMYFUNCTION("GOOGLEFINANCE(A29,""price"")"),525.4)</f>
        <v>525.4</v>
      </c>
      <c r="C29" s="39">
        <f>IFERROR(__xludf.DUMMYFUNCTION("AVERAGE(QUERY(SORT(GOOGLEFINANCE(A29,""price"",TODAY()-150,TODAY()),1,0),""select Col2 limit 50""))"),460.7230000000002)</f>
        <v>460.723</v>
      </c>
      <c r="D29" s="39">
        <f>IFERROR(__xludf.DUMMYFUNCTION("AVERAGE(QUERY(SORT(GOOGLEFINANCE(A29,""price"",TODAY()-300,TODAY()),1,0),""select Col2 limit 100""))"),474.23300000000035)</f>
        <v>474.233</v>
      </c>
      <c r="E29" s="39">
        <f>IFERROR(__xludf.DUMMYFUNCTION("AVERAGE(QUERY(SORT(GOOGLEFINANCE(A29,""price"",TODAY()-500,TODAY()),1,0),""select Col2 limit 200""))"),509.9262500000002)</f>
        <v>509.92625</v>
      </c>
      <c r="F29" s="32" t="str">
        <f t="shared" si="1"/>
        <v>In Bull Run</v>
      </c>
      <c r="G29" s="33">
        <f t="shared" si="2"/>
        <v>3.034507441</v>
      </c>
    </row>
    <row r="30">
      <c r="A30" s="37" t="s">
        <v>46</v>
      </c>
      <c r="B30" s="38">
        <f>IFERROR(__xludf.DUMMYFUNCTION("GOOGLEFINANCE(A30,""price"")"),129.79)</f>
        <v>129.79</v>
      </c>
      <c r="C30" s="39">
        <f>IFERROR(__xludf.DUMMYFUNCTION("AVERAGE(QUERY(SORT(GOOGLEFINANCE(A30,""price"",TODAY()-150,TODAY()),1,0),""select Col2 limit 50""))"),125.46559999999998)</f>
        <v>125.4656</v>
      </c>
      <c r="D30" s="39">
        <f>IFERROR(__xludf.DUMMYFUNCTION("AVERAGE(QUERY(SORT(GOOGLEFINANCE(A30,""price"",TODAY()-300,TODAY()),1,0),""select Col2 limit 100""))"),127.9509)</f>
        <v>127.9509</v>
      </c>
      <c r="E30" s="39">
        <f>IFERROR(__xludf.DUMMYFUNCTION("AVERAGE(QUERY(SORT(GOOGLEFINANCE(A30,""price"",TODAY()-500,TODAY()),1,0),""select Col2 limit 200""))"),137.17684999999992)</f>
        <v>137.17685</v>
      </c>
      <c r="F30" s="32" t="str">
        <f t="shared" si="1"/>
        <v>Unconfirmed</v>
      </c>
      <c r="G30" s="33">
        <f t="shared" si="2"/>
        <v>-5.384910063</v>
      </c>
    </row>
    <row r="31">
      <c r="A31" s="37" t="s">
        <v>47</v>
      </c>
      <c r="B31" s="38">
        <f>IFERROR(__xludf.DUMMYFUNCTION("GOOGLEFINANCE(A31,""price"")"),769.55)</f>
        <v>769.55</v>
      </c>
      <c r="C31" s="39">
        <f>IFERROR(__xludf.DUMMYFUNCTION("AVERAGE(QUERY(SORT(GOOGLEFINANCE(A31,""price"",TODAY()-150,TODAY()),1,0),""select Col2 limit 50""))"),592.5290000000001)</f>
        <v>592.529</v>
      </c>
      <c r="D31" s="39">
        <f>IFERROR(__xludf.DUMMYFUNCTION("AVERAGE(QUERY(SORT(GOOGLEFINANCE(A31,""price"",TODAY()-300,TODAY()),1,0),""select Col2 limit 100""))"),563.9525000000001)</f>
        <v>563.9525</v>
      </c>
      <c r="E31" s="39">
        <f>IFERROR(__xludf.DUMMYFUNCTION("AVERAGE(QUERY(SORT(GOOGLEFINANCE(A31,""price"",TODAY()-500,TODAY()),1,0),""select Col2 limit 200""))"),588.5670000000003)</f>
        <v>588.567</v>
      </c>
      <c r="F31" s="32" t="str">
        <f t="shared" si="1"/>
        <v>Unconfirmed</v>
      </c>
      <c r="G31" s="33">
        <f t="shared" si="2"/>
        <v>30.7497702</v>
      </c>
    </row>
    <row r="32">
      <c r="A32" s="37" t="s">
        <v>48</v>
      </c>
      <c r="B32" s="38">
        <f>IFERROR(__xludf.DUMMYFUNCTION("GOOGLEFINANCE(A32,""price"")"),4492.4)</f>
        <v>4492.4</v>
      </c>
      <c r="C32" s="39">
        <f>IFERROR(__xludf.DUMMYFUNCTION("AVERAGE(QUERY(SORT(GOOGLEFINANCE(A32,""price"",TODAY()-150,TODAY()),1,0),""select Col2 limit 50""))"),4359.678)</f>
        <v>4359.678</v>
      </c>
      <c r="D32" s="39">
        <f>IFERROR(__xludf.DUMMYFUNCTION("AVERAGE(QUERY(SORT(GOOGLEFINANCE(A32,""price"",TODAY()-300,TODAY()),1,0),""select Col2 limit 100""))"),4601.279)</f>
        <v>4601.279</v>
      </c>
      <c r="E32" s="39">
        <f>IFERROR(__xludf.DUMMYFUNCTION("AVERAGE(QUERY(SORT(GOOGLEFINANCE(A32,""price"",TODAY()-500,TODAY()),1,0),""select Col2 limit 200""))"),5138.1445)</f>
        <v>5138.1445</v>
      </c>
      <c r="F32" s="32" t="str">
        <f t="shared" si="1"/>
        <v>Unconfirmed</v>
      </c>
      <c r="G32" s="33">
        <f t="shared" si="2"/>
        <v>-12.5676594</v>
      </c>
    </row>
    <row r="33">
      <c r="A33" s="37" t="s">
        <v>49</v>
      </c>
      <c r="B33" s="38">
        <f>IFERROR(__xludf.DUMMYFUNCTION("GOOGLEFINANCE(A33,""price"")"),242.05)</f>
        <v>242.05</v>
      </c>
      <c r="C33" s="39">
        <f>IFERROR(__xludf.DUMMYFUNCTION("AVERAGE(QUERY(SORT(GOOGLEFINANCE(A33,""price"",TODAY()-150,TODAY()),1,0),""select Col2 limit 50""))"),239.63860000000008)</f>
        <v>239.6386</v>
      </c>
      <c r="D33" s="39">
        <f>IFERROR(__xludf.DUMMYFUNCTION("AVERAGE(QUERY(SORT(GOOGLEFINANCE(A33,""price"",TODAY()-300,TODAY()),1,0),""select Col2 limit 100""))"),254.03530000000006)</f>
        <v>254.0353</v>
      </c>
      <c r="E33" s="39">
        <f>IFERROR(__xludf.DUMMYFUNCTION("AVERAGE(QUERY(SORT(GOOGLEFINANCE(A33,""price"",TODAY()-500,TODAY()),1,0),""select Col2 limit 200""))"),281.7596499999999)</f>
        <v>281.75965</v>
      </c>
      <c r="F33" s="32" t="str">
        <f t="shared" si="1"/>
        <v>Unconfirmed</v>
      </c>
      <c r="G33" s="33">
        <f t="shared" si="2"/>
        <v>-14.09344809</v>
      </c>
    </row>
    <row r="34">
      <c r="A34" s="37" t="s">
        <v>50</v>
      </c>
      <c r="B34" s="38">
        <f>IFERROR(__xludf.DUMMYFUNCTION("GOOGLEFINANCE(A34,""price"")"),936.7)</f>
        <v>936.7</v>
      </c>
      <c r="C34" s="39">
        <f>IFERROR(__xludf.DUMMYFUNCTION("AVERAGE(QUERY(SORT(GOOGLEFINANCE(A34,""price"",TODAY()-150,TODAY()),1,0),""select Col2 limit 50""))"),895.9039999999998)</f>
        <v>895.904</v>
      </c>
      <c r="D34" s="39">
        <f>IFERROR(__xludf.DUMMYFUNCTION("AVERAGE(QUERY(SORT(GOOGLEFINANCE(A34,""price"",TODAY()-300,TODAY()),1,0),""select Col2 limit 100""))"),895.882)</f>
        <v>895.882</v>
      </c>
      <c r="E34" s="39">
        <f>IFERROR(__xludf.DUMMYFUNCTION("AVERAGE(QUERY(SORT(GOOGLEFINANCE(A34,""price"",TODAY()-500,TODAY()),1,0),""select Col2 limit 200""))"),965.6672500000001)</f>
        <v>965.66725</v>
      </c>
      <c r="F34" s="32" t="str">
        <f t="shared" si="1"/>
        <v>Unconfirmed</v>
      </c>
      <c r="G34" s="33">
        <f t="shared" si="2"/>
        <v>-2.999713411</v>
      </c>
    </row>
    <row r="35">
      <c r="A35" s="37" t="s">
        <v>51</v>
      </c>
      <c r="B35" s="38">
        <f>IFERROR(__xludf.DUMMYFUNCTION("GOOGLEFINANCE(A35,""price"")"),99.54)</f>
        <v>99.54</v>
      </c>
      <c r="C35" s="39">
        <f>IFERROR(__xludf.DUMMYFUNCTION("AVERAGE(QUERY(SORT(GOOGLEFINANCE(A35,""price"",TODAY()-150,TODAY()),1,0),""select Col2 limit 50""))"),99.46019999999994)</f>
        <v>99.4602</v>
      </c>
      <c r="D35" s="39">
        <f>IFERROR(__xludf.DUMMYFUNCTION("AVERAGE(QUERY(SORT(GOOGLEFINANCE(A35,""price"",TODAY()-300,TODAY()),1,0),""select Col2 limit 100""))"),107.45889999999997)</f>
        <v>107.4589</v>
      </c>
      <c r="E35" s="39">
        <f>IFERROR(__xludf.DUMMYFUNCTION("AVERAGE(QUERY(SORT(GOOGLEFINANCE(A35,""price"",TODAY()-500,TODAY()),1,0),""select Col2 limit 200""))"),114.89535000000005)</f>
        <v>114.89535</v>
      </c>
      <c r="F35" s="32" t="str">
        <f t="shared" si="1"/>
        <v>Unconfirmed</v>
      </c>
      <c r="G35" s="33">
        <f t="shared" si="2"/>
        <v>-13.36464008</v>
      </c>
    </row>
    <row r="36">
      <c r="A36" s="37" t="s">
        <v>52</v>
      </c>
      <c r="B36" s="38">
        <f>IFERROR(__xludf.DUMMYFUNCTION("GOOGLEFINANCE(A36,""price"")"),430.15)</f>
        <v>430.15</v>
      </c>
      <c r="C36" s="39">
        <f>IFERROR(__xludf.DUMMYFUNCTION("AVERAGE(QUERY(SORT(GOOGLEFINANCE(A36,""price"",TODAY()-150,TODAY()),1,0),""select Col2 limit 50""))"),459.0309999999999)</f>
        <v>459.031</v>
      </c>
      <c r="D36" s="39">
        <f>IFERROR(__xludf.DUMMYFUNCTION("AVERAGE(QUERY(SORT(GOOGLEFINANCE(A36,""price"",TODAY()-300,TODAY()),1,0),""select Col2 limit 100""))"),491.8970000000001)</f>
        <v>491.897</v>
      </c>
      <c r="E36" s="39">
        <f>IFERROR(__xludf.DUMMYFUNCTION("AVERAGE(QUERY(SORT(GOOGLEFINANCE(A36,""price"",TODAY()-500,TODAY()),1,0),""select Col2 limit 200""))"),551.3807499999998)</f>
        <v>551.38075</v>
      </c>
      <c r="F36" s="32" t="str">
        <f t="shared" si="1"/>
        <v>Unconfirmed</v>
      </c>
      <c r="G36" s="33">
        <f t="shared" si="2"/>
        <v>-21.98675779</v>
      </c>
    </row>
    <row r="37">
      <c r="A37" s="37" t="s">
        <v>53</v>
      </c>
      <c r="B37" s="38">
        <f>IFERROR(__xludf.DUMMYFUNCTION("GOOGLEFINANCE(A37,""price"")"),1789.2)</f>
        <v>1789.2</v>
      </c>
      <c r="C37" s="39">
        <f>IFERROR(__xludf.DUMMYFUNCTION("AVERAGE(QUERY(SORT(GOOGLEFINANCE(A37,""price"",TODAY()-150,TODAY()),1,0),""select Col2 limit 50""))"),1589.7579999999998)</f>
        <v>1589.758</v>
      </c>
      <c r="D37" s="39">
        <f>IFERROR(__xludf.DUMMYFUNCTION("AVERAGE(QUERY(SORT(GOOGLEFINANCE(A37,""price"",TODAY()-300,TODAY()),1,0),""select Col2 limit 100""))"),1601.2699999999995)</f>
        <v>1601.27</v>
      </c>
      <c r="E37" s="39">
        <f>IFERROR(__xludf.DUMMYFUNCTION("AVERAGE(QUERY(SORT(GOOGLEFINANCE(A37,""price"",TODAY()-500,TODAY()),1,0),""select Col2 limit 200""))"),1700.611)</f>
        <v>1700.611</v>
      </c>
      <c r="F37" s="32" t="str">
        <f t="shared" si="1"/>
        <v>In Bull Run</v>
      </c>
      <c r="G37" s="33">
        <f t="shared" si="2"/>
        <v>5.209245383</v>
      </c>
    </row>
    <row r="38">
      <c r="A38" s="37" t="s">
        <v>54</v>
      </c>
      <c r="B38" s="38">
        <f>IFERROR(__xludf.DUMMYFUNCTION("GOOGLEFINANCE(A38,""price"")"),207.16)</f>
        <v>207.16</v>
      </c>
      <c r="C38" s="39">
        <f>IFERROR(__xludf.DUMMYFUNCTION("AVERAGE(QUERY(SORT(GOOGLEFINANCE(A38,""price"",TODAY()-150,TODAY()),1,0),""select Col2 limit 50""))"),195.2604)</f>
        <v>195.2604</v>
      </c>
      <c r="D38" s="39">
        <f>IFERROR(__xludf.DUMMYFUNCTION("AVERAGE(QUERY(SORT(GOOGLEFINANCE(A38,""price"",TODAY()-300,TODAY()),1,0),""select Col2 limit 100""))"),198.58360000000008)</f>
        <v>198.5836</v>
      </c>
      <c r="E38" s="39">
        <f>IFERROR(__xludf.DUMMYFUNCTION("AVERAGE(QUERY(SORT(GOOGLEFINANCE(A38,""price"",TODAY()-500,TODAY()),1,0),""select Col2 limit 200""))"),210.71444999999997)</f>
        <v>210.71445</v>
      </c>
      <c r="F38" s="32" t="str">
        <f t="shared" si="1"/>
        <v>Unconfirmed</v>
      </c>
      <c r="G38" s="33">
        <f t="shared" si="2"/>
        <v>-1.686856312</v>
      </c>
    </row>
    <row r="39">
      <c r="A39" s="37" t="s">
        <v>55</v>
      </c>
      <c r="B39" s="38">
        <f>IFERROR(__xludf.DUMMYFUNCTION("GOOGLEFINANCE(A39,""price"")"),253.97)</f>
        <v>253.97</v>
      </c>
      <c r="C39" s="39">
        <f>IFERROR(__xludf.DUMMYFUNCTION("AVERAGE(QUERY(SORT(GOOGLEFINANCE(A39,""price"",TODAY()-150,TODAY()),1,0),""select Col2 limit 50""))"),242.097)</f>
        <v>242.097</v>
      </c>
      <c r="D39" s="39">
        <f>IFERROR(__xludf.DUMMYFUNCTION("AVERAGE(QUERY(SORT(GOOGLEFINANCE(A39,""price"",TODAY()-300,TODAY()),1,0),""select Col2 limit 100""))"),258.65389999999985)</f>
        <v>258.6539</v>
      </c>
      <c r="E39" s="39">
        <f>IFERROR(__xludf.DUMMYFUNCTION("AVERAGE(QUERY(SORT(GOOGLEFINANCE(A39,""price"",TODAY()-500,TODAY()),1,0),""select Col2 limit 200""))"),287.47894999999994)</f>
        <v>287.47895</v>
      </c>
      <c r="F39" s="32" t="str">
        <f t="shared" si="1"/>
        <v>Unconfirmed</v>
      </c>
      <c r="G39" s="33">
        <f t="shared" si="2"/>
        <v>-11.65614039</v>
      </c>
    </row>
    <row r="40">
      <c r="A40" s="37" t="s">
        <v>56</v>
      </c>
      <c r="B40" s="38">
        <f>IFERROR(__xludf.DUMMYFUNCTION("GOOGLEFINANCE(A40,""price"")"),1798.1)</f>
        <v>1798.1</v>
      </c>
      <c r="C40" s="39">
        <f>IFERROR(__xludf.DUMMYFUNCTION("AVERAGE(QUERY(SORT(GOOGLEFINANCE(A40,""price"",TODAY()-150,TODAY()),1,0),""select Col2 limit 50""))"),1700.4699999999998)</f>
        <v>1700.47</v>
      </c>
      <c r="D40" s="39">
        <f>IFERROR(__xludf.DUMMYFUNCTION("AVERAGE(QUERY(SORT(GOOGLEFINANCE(A40,""price"",TODAY()-300,TODAY()),1,0),""select Col2 limit 100""))"),1753.9749999999997)</f>
        <v>1753.975</v>
      </c>
      <c r="E40" s="39">
        <f>IFERROR(__xludf.DUMMYFUNCTION("AVERAGE(QUERY(SORT(GOOGLEFINANCE(A40,""price"",TODAY()-500,TODAY()),1,0),""select Col2 limit 200""))"),1918.5254999999993)</f>
        <v>1918.5255</v>
      </c>
      <c r="F40" s="32" t="str">
        <f t="shared" si="1"/>
        <v>Unconfirmed</v>
      </c>
      <c r="G40" s="33">
        <f t="shared" si="2"/>
        <v>-6.276981984</v>
      </c>
    </row>
    <row r="41">
      <c r="A41" s="37" t="s">
        <v>57</v>
      </c>
      <c r="B41" s="38">
        <f>IFERROR(__xludf.DUMMYFUNCTION("GOOGLEFINANCE(A41,""price"")"),10292.5)</f>
        <v>10292.5</v>
      </c>
      <c r="C41" s="39">
        <f>IFERROR(__xludf.DUMMYFUNCTION("AVERAGE(QUERY(SORT(GOOGLEFINANCE(A41,""price"",TODAY()-150,TODAY()),1,0),""select Col2 limit 50""))"),8134.32)</f>
        <v>8134.32</v>
      </c>
      <c r="D41" s="39">
        <f>IFERROR(__xludf.DUMMYFUNCTION("AVERAGE(QUERY(SORT(GOOGLEFINANCE(A41,""price"",TODAY()-300,TODAY()),1,0),""select Col2 limit 100""))"),7737.47)</f>
        <v>7737.47</v>
      </c>
      <c r="E41" s="39">
        <f>IFERROR(__xludf.DUMMYFUNCTION("AVERAGE(QUERY(SORT(GOOGLEFINANCE(A41,""price"",TODAY()-500,TODAY()),1,0),""select Col2 limit 200""))"),8113.4975)</f>
        <v>8113.4975</v>
      </c>
      <c r="F41" s="32" t="str">
        <f t="shared" si="1"/>
        <v>Unconfirmed</v>
      </c>
      <c r="G41" s="33">
        <f t="shared" si="2"/>
        <v>26.85651287</v>
      </c>
    </row>
    <row r="42">
      <c r="A42" s="37" t="s">
        <v>58</v>
      </c>
      <c r="B42" s="38">
        <f>IFERROR(__xludf.DUMMYFUNCTION("GOOGLEFINANCE(A42,""price"")"),898.4)</f>
        <v>898.4</v>
      </c>
      <c r="C42" s="39">
        <f>IFERROR(__xludf.DUMMYFUNCTION("AVERAGE(QUERY(SORT(GOOGLEFINANCE(A42,""price"",TODAY()-150,TODAY()),1,0),""select Col2 limit 50""))"),772.9960000000001)</f>
        <v>772.996</v>
      </c>
      <c r="D42" s="39">
        <f>IFERROR(__xludf.DUMMYFUNCTION("AVERAGE(QUERY(SORT(GOOGLEFINANCE(A42,""price"",TODAY()-300,TODAY()),1,0),""select Col2 limit 100""))"),780.0765000000001)</f>
        <v>780.0765</v>
      </c>
      <c r="E42" s="39">
        <f>IFERROR(__xludf.DUMMYFUNCTION("AVERAGE(QUERY(SORT(GOOGLEFINANCE(A42,""price"",TODAY()-500,TODAY()),1,0),""select Col2 limit 200""))"),858.2707499999997)</f>
        <v>858.27075</v>
      </c>
      <c r="F42" s="32" t="str">
        <f t="shared" si="1"/>
        <v>In Bull Run</v>
      </c>
      <c r="G42" s="33">
        <f t="shared" si="2"/>
        <v>4.675593337</v>
      </c>
    </row>
    <row r="43">
      <c r="A43" s="37" t="s">
        <v>59</v>
      </c>
      <c r="B43" s="38">
        <f>IFERROR(__xludf.DUMMYFUNCTION("GOOGLEFINANCE(A43,""price"")"),2252.1)</f>
        <v>2252.1</v>
      </c>
      <c r="C43" s="39">
        <f>IFERROR(__xludf.DUMMYFUNCTION("AVERAGE(QUERY(SORT(GOOGLEFINANCE(A43,""price"",TODAY()-150,TODAY()),1,0),""select Col2 limit 50""))"),2215.380000000001)</f>
        <v>2215.38</v>
      </c>
      <c r="D43" s="39">
        <f>IFERROR(__xludf.DUMMYFUNCTION("AVERAGE(QUERY(SORT(GOOGLEFINANCE(A43,""price"",TODAY()-300,TODAY()),1,0),""select Col2 limit 100""))"),2422.014000000001)</f>
        <v>2422.014</v>
      </c>
      <c r="E43" s="39">
        <f>IFERROR(__xludf.DUMMYFUNCTION("AVERAGE(QUERY(SORT(GOOGLEFINANCE(A43,""price"",TODAY()-500,TODAY()),1,0),""select Col2 limit 200""))"),2615.694000000002)</f>
        <v>2615.694</v>
      </c>
      <c r="F43" s="32" t="str">
        <f t="shared" si="1"/>
        <v>Unconfirmed</v>
      </c>
      <c r="G43" s="33">
        <f t="shared" si="2"/>
        <v>-13.90047918</v>
      </c>
    </row>
    <row r="44">
      <c r="A44" s="37" t="s">
        <v>60</v>
      </c>
      <c r="B44" s="38">
        <f>IFERROR(__xludf.DUMMYFUNCTION("GOOGLEFINANCE(A44,""price"")"),2280.2)</f>
        <v>2280.2</v>
      </c>
      <c r="C44" s="39">
        <f>IFERROR(__xludf.DUMMYFUNCTION("AVERAGE(QUERY(SORT(GOOGLEFINANCE(A44,""price"",TODAY()-150,TODAY()),1,0),""select Col2 limit 50""))"),2423.1579999999994)</f>
        <v>2423.158</v>
      </c>
      <c r="D44" s="39">
        <f>IFERROR(__xludf.DUMMYFUNCTION("AVERAGE(QUERY(SORT(GOOGLEFINANCE(A44,""price"",TODAY()-300,TODAY()),1,0),""select Col2 limit 100""))"),2696.666)</f>
        <v>2696.666</v>
      </c>
      <c r="E44" s="39">
        <f>IFERROR(__xludf.DUMMYFUNCTION("AVERAGE(QUERY(SORT(GOOGLEFINANCE(A44,""price"",TODAY()-500,TODAY()),1,0),""select Col2 limit 200""))"),2892.2495000000026)</f>
        <v>2892.2495</v>
      </c>
      <c r="F44" s="32" t="str">
        <f t="shared" si="1"/>
        <v>Unconfirmed</v>
      </c>
      <c r="G44" s="33">
        <f t="shared" si="2"/>
        <v>-21.16171167</v>
      </c>
    </row>
    <row r="45">
      <c r="A45" s="37" t="s">
        <v>61</v>
      </c>
      <c r="B45" s="38">
        <f>IFERROR(__xludf.DUMMYFUNCTION("GOOGLEFINANCE(A45,""price"")"),75.99)</f>
        <v>75.99</v>
      </c>
      <c r="C45" s="39">
        <f>IFERROR(__xludf.DUMMYFUNCTION("AVERAGE(QUERY(SORT(GOOGLEFINANCE(A45,""price"",TODAY()-150,TODAY()),1,0),""select Col2 limit 50""))"),73.71979999999999)</f>
        <v>73.7198</v>
      </c>
      <c r="D45" s="39">
        <f>IFERROR(__xludf.DUMMYFUNCTION("AVERAGE(QUERY(SORT(GOOGLEFINANCE(A45,""price"",TODAY()-300,TODAY()),1,0),""select Col2 limit 100""))"),74.33330000000001)</f>
        <v>74.3333</v>
      </c>
      <c r="E45" s="39">
        <f>IFERROR(__xludf.DUMMYFUNCTION("AVERAGE(QUERY(SORT(GOOGLEFINANCE(A45,""price"",TODAY()-500,TODAY()),1,0),""select Col2 limit 200""))"),80.73084999999999)</f>
        <v>80.73085</v>
      </c>
      <c r="F45" s="32" t="str">
        <f t="shared" si="1"/>
        <v>Unconfirmed</v>
      </c>
      <c r="G45" s="33">
        <f t="shared" si="2"/>
        <v>-5.872414325</v>
      </c>
    </row>
    <row r="46">
      <c r="A46" s="37" t="s">
        <v>62</v>
      </c>
      <c r="B46" s="38">
        <f>IFERROR(__xludf.DUMMYFUNCTION("GOOGLEFINANCE(A46,""price"")"),5093.0)</f>
        <v>5093</v>
      </c>
      <c r="C46" s="39">
        <f>IFERROR(__xludf.DUMMYFUNCTION("AVERAGE(QUERY(SORT(GOOGLEFINANCE(A46,""price"",TODAY()-150,TODAY()),1,0),""select Col2 limit 50""))"),4990.95)</f>
        <v>4990.95</v>
      </c>
      <c r="D46" s="39">
        <f>IFERROR(__xludf.DUMMYFUNCTION("AVERAGE(QUERY(SORT(GOOGLEFINANCE(A46,""price"",TODAY()-300,TODAY()),1,0),""select Col2 limit 100""))"),5382.857)</f>
        <v>5382.857</v>
      </c>
      <c r="E46" s="39">
        <f>IFERROR(__xludf.DUMMYFUNCTION("AVERAGE(QUERY(SORT(GOOGLEFINANCE(A46,""price"",TODAY()-500,TODAY()),1,0),""select Col2 limit 200""))"),5536.457499999999)</f>
        <v>5536.4575</v>
      </c>
      <c r="F46" s="32" t="str">
        <f t="shared" si="1"/>
        <v>Unconfirmed</v>
      </c>
      <c r="G46" s="33">
        <f t="shared" si="2"/>
        <v>-8.009769785</v>
      </c>
    </row>
    <row r="47">
      <c r="A47" s="37" t="s">
        <v>63</v>
      </c>
      <c r="B47" s="38">
        <f>IFERROR(__xludf.DUMMYFUNCTION("GOOGLEFINANCE(A47,""price"")"),36160.0)</f>
        <v>36160</v>
      </c>
      <c r="C47" s="39">
        <f>IFERROR(__xludf.DUMMYFUNCTION("AVERAGE(QUERY(SORT(GOOGLEFINANCE(A47,""price"",TODAY()-150,TODAY()),1,0),""select Col2 limit 50""))"),29989.5)</f>
        <v>29989.5</v>
      </c>
      <c r="D47" s="39">
        <f>IFERROR(__xludf.DUMMYFUNCTION("AVERAGE(QUERY(SORT(GOOGLEFINANCE(A47,""price"",TODAY()-300,TODAY()),1,0),""select Col2 limit 100""))"),31148.65)</f>
        <v>31148.65</v>
      </c>
      <c r="E47" s="39">
        <f>IFERROR(__xludf.DUMMYFUNCTION("AVERAGE(QUERY(SORT(GOOGLEFINANCE(A47,""price"",TODAY()-500,TODAY()),1,0),""select Col2 limit 200""))"),33668.925)</f>
        <v>33668.925</v>
      </c>
      <c r="F47" s="32" t="str">
        <f t="shared" si="1"/>
        <v>In Bull Run</v>
      </c>
      <c r="G47" s="33">
        <f t="shared" si="2"/>
        <v>7.398736372</v>
      </c>
    </row>
    <row r="48">
      <c r="A48" s="37" t="s">
        <v>64</v>
      </c>
      <c r="B48" s="38">
        <f>IFERROR(__xludf.DUMMYFUNCTION("GOOGLEFINANCE(A48,""price"")"),121.88)</f>
        <v>121.88</v>
      </c>
      <c r="C48" s="39">
        <f>IFERROR(__xludf.DUMMYFUNCTION("AVERAGE(QUERY(SORT(GOOGLEFINANCE(A48,""price"",TODAY()-150,TODAY()),1,0),""select Col2 limit 50""))"),116.04040000000003)</f>
        <v>116.0404</v>
      </c>
      <c r="D48" s="39">
        <f>IFERROR(__xludf.DUMMYFUNCTION("AVERAGE(QUERY(SORT(GOOGLEFINANCE(A48,""price"",TODAY()-300,TODAY()),1,0),""select Col2 limit 100""))"),120.15520000000002)</f>
        <v>120.1552</v>
      </c>
      <c r="E48" s="39">
        <f>IFERROR(__xludf.DUMMYFUNCTION("AVERAGE(QUERY(SORT(GOOGLEFINANCE(A48,""price"",TODAY()-500,TODAY()),1,0),""select Col2 limit 200""))"),131.72874999999993)</f>
        <v>131.72875</v>
      </c>
      <c r="F48" s="32" t="str">
        <f t="shared" si="1"/>
        <v>Unconfirmed</v>
      </c>
      <c r="G48" s="33">
        <f t="shared" si="2"/>
        <v>-7.476537962</v>
      </c>
    </row>
    <row r="49">
      <c r="A49" s="37" t="s">
        <v>65</v>
      </c>
      <c r="B49" s="38">
        <f>IFERROR(__xludf.DUMMYFUNCTION("GOOGLEFINANCE(A49,""price"")"),1136.25)</f>
        <v>1136.25</v>
      </c>
      <c r="C49" s="39">
        <f>IFERROR(__xludf.DUMMYFUNCTION("AVERAGE(QUERY(SORT(GOOGLEFINANCE(A49,""price"",TODAY()-150,TODAY()),1,0),""select Col2 limit 50""))"),960.209)</f>
        <v>960.209</v>
      </c>
      <c r="D49" s="39">
        <f>IFERROR(__xludf.DUMMYFUNCTION("AVERAGE(QUERY(SORT(GOOGLEFINANCE(A49,""price"",TODAY()-300,TODAY()),1,0),""select Col2 limit 100""))"),979.303)</f>
        <v>979.303</v>
      </c>
      <c r="E49" s="39">
        <f>IFERROR(__xludf.DUMMYFUNCTION("AVERAGE(QUERY(SORT(GOOGLEFINANCE(A49,""price"",TODAY()-500,TODAY()),1,0),""select Col2 limit 200""))"),1049.1155000000003)</f>
        <v>1049.1155</v>
      </c>
      <c r="F49" s="32" t="str">
        <f t="shared" si="1"/>
        <v>In Bull Run</v>
      </c>
      <c r="G49" s="33">
        <f t="shared" si="2"/>
        <v>8.305520222</v>
      </c>
    </row>
    <row r="50">
      <c r="A50" s="37" t="s">
        <v>66</v>
      </c>
      <c r="B50" s="38">
        <f>IFERROR(__xludf.DUMMYFUNCTION("GOOGLEFINANCE(A50,""price"")"),1421.7)</f>
        <v>1421.7</v>
      </c>
      <c r="C50" s="39">
        <f>IFERROR(__xludf.DUMMYFUNCTION("AVERAGE(QUERY(SORT(GOOGLEFINANCE(A50,""price"",TODAY()-150,TODAY()),1,0),""select Col2 limit 50""))"),1387.2279999999998)</f>
        <v>1387.228</v>
      </c>
      <c r="D50" s="39">
        <f>IFERROR(__xludf.DUMMYFUNCTION("AVERAGE(QUERY(SORT(GOOGLEFINANCE(A50,""price"",TODAY()-300,TODAY()),1,0),""select Col2 limit 100""))"),1526.0480000000002)</f>
        <v>1526.048</v>
      </c>
      <c r="E50" s="39">
        <f>IFERROR(__xludf.DUMMYFUNCTION("AVERAGE(QUERY(SORT(GOOGLEFINANCE(A50,""price"",TODAY()-500,TODAY()),1,0),""select Col2 limit 200""))"),1679.0135000000002)</f>
        <v>1679.0135</v>
      </c>
      <c r="F50" s="32" t="str">
        <f t="shared" si="1"/>
        <v>Unconfirmed</v>
      </c>
      <c r="G50" s="33">
        <f t="shared" si="2"/>
        <v>-15.3252788</v>
      </c>
    </row>
    <row r="51">
      <c r="A51" s="37" t="s">
        <v>67</v>
      </c>
      <c r="B51" s="38">
        <f>IFERROR(__xludf.DUMMYFUNCTION("GOOGLEFINANCE(A51,""price"")"),255.5)</f>
        <v>255.5</v>
      </c>
      <c r="C51" s="39">
        <f>IFERROR(__xludf.DUMMYFUNCTION("AVERAGE(QUERY(SORT(GOOGLEFINANCE(A51,""price"",TODAY()-150,TODAY()),1,0),""select Col2 limit 50""))"),280.995)</f>
        <v>280.995</v>
      </c>
      <c r="D51" s="39">
        <f>IFERROR(__xludf.DUMMYFUNCTION("AVERAGE(QUERY(SORT(GOOGLEFINANCE(A51,""price"",TODAY()-300,TODAY()),1,0),""select Col2 limit 100""))"),303.324)</f>
        <v>303.324</v>
      </c>
      <c r="E51" s="39">
        <f>IFERROR(__xludf.DUMMYFUNCTION("AVERAGE(QUERY(SORT(GOOGLEFINANCE(A51,""price"",TODAY()-500,TODAY()),1,0),""select Col2 limit 200""))"),316.84200000000016)</f>
        <v>316.842</v>
      </c>
      <c r="F51" s="32" t="str">
        <f t="shared" si="1"/>
        <v>Unconfirmed</v>
      </c>
      <c r="G51" s="33">
        <f t="shared" si="2"/>
        <v>-19.36043833</v>
      </c>
    </row>
    <row r="52">
      <c r="A52" s="37" t="s">
        <v>68</v>
      </c>
      <c r="B52" s="38">
        <f>IFERROR(__xludf.DUMMYFUNCTION("GOOGLEFINANCE(A52,""price"")"),10080.0)</f>
        <v>10080</v>
      </c>
      <c r="C52" s="39">
        <f>IFERROR(__xludf.DUMMYFUNCTION("AVERAGE(QUERY(SORT(GOOGLEFINANCE(A52,""price"",TODAY()-150,TODAY()),1,0),""select Col2 limit 50""))"),9911.1)</f>
        <v>9911.1</v>
      </c>
      <c r="D52" s="39">
        <f>IFERROR(__xludf.DUMMYFUNCTION("AVERAGE(QUERY(SORT(GOOGLEFINANCE(A52,""price"",TODAY()-300,TODAY()),1,0),""select Col2 limit 100""))"),10937.5)</f>
        <v>10937.5</v>
      </c>
      <c r="E52" s="39">
        <f>IFERROR(__xludf.DUMMYFUNCTION("AVERAGE(QUERY(SORT(GOOGLEFINANCE(A52,""price"",TODAY()-500,TODAY()),1,0),""select Col2 limit 200""))"),12132.6)</f>
        <v>12132.6</v>
      </c>
      <c r="F52" s="32" t="str">
        <f t="shared" si="1"/>
        <v>Unconfirmed</v>
      </c>
      <c r="G52" s="33">
        <f t="shared" si="2"/>
        <v>-16.91805549</v>
      </c>
    </row>
    <row r="53">
      <c r="A53" s="37" t="s">
        <v>69</v>
      </c>
      <c r="B53" s="38">
        <f>IFERROR(__xludf.DUMMYFUNCTION("GOOGLEFINANCE(A53,""price"")"),627.85)</f>
        <v>627.85</v>
      </c>
      <c r="C53" s="39">
        <f>IFERROR(__xludf.DUMMYFUNCTION("AVERAGE(QUERY(SORT(GOOGLEFINANCE(A53,""price"",TODAY()-150,TODAY()),1,0),""select Col2 limit 50""))"),660.565)</f>
        <v>660.565</v>
      </c>
      <c r="D53" s="39">
        <f>IFERROR(__xludf.DUMMYFUNCTION("AVERAGE(QUERY(SORT(GOOGLEFINANCE(A53,""price"",TODAY()-300,TODAY()),1,0),""select Col2 limit 100""))"),728.2109999999999)</f>
        <v>728.211</v>
      </c>
      <c r="E53" s="39">
        <f>IFERROR(__xludf.DUMMYFUNCTION("AVERAGE(QUERY(SORT(GOOGLEFINANCE(A53,""price"",TODAY()-500,TODAY()),1,0),""select Col2 limit 200""))"),795.3939999999999)</f>
        <v>795.394</v>
      </c>
      <c r="F53" s="32" t="str">
        <f t="shared" si="1"/>
        <v>Unconfirmed</v>
      </c>
      <c r="G53" s="33">
        <f t="shared" si="2"/>
        <v>-21.06427758</v>
      </c>
    </row>
    <row r="54">
      <c r="A54" s="37" t="s">
        <v>70</v>
      </c>
      <c r="B54" s="38">
        <f>IFERROR(__xludf.DUMMYFUNCTION("GOOGLEFINANCE(A54,""price"")"),1410.3)</f>
        <v>1410.3</v>
      </c>
      <c r="C54" s="39">
        <f>IFERROR(__xludf.DUMMYFUNCTION("AVERAGE(QUERY(SORT(GOOGLEFINANCE(A54,""price"",TODAY()-150,TODAY()),1,0),""select Col2 limit 50""))"),1331.4160000000004)</f>
        <v>1331.416</v>
      </c>
      <c r="D54" s="39">
        <f>IFERROR(__xludf.DUMMYFUNCTION("AVERAGE(QUERY(SORT(GOOGLEFINANCE(A54,""price"",TODAY()-300,TODAY()),1,0),""select Col2 limit 100""))"),1414.6400000000006)</f>
        <v>1414.64</v>
      </c>
      <c r="E54" s="39">
        <f>IFERROR(__xludf.DUMMYFUNCTION("AVERAGE(QUERY(SORT(GOOGLEFINANCE(A54,""price"",TODAY()-500,TODAY()),1,0),""select Col2 limit 200""))"),1526.3290000000006)</f>
        <v>1526.329</v>
      </c>
      <c r="F54" s="32" t="str">
        <f t="shared" si="1"/>
        <v>Unconfirmed</v>
      </c>
      <c r="G54" s="33">
        <f t="shared" si="2"/>
        <v>-7.601834205</v>
      </c>
    </row>
    <row r="55">
      <c r="A55" s="37" t="s">
        <v>71</v>
      </c>
      <c r="B55" s="38">
        <f>IFERROR(__xludf.DUMMYFUNCTION("GOOGLEFINANCE(A55,""price"")"),719.35)</f>
        <v>719.35</v>
      </c>
      <c r="C55" s="39">
        <f>IFERROR(__xludf.DUMMYFUNCTION("AVERAGE(QUERY(SORT(GOOGLEFINANCE(A55,""price"",TODAY()-150,TODAY()),1,0),""select Col2 limit 50""))"),584.2559999999999)</f>
        <v>584.256</v>
      </c>
      <c r="D55" s="39">
        <f>IFERROR(__xludf.DUMMYFUNCTION("AVERAGE(QUERY(SORT(GOOGLEFINANCE(A55,""price"",TODAY()-300,TODAY()),1,0),""select Col2 limit 100""))"),605.6019999999999)</f>
        <v>605.602</v>
      </c>
      <c r="E55" s="39">
        <f>IFERROR(__xludf.DUMMYFUNCTION("AVERAGE(QUERY(SORT(GOOGLEFINANCE(A55,""price"",TODAY()-500,TODAY()),1,0),""select Col2 limit 200""))"),643.7397500000001)</f>
        <v>643.73975</v>
      </c>
      <c r="F55" s="32" t="str">
        <f t="shared" si="1"/>
        <v>Unconfirmed</v>
      </c>
      <c r="G55" s="33">
        <f t="shared" si="2"/>
        <v>11.74546857</v>
      </c>
    </row>
    <row r="56">
      <c r="A56" s="37" t="s">
        <v>72</v>
      </c>
      <c r="B56" s="38">
        <f>IFERROR(__xludf.DUMMYFUNCTION("GOOGLEFINANCE(A56,""price"")"),663.5)</f>
        <v>663.5</v>
      </c>
      <c r="C56" s="39">
        <f>IFERROR(__xludf.DUMMYFUNCTION("AVERAGE(QUERY(SORT(GOOGLEFINANCE(A56,""price"",TODAY()-150,TODAY()),1,0),""select Col2 limit 50""))"),635.2080000000001)</f>
        <v>635.208</v>
      </c>
      <c r="D56" s="39">
        <f>IFERROR(__xludf.DUMMYFUNCTION("AVERAGE(QUERY(SORT(GOOGLEFINANCE(A56,""price"",TODAY()-300,TODAY()),1,0),""select Col2 limit 100""))"),659.3375)</f>
        <v>659.3375</v>
      </c>
      <c r="E56" s="39">
        <f>IFERROR(__xludf.DUMMYFUNCTION("AVERAGE(QUERY(SORT(GOOGLEFINANCE(A56,""price"",TODAY()-500,TODAY()),1,0),""select Col2 limit 200""))"),701.4429999999999)</f>
        <v>701.443</v>
      </c>
      <c r="F56" s="32" t="str">
        <f t="shared" si="1"/>
        <v>Unconfirmed</v>
      </c>
      <c r="G56" s="33">
        <f t="shared" si="2"/>
        <v>-5.409277732</v>
      </c>
    </row>
    <row r="57">
      <c r="A57" s="37" t="s">
        <v>73</v>
      </c>
      <c r="B57" s="38">
        <f>IFERROR(__xludf.DUMMYFUNCTION("GOOGLEFINANCE(A57,""price"")"),388.85)</f>
        <v>388.85</v>
      </c>
      <c r="C57" s="39">
        <f>IFERROR(__xludf.DUMMYFUNCTION("AVERAGE(QUERY(SORT(GOOGLEFINANCE(A57,""price"",TODAY()-150,TODAY()),1,0),""select Col2 limit 50""))"),329.352)</f>
        <v>329.352</v>
      </c>
      <c r="D57" s="39">
        <f>IFERROR(__xludf.DUMMYFUNCTION("AVERAGE(QUERY(SORT(GOOGLEFINANCE(A57,""price"",TODAY()-300,TODAY()),1,0),""select Col2 limit 100""))"),335.04150000000004)</f>
        <v>335.0415</v>
      </c>
      <c r="E57" s="39">
        <f>IFERROR(__xludf.DUMMYFUNCTION("AVERAGE(QUERY(SORT(GOOGLEFINANCE(A57,""price"",TODAY()-500,TODAY()),1,0),""select Col2 limit 200""))"),362.1177499999999)</f>
        <v>362.11775</v>
      </c>
      <c r="F57" s="32" t="str">
        <f t="shared" si="1"/>
        <v>In Bull Run</v>
      </c>
      <c r="G57" s="33">
        <f t="shared" si="2"/>
        <v>7.382198194</v>
      </c>
    </row>
    <row r="58">
      <c r="A58" s="37" t="s">
        <v>74</v>
      </c>
      <c r="B58" s="38">
        <f>IFERROR(__xludf.DUMMYFUNCTION("GOOGLEFINANCE(A58,""price"")"),1534.5)</f>
        <v>1534.5</v>
      </c>
      <c r="C58" s="39">
        <f>IFERROR(__xludf.DUMMYFUNCTION("AVERAGE(QUERY(SORT(GOOGLEFINANCE(A58,""price"",TODAY()-150,TODAY()),1,0),""select Col2 limit 50""))"),1509.4379999999999)</f>
        <v>1509.438</v>
      </c>
      <c r="D58" s="39">
        <f>IFERROR(__xludf.DUMMYFUNCTION("AVERAGE(QUERY(SORT(GOOGLEFINANCE(A58,""price"",TODAY()-300,TODAY()),1,0),""select Col2 limit 100""))"),1520.046)</f>
        <v>1520.046</v>
      </c>
      <c r="E58" s="39">
        <f>IFERROR(__xludf.DUMMYFUNCTION("AVERAGE(QUERY(SORT(GOOGLEFINANCE(A58,""price"",TODAY()-500,TODAY()),1,0),""select Col2 limit 200""))"),1622.4955000000007)</f>
        <v>1622.4955</v>
      </c>
      <c r="F58" s="32" t="str">
        <f t="shared" si="1"/>
        <v>Unconfirmed</v>
      </c>
      <c r="G58" s="33">
        <f t="shared" si="2"/>
        <v>-5.423466506</v>
      </c>
    </row>
    <row r="59">
      <c r="A59" s="37" t="s">
        <v>75</v>
      </c>
      <c r="B59" s="38">
        <f>IFERROR(__xludf.DUMMYFUNCTION("GOOGLEFINANCE(A59,""price"")"),459.15)</f>
        <v>459.15</v>
      </c>
      <c r="C59" s="39">
        <f>IFERROR(__xludf.DUMMYFUNCTION("AVERAGE(QUERY(SORT(GOOGLEFINANCE(A59,""price"",TODAY()-150,TODAY()),1,0),""select Col2 limit 50""))"),437.6919999999999)</f>
        <v>437.692</v>
      </c>
      <c r="D59" s="39">
        <f>IFERROR(__xludf.DUMMYFUNCTION("AVERAGE(QUERY(SORT(GOOGLEFINANCE(A59,""price"",TODAY()-300,TODAY()),1,0),""select Col2 limit 100""))"),482.75)</f>
        <v>482.75</v>
      </c>
      <c r="E59" s="39">
        <f>IFERROR(__xludf.DUMMYFUNCTION("AVERAGE(QUERY(SORT(GOOGLEFINANCE(A59,""price"",TODAY()-500,TODAY()),1,0),""select Col2 limit 200""))"),523.9579999999999)</f>
        <v>523.958</v>
      </c>
      <c r="F59" s="32" t="str">
        <f t="shared" si="1"/>
        <v>Unconfirmed</v>
      </c>
      <c r="G59" s="33">
        <f t="shared" si="2"/>
        <v>-12.36893033</v>
      </c>
    </row>
    <row r="60">
      <c r="A60" s="37" t="s">
        <v>76</v>
      </c>
      <c r="B60" s="38">
        <f>IFERROR(__xludf.DUMMYFUNCTION("GOOGLEFINANCE(A60,""price"")"),10652.0)</f>
        <v>10652</v>
      </c>
      <c r="C60" s="39">
        <f>IFERROR(__xludf.DUMMYFUNCTION("AVERAGE(QUERY(SORT(GOOGLEFINANCE(A60,""price"",TODAY()-150,TODAY()),1,0),""select Col2 limit 50""))"),10009.55)</f>
        <v>10009.55</v>
      </c>
      <c r="D60" s="39">
        <f>IFERROR(__xludf.DUMMYFUNCTION("AVERAGE(QUERY(SORT(GOOGLEFINANCE(A60,""price"",TODAY()-300,TODAY()),1,0),""select Col2 limit 100""))"),10481.285)</f>
        <v>10481.285</v>
      </c>
      <c r="E60" s="39">
        <f>IFERROR(__xludf.DUMMYFUNCTION("AVERAGE(QUERY(SORT(GOOGLEFINANCE(A60,""price"",TODAY()-500,TODAY()),1,0),""select Col2 limit 200""))"),11497.6425)</f>
        <v>11497.6425</v>
      </c>
      <c r="F60" s="32" t="str">
        <f t="shared" si="1"/>
        <v>Unconfirmed</v>
      </c>
      <c r="G60" s="33">
        <f t="shared" si="2"/>
        <v>-7.354920802</v>
      </c>
    </row>
    <row r="61">
      <c r="A61" s="37" t="s">
        <v>77</v>
      </c>
      <c r="B61" s="38">
        <f>IFERROR(__xludf.DUMMYFUNCTION("GOOGLEFINANCE(A61,""price"")"),1334.3)</f>
        <v>1334.3</v>
      </c>
      <c r="C61" s="39">
        <f>IFERROR(__xludf.DUMMYFUNCTION("AVERAGE(QUERY(SORT(GOOGLEFINANCE(A61,""price"",TODAY()-150,TODAY()),1,0),""select Col2 limit 50""))"),1319.3560000000004)</f>
        <v>1319.356</v>
      </c>
      <c r="D61" s="39">
        <f>IFERROR(__xludf.DUMMYFUNCTION("AVERAGE(QUERY(SORT(GOOGLEFINANCE(A61,""price"",TODAY()-300,TODAY()),1,0),""select Col2 limit 100""))"),1354.1210000000003)</f>
        <v>1354.121</v>
      </c>
      <c r="E61" s="39">
        <f>IFERROR(__xludf.DUMMYFUNCTION("AVERAGE(QUERY(SORT(GOOGLEFINANCE(A61,""price"",TODAY()-500,TODAY()),1,0),""select Col2 limit 200""))"),1432.0535)</f>
        <v>1432.0535</v>
      </c>
      <c r="F61" s="32" t="str">
        <f t="shared" si="1"/>
        <v>Unconfirmed</v>
      </c>
      <c r="G61" s="33">
        <f t="shared" si="2"/>
        <v>-6.826106706</v>
      </c>
    </row>
    <row r="62">
      <c r="A62" s="37" t="s">
        <v>78</v>
      </c>
      <c r="B62" s="38">
        <f>IFERROR(__xludf.DUMMYFUNCTION("GOOGLEFINANCE(A62,""price"")"),4448.7)</f>
        <v>4448.7</v>
      </c>
      <c r="C62" s="39">
        <f>IFERROR(__xludf.DUMMYFUNCTION("AVERAGE(QUERY(SORT(GOOGLEFINANCE(A62,""price"",TODAY()-150,TODAY()),1,0),""select Col2 limit 50""))"),4187.654)</f>
        <v>4187.654</v>
      </c>
      <c r="D62" s="39">
        <f>IFERROR(__xludf.DUMMYFUNCTION("AVERAGE(QUERY(SORT(GOOGLEFINANCE(A62,""price"",TODAY()-300,TODAY()),1,0),""select Col2 limit 100""))"),4226.416000000001)</f>
        <v>4226.416</v>
      </c>
      <c r="E62" s="39">
        <f>IFERROR(__xludf.DUMMYFUNCTION("AVERAGE(QUERY(SORT(GOOGLEFINANCE(A62,""price"",TODAY()-500,TODAY()),1,0),""select Col2 limit 200""))"),4412.5769999999975)</f>
        <v>4412.577</v>
      </c>
      <c r="F62" s="32" t="str">
        <f t="shared" si="1"/>
        <v>In Bull Run</v>
      </c>
      <c r="G62" s="33">
        <f t="shared" si="2"/>
        <v>0.8186372725</v>
      </c>
    </row>
    <row r="63">
      <c r="A63" s="37" t="s">
        <v>79</v>
      </c>
      <c r="B63" s="38">
        <f>IFERROR(__xludf.DUMMYFUNCTION("GOOGLEFINANCE(A63,""price"")"),2849.4)</f>
        <v>2849.4</v>
      </c>
      <c r="C63" s="39">
        <f>IFERROR(__xludf.DUMMYFUNCTION("AVERAGE(QUERY(SORT(GOOGLEFINANCE(A63,""price"",TODAY()-150,TODAY()),1,0),""select Col2 limit 50""))"),2962.3520000000003)</f>
        <v>2962.352</v>
      </c>
      <c r="D63" s="39">
        <f>IFERROR(__xludf.DUMMYFUNCTION("AVERAGE(QUERY(SORT(GOOGLEFINANCE(A63,""price"",TODAY()-300,TODAY()),1,0),""select Col2 limit 100""))"),3065.311)</f>
        <v>3065.311</v>
      </c>
      <c r="E63" s="39">
        <f>IFERROR(__xludf.DUMMYFUNCTION("AVERAGE(QUERY(SORT(GOOGLEFINANCE(A63,""price"",TODAY()-500,TODAY()),1,0),""select Col2 limit 200""))"),3343.1704999999974)</f>
        <v>3343.1705</v>
      </c>
      <c r="F63" s="32" t="str">
        <f t="shared" si="1"/>
        <v>Unconfirmed</v>
      </c>
      <c r="G63" s="33">
        <f t="shared" si="2"/>
        <v>-14.76952791</v>
      </c>
    </row>
    <row r="64">
      <c r="A64" s="37" t="s">
        <v>80</v>
      </c>
      <c r="B64" s="38">
        <f>IFERROR(__xludf.DUMMYFUNCTION("GOOGLEFINANCE(A64,""price"")"),1164.7)</f>
        <v>1164.7</v>
      </c>
      <c r="C64" s="39">
        <f>IFERROR(__xludf.DUMMYFUNCTION("AVERAGE(QUERY(SORT(GOOGLEFINANCE(A64,""price"",TODAY()-150,TODAY()),1,0),""select Col2 limit 50""))"),1229.228)</f>
        <v>1229.228</v>
      </c>
      <c r="D64" s="39">
        <f>IFERROR(__xludf.DUMMYFUNCTION("AVERAGE(QUERY(SORT(GOOGLEFINANCE(A64,""price"",TODAY()-300,TODAY()),1,0),""select Col2 limit 100""))"),1370.4290000000003)</f>
        <v>1370.429</v>
      </c>
      <c r="E64" s="39">
        <f>IFERROR(__xludf.DUMMYFUNCTION("AVERAGE(QUERY(SORT(GOOGLEFINANCE(A64,""price"",TODAY()-500,TODAY()),1,0),""select Col2 limit 200""))"),1441.5129999999992)</f>
        <v>1441.513</v>
      </c>
      <c r="F64" s="32" t="str">
        <f t="shared" si="1"/>
        <v>Unconfirmed</v>
      </c>
      <c r="G64" s="33">
        <f t="shared" si="2"/>
        <v>-19.20294857</v>
      </c>
    </row>
    <row r="65">
      <c r="A65" s="37" t="s">
        <v>81</v>
      </c>
      <c r="B65" s="38">
        <f>IFERROR(__xludf.DUMMYFUNCTION("GOOGLEFINANCE(A65,""price"")"),1943.0)</f>
        <v>1943</v>
      </c>
      <c r="C65" s="39">
        <f>IFERROR(__xludf.DUMMYFUNCTION("AVERAGE(QUERY(SORT(GOOGLEFINANCE(A65,""price"",TODAY()-150,TODAY()),1,0),""select Col2 limit 50""))"),1550.37)</f>
        <v>1550.37</v>
      </c>
      <c r="D65" s="39">
        <f>IFERROR(__xludf.DUMMYFUNCTION("AVERAGE(QUERY(SORT(GOOGLEFINANCE(A65,""price"",TODAY()-300,TODAY()),1,0),""select Col2 limit 100""))"),1601.2890000000004)</f>
        <v>1601.289</v>
      </c>
      <c r="E65" s="39">
        <f>IFERROR(__xludf.DUMMYFUNCTION("AVERAGE(QUERY(SORT(GOOGLEFINANCE(A65,""price"",TODAY()-500,TODAY()),1,0),""select Col2 limit 200""))"),1675.9274999999998)</f>
        <v>1675.9275</v>
      </c>
      <c r="F65" s="32" t="str">
        <f t="shared" si="1"/>
        <v>Unconfirmed</v>
      </c>
      <c r="G65" s="33">
        <f t="shared" si="2"/>
        <v>15.93580271</v>
      </c>
    </row>
    <row r="66">
      <c r="A66" s="37" t="s">
        <v>82</v>
      </c>
      <c r="B66" s="38">
        <f>IFERROR(__xludf.DUMMYFUNCTION("GOOGLEFINANCE(A66,""price"")"),3107.3)</f>
        <v>3107.3</v>
      </c>
      <c r="C66" s="39">
        <f>IFERROR(__xludf.DUMMYFUNCTION("AVERAGE(QUERY(SORT(GOOGLEFINANCE(A66,""price"",TODAY()-150,TODAY()),1,0),""select Col2 limit 50""))"),3153.85)</f>
        <v>3153.85</v>
      </c>
      <c r="D66" s="39">
        <f>IFERROR(__xludf.DUMMYFUNCTION("AVERAGE(QUERY(SORT(GOOGLEFINANCE(A66,""price"",TODAY()-300,TODAY()),1,0),""select Col2 limit 100""))"),2983.522000000001)</f>
        <v>2983.522</v>
      </c>
      <c r="E66" s="39">
        <f>IFERROR(__xludf.DUMMYFUNCTION("AVERAGE(QUERY(SORT(GOOGLEFINANCE(A66,""price"",TODAY()-500,TODAY()),1,0),""select Col2 limit 200""))"),3123.108000000001)</f>
        <v>3123.108</v>
      </c>
      <c r="F66" s="32" t="str">
        <f t="shared" si="1"/>
        <v>Unconfirmed</v>
      </c>
      <c r="G66" s="33">
        <f t="shared" si="2"/>
        <v>-0.506162451</v>
      </c>
    </row>
    <row r="67">
      <c r="A67" s="37" t="s">
        <v>83</v>
      </c>
      <c r="B67" s="38">
        <f>IFERROR(__xludf.DUMMYFUNCTION("GOOGLEFINANCE(A67,""price"")"),4005.0)</f>
        <v>4005</v>
      </c>
      <c r="C67" s="39">
        <f>IFERROR(__xludf.DUMMYFUNCTION("AVERAGE(QUERY(SORT(GOOGLEFINANCE(A67,""price"",TODAY()-150,TODAY()),1,0),""select Col2 limit 50""))"),4094.317999999999)</f>
        <v>4094.318</v>
      </c>
      <c r="D67" s="39">
        <f>IFERROR(__xludf.DUMMYFUNCTION("AVERAGE(QUERY(SORT(GOOGLEFINANCE(A67,""price"",TODAY()-300,TODAY()),1,0),""select Col2 limit 100""))"),4322.551999999999)</f>
        <v>4322.552</v>
      </c>
      <c r="E67" s="39">
        <f>IFERROR(__xludf.DUMMYFUNCTION("AVERAGE(QUERY(SORT(GOOGLEFINANCE(A67,""price"",TODAY()-500,TODAY()),1,0),""select Col2 limit 200""))"),4568.413)</f>
        <v>4568.413</v>
      </c>
      <c r="F67" s="32" t="str">
        <f t="shared" si="1"/>
        <v>Unconfirmed</v>
      </c>
      <c r="G67" s="33">
        <f t="shared" si="2"/>
        <v>-12.33279478</v>
      </c>
    </row>
    <row r="68">
      <c r="A68" s="37" t="s">
        <v>84</v>
      </c>
      <c r="B68" s="38">
        <f>IFERROR(__xludf.DUMMYFUNCTION("GOOGLEFINANCE(A68,""price"")"),1723.5)</f>
        <v>1723.5</v>
      </c>
      <c r="C68" s="39">
        <f>IFERROR(__xludf.DUMMYFUNCTION("AVERAGE(QUERY(SORT(GOOGLEFINANCE(A68,""price"",TODAY()-150,TODAY()),1,0),""select Col2 limit 50""))"),1595.6879999999999)</f>
        <v>1595.688</v>
      </c>
      <c r="D68" s="39">
        <f>IFERROR(__xludf.DUMMYFUNCTION("AVERAGE(QUERY(SORT(GOOGLEFINANCE(A68,""price"",TODAY()-300,TODAY()),1,0),""select Col2 limit 100""))"),1604.9979999999998)</f>
        <v>1604.998</v>
      </c>
      <c r="E68" s="39">
        <f>IFERROR(__xludf.DUMMYFUNCTION("AVERAGE(QUERY(SORT(GOOGLEFINANCE(A68,""price"",TODAY()-500,TODAY()),1,0),""select Col2 limit 200""))"),1671.2329999999993)</f>
        <v>1671.233</v>
      </c>
      <c r="F68" s="32" t="str">
        <f t="shared" si="1"/>
        <v>In Bull Run</v>
      </c>
      <c r="G68" s="33">
        <f t="shared" si="2"/>
        <v>3.127451409</v>
      </c>
    </row>
    <row r="69">
      <c r="A69" s="37" t="s">
        <v>85</v>
      </c>
      <c r="B69" s="38">
        <f>IFERROR(__xludf.DUMMYFUNCTION("GOOGLEFINANCE(A69,""price"")"),1166.3)</f>
        <v>1166.3</v>
      </c>
      <c r="C69" s="39">
        <f>IFERROR(__xludf.DUMMYFUNCTION("AVERAGE(QUERY(SORT(GOOGLEFINANCE(A69,""price"",TODAY()-150,TODAY()),1,0),""select Col2 limit 50""))"),1291.6940000000002)</f>
        <v>1291.694</v>
      </c>
      <c r="D69" s="39">
        <f>IFERROR(__xludf.DUMMYFUNCTION("AVERAGE(QUERY(SORT(GOOGLEFINANCE(A69,""price"",TODAY()-300,TODAY()),1,0),""select Col2 limit 100""))"),1428.5520000000004)</f>
        <v>1428.552</v>
      </c>
      <c r="E69" s="39">
        <f>IFERROR(__xludf.DUMMYFUNCTION("AVERAGE(QUERY(SORT(GOOGLEFINANCE(A69,""price"",TODAY()-500,TODAY()),1,0),""select Col2 limit 200""))"),1478.315)</f>
        <v>1478.315</v>
      </c>
      <c r="F69" s="32" t="str">
        <f t="shared" si="1"/>
        <v>Unconfirmed</v>
      </c>
      <c r="G69" s="33">
        <f t="shared" si="2"/>
        <v>-21.1061242</v>
      </c>
    </row>
    <row r="70">
      <c r="A70" s="37" t="s">
        <v>86</v>
      </c>
      <c r="B70" s="38">
        <f>IFERROR(__xludf.DUMMYFUNCTION("GOOGLEFINANCE(A70,""price"")"),1476.1)</f>
        <v>1476.1</v>
      </c>
      <c r="C70" s="39">
        <f>IFERROR(__xludf.DUMMYFUNCTION("AVERAGE(QUERY(SORT(GOOGLEFINANCE(A70,""price"",TODAY()-150,TODAY()),1,0),""select Col2 limit 50""))"),1419.546)</f>
        <v>1419.546</v>
      </c>
      <c r="D70" s="39">
        <f>IFERROR(__xludf.DUMMYFUNCTION("AVERAGE(QUERY(SORT(GOOGLEFINANCE(A70,""price"",TODAY()-300,TODAY()),1,0),""select Col2 limit 100""))"),1495.4699999999998)</f>
        <v>1495.47</v>
      </c>
      <c r="E70" s="39">
        <f>IFERROR(__xludf.DUMMYFUNCTION("AVERAGE(QUERY(SORT(GOOGLEFINANCE(A70,""price"",TODAY()-500,TODAY()),1,0),""select Col2 limit 200""))"),1491.995)</f>
        <v>1491.995</v>
      </c>
      <c r="F70" s="32" t="str">
        <f t="shared" si="1"/>
        <v>Unconfirmed</v>
      </c>
      <c r="G70" s="33">
        <f t="shared" si="2"/>
        <v>-1.065352096</v>
      </c>
    </row>
    <row r="71">
      <c r="A71" s="37" t="s">
        <v>87</v>
      </c>
      <c r="B71" s="38">
        <f>IFERROR(__xludf.DUMMYFUNCTION("GOOGLEFINANCE(A71,""price"")"),168.76)</f>
        <v>168.76</v>
      </c>
      <c r="C71" s="39">
        <f>IFERROR(__xludf.DUMMYFUNCTION("AVERAGE(QUERY(SORT(GOOGLEFINANCE(A71,""price"",TODAY()-150,TODAY()),1,0),""select Col2 limit 50""))"),155.26639999999998)</f>
        <v>155.2664</v>
      </c>
      <c r="D71" s="39">
        <f>IFERROR(__xludf.DUMMYFUNCTION("AVERAGE(QUERY(SORT(GOOGLEFINANCE(A71,""price"",TODAY()-300,TODAY()),1,0),""select Col2 limit 100""))"),160.08729999999986)</f>
        <v>160.0873</v>
      </c>
      <c r="E71" s="39">
        <f>IFERROR(__xludf.DUMMYFUNCTION("AVERAGE(QUERY(SORT(GOOGLEFINANCE(A71,""price"",TODAY()-500,TODAY()),1,0),""select Col2 limit 200""))"),168.36824999999993)</f>
        <v>168.36825</v>
      </c>
      <c r="F71" s="32" t="str">
        <f t="shared" si="1"/>
        <v>In Bull Run</v>
      </c>
      <c r="G71" s="33">
        <f t="shared" si="2"/>
        <v>0.2326745096</v>
      </c>
    </row>
    <row r="72">
      <c r="A72" s="37" t="s">
        <v>88</v>
      </c>
      <c r="B72" s="38">
        <f>IFERROR(__xludf.DUMMYFUNCTION("GOOGLEFINANCE(A72,""price"")"),25555.0)</f>
        <v>25555</v>
      </c>
      <c r="C72" s="39">
        <f>IFERROR(__xludf.DUMMYFUNCTION("AVERAGE(QUERY(SORT(GOOGLEFINANCE(A72,""price"",TODAY()-150,TODAY()),1,0),""select Col2 limit 50""))"),24412.7)</f>
        <v>24412.7</v>
      </c>
      <c r="D72" s="39">
        <f>IFERROR(__xludf.DUMMYFUNCTION("AVERAGE(QUERY(SORT(GOOGLEFINANCE(A72,""price"",TODAY()-300,TODAY()),1,0),""select Col2 limit 100""))"),25543.05)</f>
        <v>25543.05</v>
      </c>
      <c r="E72" s="39">
        <f>IFERROR(__xludf.DUMMYFUNCTION("AVERAGE(QUERY(SORT(GOOGLEFINANCE(A72,""price"",TODAY()-500,TODAY()),1,0),""select Col2 limit 200""))"),27058.425)</f>
        <v>27058.425</v>
      </c>
      <c r="F72" s="32" t="str">
        <f t="shared" si="1"/>
        <v>Unconfirmed</v>
      </c>
      <c r="G72" s="33">
        <f t="shared" si="2"/>
        <v>-5.556217703</v>
      </c>
    </row>
    <row r="73">
      <c r="A73" s="37" t="s">
        <v>89</v>
      </c>
      <c r="B73" s="38">
        <f>IFERROR(__xludf.DUMMYFUNCTION("GOOGLEFINANCE(A73,""price"")"),1868.0)</f>
        <v>1868</v>
      </c>
      <c r="C73" s="39">
        <f>IFERROR(__xludf.DUMMYFUNCTION("AVERAGE(QUERY(SORT(GOOGLEFINANCE(A73,""price"",TODAY()-150,TODAY()),1,0),""select Col2 limit 50""))"),1969.3319999999999)</f>
        <v>1969.332</v>
      </c>
      <c r="D73" s="39">
        <f>IFERROR(__xludf.DUMMYFUNCTION("AVERAGE(QUERY(SORT(GOOGLEFINANCE(A73,""price"",TODAY()-300,TODAY()),1,0),""select Col2 limit 100""))"),2115.3260000000005)</f>
        <v>2115.326</v>
      </c>
      <c r="E73" s="39">
        <f>IFERROR(__xludf.DUMMYFUNCTION("AVERAGE(QUERY(SORT(GOOGLEFINANCE(A73,""price"",TODAY()-500,TODAY()),1,0),""select Col2 limit 200""))"),2203.611500000002)</f>
        <v>2203.6115</v>
      </c>
      <c r="F73" s="32" t="str">
        <f t="shared" si="1"/>
        <v>Unconfirmed</v>
      </c>
      <c r="G73" s="33">
        <f t="shared" si="2"/>
        <v>-15.23006664</v>
      </c>
    </row>
    <row r="74">
      <c r="A74" s="37" t="s">
        <v>90</v>
      </c>
      <c r="B74" s="38">
        <f>IFERROR(__xludf.DUMMYFUNCTION("GOOGLEFINANCE(A74,""price"")"),1692.9)</f>
        <v>1692.9</v>
      </c>
      <c r="C74" s="39">
        <f>IFERROR(__xludf.DUMMYFUNCTION("AVERAGE(QUERY(SORT(GOOGLEFINANCE(A74,""price"",TODAY()-150,TODAY()),1,0),""select Col2 limit 50""))"),1599.346000000001)</f>
        <v>1599.346</v>
      </c>
      <c r="D74" s="39">
        <f>IFERROR(__xludf.DUMMYFUNCTION("AVERAGE(QUERY(SORT(GOOGLEFINANCE(A74,""price"",TODAY()-300,TODAY()),1,0),""select Col2 limit 100""))"),1586.3170000000007)</f>
        <v>1586.317</v>
      </c>
      <c r="E74" s="39">
        <f>IFERROR(__xludf.DUMMYFUNCTION("AVERAGE(QUERY(SORT(GOOGLEFINANCE(A74,""price"",TODAY()-500,TODAY()),1,0),""select Col2 limit 200""))"),1620.5430000000013)</f>
        <v>1620.543</v>
      </c>
      <c r="F74" s="32" t="str">
        <f t="shared" si="1"/>
        <v>In Bull Run</v>
      </c>
      <c r="G74" s="33">
        <f t="shared" si="2"/>
        <v>4.464984885</v>
      </c>
    </row>
    <row r="75">
      <c r="A75" s="37" t="s">
        <v>91</v>
      </c>
      <c r="B75" s="38">
        <f>IFERROR(__xludf.DUMMYFUNCTION("GOOGLEFINANCE(A75,""price"")"),462.85)</f>
        <v>462.85</v>
      </c>
      <c r="C75" s="39">
        <f>IFERROR(__xludf.DUMMYFUNCTION("AVERAGE(QUERY(SORT(GOOGLEFINANCE(A75,""price"",TODAY()-150,TODAY()),1,0),""select Col2 limit 50""))"),467.1619999999999)</f>
        <v>467.162</v>
      </c>
      <c r="D75" s="39">
        <f>IFERROR(__xludf.DUMMYFUNCTION("AVERAGE(QUERY(SORT(GOOGLEFINANCE(A75,""price"",TODAY()-300,TODAY()),1,0),""select Col2 limit 100""))"),496.3665000000001)</f>
        <v>496.3665</v>
      </c>
      <c r="E75" s="39">
        <f>IFERROR(__xludf.DUMMYFUNCTION("AVERAGE(QUERY(SORT(GOOGLEFINANCE(A75,""price"",TODAY()-500,TODAY()),1,0),""select Col2 limit 200""))"),540.7031500000002)</f>
        <v>540.70315</v>
      </c>
      <c r="F75" s="32" t="str">
        <f t="shared" si="1"/>
        <v>Unconfirmed</v>
      </c>
      <c r="G75" s="33">
        <f t="shared" si="2"/>
        <v>-14.39850128</v>
      </c>
    </row>
    <row r="76">
      <c r="A76" s="37" t="s">
        <v>92</v>
      </c>
      <c r="B76" s="38">
        <f>IFERROR(__xludf.DUMMYFUNCTION("GOOGLEFINANCE(A76,""price"")"),2744.5)</f>
        <v>2744.5</v>
      </c>
      <c r="C76" s="39">
        <f>IFERROR(__xludf.DUMMYFUNCTION("AVERAGE(QUERY(SORT(GOOGLEFINANCE(A76,""price"",TODAY()-150,TODAY()),1,0),""select Col2 limit 50""))"),2552.856)</f>
        <v>2552.856</v>
      </c>
      <c r="D76" s="39">
        <f>IFERROR(__xludf.DUMMYFUNCTION("AVERAGE(QUERY(SORT(GOOGLEFINANCE(A76,""price"",TODAY()-300,TODAY()),1,0),""select Col2 limit 100""))"),2697.4720000000007)</f>
        <v>2697.472</v>
      </c>
      <c r="E76" s="39">
        <f>IFERROR(__xludf.DUMMYFUNCTION("AVERAGE(QUERY(SORT(GOOGLEFINANCE(A76,""price"",TODAY()-500,TODAY()),1,0),""select Col2 limit 200""))"),2819.1035)</f>
        <v>2819.1035</v>
      </c>
      <c r="F76" s="32" t="str">
        <f t="shared" si="1"/>
        <v>Unconfirmed</v>
      </c>
      <c r="G76" s="33">
        <f t="shared" si="2"/>
        <v>-2.646355481</v>
      </c>
    </row>
    <row r="77">
      <c r="A77" s="37" t="s">
        <v>93</v>
      </c>
      <c r="B77" s="38">
        <f>IFERROR(__xludf.DUMMYFUNCTION("GOOGLEFINANCE(A77,""price"")"),104.95)</f>
        <v>104.95</v>
      </c>
      <c r="C77" s="39">
        <f>IFERROR(__xludf.DUMMYFUNCTION("AVERAGE(QUERY(SORT(GOOGLEFINANCE(A77,""price"",TODAY()-150,TODAY()),1,0),""select Col2 limit 50""))"),103.62880000000001)</f>
        <v>103.6288</v>
      </c>
      <c r="D77" s="39">
        <f>IFERROR(__xludf.DUMMYFUNCTION("AVERAGE(QUERY(SORT(GOOGLEFINANCE(A77,""price"",TODAY()-300,TODAY()),1,0),""select Col2 limit 100""))"),97.05950000000001)</f>
        <v>97.0595</v>
      </c>
      <c r="E77" s="39">
        <f>IFERROR(__xludf.DUMMYFUNCTION("AVERAGE(QUERY(SORT(GOOGLEFINANCE(A77,""price"",TODAY()-500,TODAY()),1,0),""select Col2 limit 200""))"),98.23449999999994)</f>
        <v>98.2345</v>
      </c>
      <c r="F77" s="32" t="str">
        <f t="shared" si="1"/>
        <v>In Bull Run</v>
      </c>
      <c r="G77" s="33">
        <f t="shared" si="2"/>
        <v>6.836192987</v>
      </c>
    </row>
    <row r="78">
      <c r="A78" s="37" t="s">
        <v>94</v>
      </c>
      <c r="B78" s="38">
        <f>IFERROR(__xludf.DUMMYFUNCTION("GOOGLEFINANCE(A78,""price"")"),1495.0)</f>
        <v>1495</v>
      </c>
      <c r="C78" s="39">
        <f>IFERROR(__xludf.DUMMYFUNCTION("AVERAGE(QUERY(SORT(GOOGLEFINANCE(A78,""price"",TODAY()-150,TODAY()),1,0),""select Col2 limit 50""))"),1127.3480000000002)</f>
        <v>1127.348</v>
      </c>
      <c r="D78" s="39">
        <f>IFERROR(__xludf.DUMMYFUNCTION("AVERAGE(QUERY(SORT(GOOGLEFINANCE(A78,""price"",TODAY()-300,TODAY()),1,0),""select Col2 limit 100""))"),1034.9350000000004)</f>
        <v>1034.935</v>
      </c>
      <c r="E78" s="39">
        <f>IFERROR(__xludf.DUMMYFUNCTION("AVERAGE(QUERY(SORT(GOOGLEFINANCE(A78,""price"",TODAY()-500,TODAY()),1,0),""select Col2 limit 200""))"),1025.3620000000005)</f>
        <v>1025.362</v>
      </c>
      <c r="F78" s="32" t="str">
        <f t="shared" si="1"/>
        <v>Unconfirmed</v>
      </c>
      <c r="G78" s="33">
        <f t="shared" si="2"/>
        <v>45.80216548</v>
      </c>
    </row>
    <row r="79">
      <c r="A79" s="37" t="s">
        <v>95</v>
      </c>
      <c r="B79" s="38">
        <f>IFERROR(__xludf.DUMMYFUNCTION("GOOGLEFINANCE(A79,""price"")"),1797.0)</f>
        <v>1797</v>
      </c>
      <c r="C79" s="39">
        <f>IFERROR(__xludf.DUMMYFUNCTION("AVERAGE(QUERY(SORT(GOOGLEFINANCE(A79,""price"",TODAY()-150,TODAY()),1,0),""select Col2 limit 50""))"),1867.7259999999992)</f>
        <v>1867.726</v>
      </c>
      <c r="D79" s="39">
        <f>IFERROR(__xludf.DUMMYFUNCTION("AVERAGE(QUERY(SORT(GOOGLEFINANCE(A79,""price"",TODAY()-300,TODAY()),1,0),""select Col2 limit 100""))"),1980.197)</f>
        <v>1980.197</v>
      </c>
      <c r="E79" s="39">
        <f>IFERROR(__xludf.DUMMYFUNCTION("AVERAGE(QUERY(SORT(GOOGLEFINANCE(A79,""price"",TODAY()-500,TODAY()),1,0),""select Col2 limit 200""))"),2085.1810000000005)</f>
        <v>2085.181</v>
      </c>
      <c r="F79" s="32" t="str">
        <f t="shared" si="1"/>
        <v>Unconfirmed</v>
      </c>
      <c r="G79" s="33">
        <f t="shared" si="2"/>
        <v>-13.82043094</v>
      </c>
    </row>
    <row r="80">
      <c r="A80" s="37" t="s">
        <v>96</v>
      </c>
      <c r="B80" s="38">
        <f>IFERROR(__xludf.DUMMYFUNCTION("GOOGLEFINANCE(A80,""price"")"),614.9)</f>
        <v>614.9</v>
      </c>
      <c r="C80" s="39">
        <f>IFERROR(__xludf.DUMMYFUNCTION("AVERAGE(QUERY(SORT(GOOGLEFINANCE(A80,""price"",TODAY()-150,TODAY()),1,0),""select Col2 limit 50""))"),609.944)</f>
        <v>609.944</v>
      </c>
      <c r="D80" s="39">
        <f>IFERROR(__xludf.DUMMYFUNCTION("AVERAGE(QUERY(SORT(GOOGLEFINANCE(A80,""price"",TODAY()-300,TODAY()),1,0),""select Col2 limit 100""))"),669.1624999999999)</f>
        <v>669.1625</v>
      </c>
      <c r="E80" s="39">
        <f>IFERROR(__xludf.DUMMYFUNCTION("AVERAGE(QUERY(SORT(GOOGLEFINANCE(A80,""price"",TODAY()-500,TODAY()),1,0),""select Col2 limit 200""))"),716.2927500000004)</f>
        <v>716.29275</v>
      </c>
      <c r="F80" s="32" t="str">
        <f t="shared" si="1"/>
        <v>Unconfirmed</v>
      </c>
      <c r="G80" s="33">
        <f t="shared" si="2"/>
        <v>-14.15521098</v>
      </c>
    </row>
    <row r="81">
      <c r="A81" s="37" t="s">
        <v>97</v>
      </c>
      <c r="B81" s="38">
        <f>IFERROR(__xludf.DUMMYFUNCTION("GOOGLEFINANCE(A81,""price"")"),765.25)</f>
        <v>765.25</v>
      </c>
      <c r="C81" s="39">
        <f>IFERROR(__xludf.DUMMYFUNCTION("AVERAGE(QUERY(SORT(GOOGLEFINANCE(A81,""price"",TODAY()-150,TODAY()),1,0),""select Col2 limit 50""))"),784.766)</f>
        <v>784.766</v>
      </c>
      <c r="D81" s="39">
        <f>IFERROR(__xludf.DUMMYFUNCTION("AVERAGE(QUERY(SORT(GOOGLEFINANCE(A81,""price"",TODAY()-300,TODAY()),1,0),""select Col2 limit 100""))"),856.8629999999997)</f>
        <v>856.863</v>
      </c>
      <c r="E81" s="39">
        <f>IFERROR(__xludf.DUMMYFUNCTION("AVERAGE(QUERY(SORT(GOOGLEFINANCE(A81,""price"",TODAY()-500,TODAY()),1,0),""select Col2 limit 200""))"),920.7242499999996)</f>
        <v>920.72425</v>
      </c>
      <c r="F81" s="32" t="str">
        <f t="shared" si="1"/>
        <v>Unconfirmed</v>
      </c>
      <c r="G81" s="33">
        <f t="shared" si="2"/>
        <v>-16.8860818</v>
      </c>
    </row>
    <row r="82">
      <c r="A82" s="37" t="s">
        <v>98</v>
      </c>
      <c r="B82" s="38">
        <f>IFERROR(__xludf.DUMMYFUNCTION("GOOGLEFINANCE(A82,""price"")"),1423.2)</f>
        <v>1423.2</v>
      </c>
      <c r="C82" s="39">
        <f>IFERROR(__xludf.DUMMYFUNCTION("AVERAGE(QUERY(SORT(GOOGLEFINANCE(A82,""price"",TODAY()-150,TODAY()),1,0),""select Col2 limit 50""))"),1295.9040000000005)</f>
        <v>1295.904</v>
      </c>
      <c r="D82" s="39">
        <f>IFERROR(__xludf.DUMMYFUNCTION("AVERAGE(QUERY(SORT(GOOGLEFINANCE(A82,""price"",TODAY()-300,TODAY()),1,0),""select Col2 limit 100""))"),1338.3139999999999)</f>
        <v>1338.314</v>
      </c>
      <c r="E82" s="39">
        <f>IFERROR(__xludf.DUMMYFUNCTION("AVERAGE(QUERY(SORT(GOOGLEFINANCE(A82,""price"",TODAY()-500,TODAY()),1,0),""select Col2 limit 200""))"),1437.6034999999993)</f>
        <v>1437.6035</v>
      </c>
      <c r="F82" s="32" t="str">
        <f t="shared" si="1"/>
        <v>Unconfirmed</v>
      </c>
      <c r="G82" s="33">
        <f t="shared" si="2"/>
        <v>-1.001910471</v>
      </c>
    </row>
    <row r="83" ht="18.75" customHeight="1">
      <c r="A83" s="37" t="s">
        <v>99</v>
      </c>
      <c r="B83" s="38">
        <f>IFERROR(__xludf.DUMMYFUNCTION("GOOGLEFINANCE(A83,""price"")"),391.85)</f>
        <v>391.85</v>
      </c>
      <c r="C83" s="39">
        <f>IFERROR(__xludf.DUMMYFUNCTION("AVERAGE(QUERY(SORT(GOOGLEFINANCE(A83,""price"",TODAY()-150,TODAY()),1,0),""select Col2 limit 50""))"),338.974)</f>
        <v>338.974</v>
      </c>
      <c r="D83" s="39">
        <f>IFERROR(__xludf.DUMMYFUNCTION("AVERAGE(QUERY(SORT(GOOGLEFINANCE(A83,""price"",TODAY()-300,TODAY()),1,0),""select Col2 limit 100""))"),351.2665)</f>
        <v>351.2665</v>
      </c>
      <c r="E83" s="39">
        <f>IFERROR(__xludf.DUMMYFUNCTION("AVERAGE(QUERY(SORT(GOOGLEFINANCE(A83,""price"",TODAY()-500,TODAY()),1,0),""select Col2 limit 200""))"),373.46994999999987)</f>
        <v>373.46995</v>
      </c>
      <c r="F83" s="32" t="str">
        <f t="shared" si="1"/>
        <v>In Bull Run</v>
      </c>
      <c r="G83" s="33">
        <f t="shared" si="2"/>
        <v>4.921426744</v>
      </c>
    </row>
    <row r="84">
      <c r="A84" s="37" t="s">
        <v>100</v>
      </c>
      <c r="B84" s="38">
        <f>IFERROR(__xludf.DUMMYFUNCTION("GOOGLEFINANCE(A84,""price"")"),473.5)</f>
        <v>473.5</v>
      </c>
      <c r="C84" s="39">
        <f>IFERROR(__xludf.DUMMYFUNCTION("AVERAGE(QUERY(SORT(GOOGLEFINANCE(A84,""price"",TODAY()-150,TODAY()),1,0),""select Col2 limit 50""))"),486.61100000000005)</f>
        <v>486.611</v>
      </c>
      <c r="D84" s="39">
        <f>IFERROR(__xludf.DUMMYFUNCTION("AVERAGE(QUERY(SORT(GOOGLEFINANCE(A84,""price"",TODAY()-300,TODAY()),1,0),""select Col2 limit 100""))"),496.5335)</f>
        <v>496.5335</v>
      </c>
      <c r="E84" s="39">
        <f>IFERROR(__xludf.DUMMYFUNCTION("AVERAGE(QUERY(SORT(GOOGLEFINANCE(A84,""price"",TODAY()-500,TODAY()),1,0),""select Col2 limit 200""))"),514.4802500000002)</f>
        <v>514.48025</v>
      </c>
      <c r="F84" s="32" t="str">
        <f t="shared" si="1"/>
        <v>In Bear Run</v>
      </c>
      <c r="G84" s="33">
        <f t="shared" si="2"/>
        <v>-7.965368933</v>
      </c>
    </row>
    <row r="85">
      <c r="A85" s="37" t="s">
        <v>101</v>
      </c>
      <c r="B85" s="38">
        <f>IFERROR(__xludf.DUMMYFUNCTION("GOOGLEFINANCE(A85,""price"")"),2983.7)</f>
        <v>2983.7</v>
      </c>
      <c r="C85" s="39">
        <f>IFERROR(__xludf.DUMMYFUNCTION("AVERAGE(QUERY(SORT(GOOGLEFINANCE(A85,""price"",TODAY()-150,TODAY()),1,0),""select Col2 limit 50""))"),2255.614)</f>
        <v>2255.614</v>
      </c>
      <c r="D85" s="39">
        <f>IFERROR(__xludf.DUMMYFUNCTION("AVERAGE(QUERY(SORT(GOOGLEFINANCE(A85,""price"",TODAY()-300,TODAY()),1,0),""select Col2 limit 100""))"),2204.158000000001)</f>
        <v>2204.158</v>
      </c>
      <c r="E85" s="39">
        <f>IFERROR(__xludf.DUMMYFUNCTION("AVERAGE(QUERY(SORT(GOOGLEFINANCE(A85,""price"",TODAY()-500,TODAY()),1,0),""select Col2 limit 200""))"),2269.4545000000003)</f>
        <v>2269.4545</v>
      </c>
      <c r="F85" s="32" t="str">
        <f t="shared" si="1"/>
        <v>Unconfirmed</v>
      </c>
      <c r="G85" s="33">
        <f t="shared" si="2"/>
        <v>31.47212249</v>
      </c>
    </row>
    <row r="86">
      <c r="A86" s="37" t="s">
        <v>102</v>
      </c>
      <c r="B86" s="38">
        <f>IFERROR(__xludf.DUMMYFUNCTION("GOOGLEFINANCE(A86,""price"")"),2302.6)</f>
        <v>2302.6</v>
      </c>
      <c r="C86" s="39">
        <f>IFERROR(__xludf.DUMMYFUNCTION("AVERAGE(QUERY(SORT(GOOGLEFINANCE(A86,""price"",TODAY()-150,TODAY()),1,0),""select Col2 limit 50""))"),2388.88)</f>
        <v>2388.88</v>
      </c>
      <c r="D86" s="39">
        <f>IFERROR(__xludf.DUMMYFUNCTION("AVERAGE(QUERY(SORT(GOOGLEFINANCE(A86,""price"",TODAY()-300,TODAY()),1,0),""select Col2 limit 100""))"),2433.435)</f>
        <v>2433.435</v>
      </c>
      <c r="E86" s="39">
        <f>IFERROR(__xludf.DUMMYFUNCTION("AVERAGE(QUERY(SORT(GOOGLEFINANCE(A86,""price"",TODAY()-500,TODAY()),1,0),""select Col2 limit 200""))"),2554.9534999999996)</f>
        <v>2554.9535</v>
      </c>
      <c r="F86" s="32" t="str">
        <f t="shared" si="1"/>
        <v>In Bear Run</v>
      </c>
      <c r="G86" s="33">
        <f t="shared" si="2"/>
        <v>-9.877029073</v>
      </c>
    </row>
    <row r="87">
      <c r="A87" s="37" t="s">
        <v>103</v>
      </c>
      <c r="B87" s="38">
        <f>IFERROR(__xludf.DUMMYFUNCTION("GOOGLEFINANCE(A87,""price"")"),1217.3)</f>
        <v>1217.3</v>
      </c>
      <c r="C87" s="39">
        <f>IFERROR(__xludf.DUMMYFUNCTION("AVERAGE(QUERY(SORT(GOOGLEFINANCE(A87,""price"",TODAY()-150,TODAY()),1,0),""select Col2 limit 50""))"),1112.5539999999999)</f>
        <v>1112.554</v>
      </c>
      <c r="D87" s="39">
        <f>IFERROR(__xludf.DUMMYFUNCTION("AVERAGE(QUERY(SORT(GOOGLEFINANCE(A87,""price"",TODAY()-300,TODAY()),1,0),""select Col2 limit 100""))"),1124.9449999999997)</f>
        <v>1124.945</v>
      </c>
      <c r="E87" s="39">
        <f>IFERROR(__xludf.DUMMYFUNCTION("AVERAGE(QUERY(SORT(GOOGLEFINANCE(A87,""price"",TODAY()-500,TODAY()),1,0),""select Col2 limit 200""))"),1213.0714999999996)</f>
        <v>1213.0715</v>
      </c>
      <c r="F87" s="32" t="str">
        <f t="shared" si="1"/>
        <v>In Bull Run</v>
      </c>
      <c r="G87" s="33">
        <f t="shared" si="2"/>
        <v>0.3485779692</v>
      </c>
    </row>
    <row r="88">
      <c r="A88" s="37" t="s">
        <v>104</v>
      </c>
      <c r="B88" s="38">
        <f>IFERROR(__xludf.DUMMYFUNCTION("GOOGLEFINANCE(A88,""price"")"),657.9)</f>
        <v>657.9</v>
      </c>
      <c r="C88" s="39">
        <f>IFERROR(__xludf.DUMMYFUNCTION("AVERAGE(QUERY(SORT(GOOGLEFINANCE(A88,""price"",TODAY()-150,TODAY()),1,0),""select Col2 limit 50""))"),632.9619999999999)</f>
        <v>632.962</v>
      </c>
      <c r="D88" s="39">
        <f>IFERROR(__xludf.DUMMYFUNCTION("AVERAGE(QUERY(SORT(GOOGLEFINANCE(A88,""price"",TODAY()-300,TODAY()),1,0),""select Col2 limit 100""))"),679.9785)</f>
        <v>679.9785</v>
      </c>
      <c r="E88" s="39">
        <f>IFERROR(__xludf.DUMMYFUNCTION("AVERAGE(QUERY(SORT(GOOGLEFINANCE(A88,""price"",TODAY()-500,TODAY()),1,0),""select Col2 limit 200""))"),697.2980000000002)</f>
        <v>697.298</v>
      </c>
      <c r="F88" s="32" t="str">
        <f t="shared" si="1"/>
        <v>Unconfirmed</v>
      </c>
      <c r="G88" s="33">
        <f t="shared" si="2"/>
        <v>-5.650095081</v>
      </c>
    </row>
    <row r="89">
      <c r="A89" s="37" t="s">
        <v>105</v>
      </c>
      <c r="B89" s="38">
        <f>IFERROR(__xludf.DUMMYFUNCTION("GOOGLEFINANCE(A89,""price"")"),2464.0)</f>
        <v>2464</v>
      </c>
      <c r="C89" s="39">
        <f>IFERROR(__xludf.DUMMYFUNCTION("AVERAGE(QUERY(SORT(GOOGLEFINANCE(A89,""price"",TODAY()-150,TODAY()),1,0),""select Col2 limit 50""))"),2477.58)</f>
        <v>2477.58</v>
      </c>
      <c r="D89" s="39">
        <f>IFERROR(__xludf.DUMMYFUNCTION("AVERAGE(QUERY(SORT(GOOGLEFINANCE(A89,""price"",TODAY()-300,TODAY()),1,0),""select Col2 limit 100""))"),2443.6649999999995)</f>
        <v>2443.665</v>
      </c>
      <c r="E89" s="39">
        <f>IFERROR(__xludf.DUMMYFUNCTION("AVERAGE(QUERY(SORT(GOOGLEFINANCE(A89,""price"",TODAY()-500,TODAY()),1,0),""select Col2 limit 200""))"),2586.9504999999995)</f>
        <v>2586.9505</v>
      </c>
      <c r="F89" s="32" t="str">
        <f t="shared" si="1"/>
        <v>Unconfirmed</v>
      </c>
      <c r="G89" s="33">
        <f t="shared" si="2"/>
        <v>-4.752719466</v>
      </c>
    </row>
    <row r="90">
      <c r="A90" s="37" t="s">
        <v>106</v>
      </c>
      <c r="B90" s="38">
        <f>IFERROR(__xludf.DUMMYFUNCTION("GOOGLEFINANCE(A90,""price"")"),36025.0)</f>
        <v>36025</v>
      </c>
      <c r="C90" s="39">
        <f>IFERROR(__xludf.DUMMYFUNCTION("AVERAGE(QUERY(SORT(GOOGLEFINANCE(A90,""price"",TODAY()-150,TODAY()),1,0),""select Col2 limit 50""))"),34810.8)</f>
        <v>34810.8</v>
      </c>
      <c r="D90" s="39">
        <f>IFERROR(__xludf.DUMMYFUNCTION("AVERAGE(QUERY(SORT(GOOGLEFINANCE(A90,""price"",TODAY()-300,TODAY()),1,0),""select Col2 limit 100""))"),35450.0)</f>
        <v>35450</v>
      </c>
      <c r="E90" s="39">
        <f>IFERROR(__xludf.DUMMYFUNCTION("AVERAGE(QUERY(SORT(GOOGLEFINANCE(A90,""price"",TODAY()-500,TODAY()),1,0),""select Col2 limit 200""))"),36875.0)</f>
        <v>36875</v>
      </c>
      <c r="F90" s="32" t="str">
        <f t="shared" si="1"/>
        <v>Unconfirmed</v>
      </c>
      <c r="G90" s="33">
        <f t="shared" si="2"/>
        <v>-2.305084746</v>
      </c>
    </row>
    <row r="91">
      <c r="A91" s="37" t="s">
        <v>107</v>
      </c>
      <c r="B91" s="38">
        <f>IFERROR(__xludf.DUMMYFUNCTION("GOOGLEFINANCE(A91,""price"")"),27590.0)</f>
        <v>27590</v>
      </c>
      <c r="C91" s="39">
        <f>IFERROR(__xludf.DUMMYFUNCTION("AVERAGE(QUERY(SORT(GOOGLEFINANCE(A91,""price"",TODAY()-150,TODAY()),1,0),""select Col2 limit 50""))"),26418.6)</f>
        <v>26418.6</v>
      </c>
      <c r="D91" s="39">
        <f>IFERROR(__xludf.DUMMYFUNCTION("AVERAGE(QUERY(SORT(GOOGLEFINANCE(A91,""price"",TODAY()-300,TODAY()),1,0),""select Col2 limit 100""))"),26944.15)</f>
        <v>26944.15</v>
      </c>
      <c r="E91" s="39">
        <f>IFERROR(__xludf.DUMMYFUNCTION("AVERAGE(QUERY(SORT(GOOGLEFINANCE(A91,""price"",TODAY()-500,TODAY()),1,0),""select Col2 limit 200""))"),28668.75)</f>
        <v>28668.75</v>
      </c>
      <c r="F91" s="32" t="str">
        <f t="shared" si="1"/>
        <v>Unconfirmed</v>
      </c>
      <c r="G91" s="33">
        <f t="shared" si="2"/>
        <v>-3.762807935</v>
      </c>
    </row>
    <row r="92">
      <c r="A92" s="37" t="s">
        <v>108</v>
      </c>
      <c r="B92" s="38">
        <f>IFERROR(__xludf.DUMMYFUNCTION("GOOGLEFINANCE(A92,""price"")"),2679.0)</f>
        <v>2679</v>
      </c>
      <c r="C92" s="39">
        <f>IFERROR(__xludf.DUMMYFUNCTION("AVERAGE(QUERY(SORT(GOOGLEFINANCE(A92,""price"",TODAY()-150,TODAY()),1,0),""select Col2 limit 50""))"),2407.3379999999997)</f>
        <v>2407.338</v>
      </c>
      <c r="D92" s="39">
        <f>IFERROR(__xludf.DUMMYFUNCTION("AVERAGE(QUERY(SORT(GOOGLEFINANCE(A92,""price"",TODAY()-300,TODAY()),1,0),""select Col2 limit 100""))"),2477.337)</f>
        <v>2477.337</v>
      </c>
      <c r="E92" s="39">
        <f>IFERROR(__xludf.DUMMYFUNCTION("AVERAGE(QUERY(SORT(GOOGLEFINANCE(A92,""price"",TODAY()-500,TODAY()),1,0),""select Col2 limit 200""))"),2537.294)</f>
        <v>2537.294</v>
      </c>
      <c r="F92" s="32" t="str">
        <f t="shared" si="1"/>
        <v>In Bull Run</v>
      </c>
      <c r="G92" s="33">
        <f t="shared" si="2"/>
        <v>5.584926303</v>
      </c>
    </row>
    <row r="93">
      <c r="A93" s="37" t="s">
        <v>109</v>
      </c>
      <c r="B93" s="38">
        <f>IFERROR(__xludf.DUMMYFUNCTION("GOOGLEFINANCE(A93,""price"")"),1138.3)</f>
        <v>1138.3</v>
      </c>
      <c r="C93" s="39">
        <f>IFERROR(__xludf.DUMMYFUNCTION("AVERAGE(QUERY(SORT(GOOGLEFINANCE(A93,""price"",TODAY()-150,TODAY()),1,0),""select Col2 limit 50""))"),1096.3689999999997)</f>
        <v>1096.369</v>
      </c>
      <c r="D93" s="39">
        <f>IFERROR(__xludf.DUMMYFUNCTION("AVERAGE(QUERY(SORT(GOOGLEFINANCE(A93,""price"",TODAY()-300,TODAY()),1,0),""select Col2 limit 100""))"),1148.1615000000004)</f>
        <v>1148.1615</v>
      </c>
      <c r="E93" s="39">
        <f>IFERROR(__xludf.DUMMYFUNCTION("AVERAGE(QUERY(SORT(GOOGLEFINANCE(A93,""price"",TODAY()-500,TODAY()),1,0),""select Col2 limit 200""))"),1197.1805000000004)</f>
        <v>1197.1805</v>
      </c>
      <c r="F93" s="32" t="str">
        <f t="shared" si="1"/>
        <v>Unconfirmed</v>
      </c>
      <c r="G93" s="33">
        <f t="shared" si="2"/>
        <v>-4.918264205</v>
      </c>
    </row>
    <row r="94">
      <c r="A94" s="37" t="s">
        <v>110</v>
      </c>
      <c r="B94" s="38">
        <f>IFERROR(__xludf.DUMMYFUNCTION("GOOGLEFINANCE(A94,""price"")"),80.55)</f>
        <v>80.55</v>
      </c>
      <c r="C94" s="39">
        <f>IFERROR(__xludf.DUMMYFUNCTION("AVERAGE(QUERY(SORT(GOOGLEFINANCE(A94,""price"",TODAY()-150,TODAY()),1,0),""select Col2 limit 50""))"),78.8342)</f>
        <v>78.8342</v>
      </c>
      <c r="D94" s="39">
        <f>IFERROR(__xludf.DUMMYFUNCTION("AVERAGE(QUERY(SORT(GOOGLEFINANCE(A94,""price"",TODAY()-300,TODAY()),1,0),""select Col2 limit 100""))"),78.31269999999999)</f>
        <v>78.3127</v>
      </c>
      <c r="E94" s="39">
        <f>IFERROR(__xludf.DUMMYFUNCTION("AVERAGE(QUERY(SORT(GOOGLEFINANCE(A94,""price"",TODAY()-500,TODAY()),1,0),""select Col2 limit 200""))"),80.15839999999999)</f>
        <v>80.1584</v>
      </c>
      <c r="F94" s="32" t="str">
        <f t="shared" si="1"/>
        <v>In Bull Run</v>
      </c>
      <c r="G94" s="33">
        <f t="shared" si="2"/>
        <v>0.4885327052</v>
      </c>
    </row>
    <row r="95">
      <c r="A95" s="37" t="s">
        <v>111</v>
      </c>
      <c r="B95" s="38">
        <f>IFERROR(__xludf.DUMMYFUNCTION("GOOGLEFINANCE(A95,""price"")"),25.41)</f>
        <v>25.41</v>
      </c>
      <c r="C95" s="39">
        <f>IFERROR(__xludf.DUMMYFUNCTION("AVERAGE(QUERY(SORT(GOOGLEFINANCE(A95,""price"",TODAY()-150,TODAY()),1,0),""select Col2 limit 50""))"),25.5532)</f>
        <v>25.5532</v>
      </c>
      <c r="D95" s="39">
        <f>IFERROR(__xludf.DUMMYFUNCTION("AVERAGE(QUERY(SORT(GOOGLEFINANCE(A95,""price"",TODAY()-300,TODAY()),1,0),""select Col2 limit 100""))"),27.199099999999994)</f>
        <v>27.1991</v>
      </c>
      <c r="E95" s="39">
        <f>IFERROR(__xludf.DUMMYFUNCTION("AVERAGE(QUERY(SORT(GOOGLEFINANCE(A95,""price"",TODAY()-500,TODAY()),1,0),""select Col2 limit 200""))"),28.658799999999996)</f>
        <v>28.6588</v>
      </c>
      <c r="F95" s="32" t="str">
        <f t="shared" si="1"/>
        <v>Unconfirmed</v>
      </c>
      <c r="G95" s="33">
        <f t="shared" si="2"/>
        <v>-11.3361341</v>
      </c>
    </row>
    <row r="96">
      <c r="A96" s="37" t="s">
        <v>112</v>
      </c>
      <c r="B96" s="38">
        <f>IFERROR(__xludf.DUMMYFUNCTION("GOOGLEFINANCE(A96,""price"")"),985.0)</f>
        <v>985</v>
      </c>
      <c r="C96" s="39">
        <f>IFERROR(__xludf.DUMMYFUNCTION("AVERAGE(QUERY(SORT(GOOGLEFINANCE(A96,""price"",TODAY()-150,TODAY()),1,0),""select Col2 limit 50""))"),998.059)</f>
        <v>998.059</v>
      </c>
      <c r="D96" s="39">
        <f>IFERROR(__xludf.DUMMYFUNCTION("AVERAGE(QUERY(SORT(GOOGLEFINANCE(A96,""price"",TODAY()-300,TODAY()),1,0),""select Col2 limit 100""))"),1018.4300000000003)</f>
        <v>1018.43</v>
      </c>
      <c r="E96" s="39">
        <f>IFERROR(__xludf.DUMMYFUNCTION("AVERAGE(QUERY(SORT(GOOGLEFINANCE(A96,""price"",TODAY()-500,TODAY()),1,0),""select Col2 limit 200""))"),1087.3530000000003)</f>
        <v>1087.353</v>
      </c>
      <c r="F96" s="32" t="str">
        <f t="shared" si="1"/>
        <v>In Bear Run</v>
      </c>
      <c r="G96" s="33">
        <f t="shared" si="2"/>
        <v>-9.413042499</v>
      </c>
    </row>
    <row r="97">
      <c r="A97" s="37" t="s">
        <v>113</v>
      </c>
      <c r="B97" s="38">
        <f>IFERROR(__xludf.DUMMYFUNCTION("GOOGLEFINANCE(A97,""price"")"),33.67)</f>
        <v>33.67</v>
      </c>
      <c r="C97" s="39">
        <f>IFERROR(__xludf.DUMMYFUNCTION("AVERAGE(QUERY(SORT(GOOGLEFINANCE(A97,""price"",TODAY()-150,TODAY()),1,0),""select Col2 limit 50""))"),33.837599999999995)</f>
        <v>33.8376</v>
      </c>
      <c r="D97" s="39">
        <f>IFERROR(__xludf.DUMMYFUNCTION("AVERAGE(QUERY(SORT(GOOGLEFINANCE(A97,""price"",TODAY()-300,TODAY()),1,0),""select Col2 limit 100""))"),34.60230000000001)</f>
        <v>34.6023</v>
      </c>
      <c r="E97" s="39">
        <f>IFERROR(__xludf.DUMMYFUNCTION("AVERAGE(QUERY(SORT(GOOGLEFINANCE(A97,""price"",TODAY()-500,TODAY()),1,0),""select Col2 limit 200""))"),36.53650000000002)</f>
        <v>36.5365</v>
      </c>
      <c r="F97" s="32" t="str">
        <f t="shared" si="1"/>
        <v>In Bear Run</v>
      </c>
      <c r="G97" s="33">
        <f t="shared" si="2"/>
        <v>-7.845579078</v>
      </c>
    </row>
    <row r="98">
      <c r="A98" s="37" t="s">
        <v>114</v>
      </c>
      <c r="B98" s="38">
        <f>IFERROR(__xludf.DUMMYFUNCTION("GOOGLEFINANCE(A98,""price"")"),394.0)</f>
        <v>394</v>
      </c>
      <c r="C98" s="39">
        <f>IFERROR(__xludf.DUMMYFUNCTION("AVERAGE(QUERY(SORT(GOOGLEFINANCE(A98,""price"",TODAY()-150,TODAY()),1,0),""select Col2 limit 50""))"),413.23900000000003)</f>
        <v>413.239</v>
      </c>
      <c r="D98" s="39">
        <f>IFERROR(__xludf.DUMMYFUNCTION("AVERAGE(QUERY(SORT(GOOGLEFINANCE(A98,""price"",TODAY()-300,TODAY()),1,0),""select Col2 limit 100""))"),451.5004999999999)</f>
        <v>451.5005</v>
      </c>
      <c r="E98" s="39">
        <f>IFERROR(__xludf.DUMMYFUNCTION("AVERAGE(QUERY(SORT(GOOGLEFINANCE(A98,""price"",TODAY()-500,TODAY()),1,0),""select Col2 limit 200""))"),470.9732499999998)</f>
        <v>470.97325</v>
      </c>
      <c r="F98" s="32" t="str">
        <f t="shared" si="1"/>
        <v>Unconfirmed</v>
      </c>
      <c r="G98" s="33">
        <f t="shared" si="2"/>
        <v>-16.34344413</v>
      </c>
    </row>
    <row r="99">
      <c r="A99" s="37" t="s">
        <v>115</v>
      </c>
      <c r="B99" s="38">
        <f>IFERROR(__xludf.DUMMYFUNCTION("GOOGLEFINANCE(A99,""price"")"),5343.0)</f>
        <v>5343</v>
      </c>
      <c r="C99" s="39">
        <f>IFERROR(__xludf.DUMMYFUNCTION("AVERAGE(QUERY(SORT(GOOGLEFINANCE(A99,""price"",TODAY()-150,TODAY()),1,0),""select Col2 limit 50""))"),5385.27)</f>
        <v>5385.27</v>
      </c>
      <c r="D99" s="39">
        <f>IFERROR(__xludf.DUMMYFUNCTION("AVERAGE(QUERY(SORT(GOOGLEFINANCE(A99,""price"",TODAY()-300,TODAY()),1,0),""select Col2 limit 100""))"),5524.92)</f>
        <v>5524.92</v>
      </c>
      <c r="E99" s="39">
        <f>IFERROR(__xludf.DUMMYFUNCTION("AVERAGE(QUERY(SORT(GOOGLEFINANCE(A99,""price"",TODAY()-500,TODAY()),1,0),""select Col2 limit 200""))"),5914.19)</f>
        <v>5914.19</v>
      </c>
      <c r="F99" s="32" t="str">
        <f t="shared" si="1"/>
        <v>In Bear Run</v>
      </c>
      <c r="G99" s="33">
        <f t="shared" si="2"/>
        <v>-9.657958233</v>
      </c>
    </row>
    <row r="100">
      <c r="A100" s="37" t="s">
        <v>116</v>
      </c>
      <c r="B100" s="38">
        <f>IFERROR(__xludf.DUMMYFUNCTION("GOOGLEFINANCE(A100,""price"")"),1857.5)</f>
        <v>1857.5</v>
      </c>
      <c r="C100" s="39">
        <f>IFERROR(__xludf.DUMMYFUNCTION("AVERAGE(QUERY(SORT(GOOGLEFINANCE(A100,""price"",TODAY()-150,TODAY()),1,0),""select Col2 limit 50""))"),1534.902)</f>
        <v>1534.902</v>
      </c>
      <c r="D100" s="39">
        <f>IFERROR(__xludf.DUMMYFUNCTION("AVERAGE(QUERY(SORT(GOOGLEFINANCE(A100,""price"",TODAY()-300,TODAY()),1,0),""select Col2 limit 100""))"),1382.305)</f>
        <v>1382.305</v>
      </c>
      <c r="E100" s="39">
        <f>IFERROR(__xludf.DUMMYFUNCTION("AVERAGE(QUERY(SORT(GOOGLEFINANCE(A100,""price"",TODAY()-500,TODAY()),1,0),""select Col2 limit 200""))"),1349.470999999999)</f>
        <v>1349.471</v>
      </c>
      <c r="F100" s="32" t="str">
        <f t="shared" si="1"/>
        <v>Unconfirmed</v>
      </c>
      <c r="G100" s="33">
        <f t="shared" si="2"/>
        <v>37.64652964</v>
      </c>
    </row>
    <row r="101">
      <c r="A101" s="37" t="s">
        <v>117</v>
      </c>
      <c r="B101" s="38">
        <f>IFERROR(__xludf.DUMMYFUNCTION("GOOGLEFINANCE(A101,""price"")"),21.72)</f>
        <v>21.72</v>
      </c>
      <c r="C101" s="39">
        <f>IFERROR(__xludf.DUMMYFUNCTION("AVERAGE(QUERY(SORT(GOOGLEFINANCE(A101,""price"",TODAY()-150,TODAY()),1,0),""select Col2 limit 50""))"),21.258000000000003)</f>
        <v>21.258</v>
      </c>
      <c r="D101" s="39">
        <f>IFERROR(__xludf.DUMMYFUNCTION("AVERAGE(QUERY(SORT(GOOGLEFINANCE(A101,""price"",TODAY()-300,TODAY()),1,0),""select Col2 limit 100""))"),21.030799999999996)</f>
        <v>21.0308</v>
      </c>
      <c r="E101" s="39">
        <f>IFERROR(__xludf.DUMMYFUNCTION("AVERAGE(QUERY(SORT(GOOGLEFINANCE(A101,""price"",TODAY()-500,TODAY()),1,0),""select Col2 limit 200""))"),21.322849999999995)</f>
        <v>21.32285</v>
      </c>
      <c r="F101" s="32" t="str">
        <f t="shared" si="1"/>
        <v>In Bull Run</v>
      </c>
      <c r="G101" s="33">
        <f t="shared" si="2"/>
        <v>1.862555897</v>
      </c>
    </row>
    <row r="102">
      <c r="A102" s="37" t="s">
        <v>118</v>
      </c>
      <c r="B102" s="38">
        <f>IFERROR(__xludf.DUMMYFUNCTION("GOOGLEFINANCE(A102,""price"")"),686.85)</f>
        <v>686.85</v>
      </c>
      <c r="C102" s="39">
        <f>IFERROR(__xludf.DUMMYFUNCTION("AVERAGE(QUERY(SORT(GOOGLEFINANCE(A102,""price"",TODAY()-150,TODAY()),1,0),""select Col2 limit 50""))"),660.0620000000001)</f>
        <v>660.062</v>
      </c>
      <c r="D102" s="39">
        <f>IFERROR(__xludf.DUMMYFUNCTION("AVERAGE(QUERY(SORT(GOOGLEFINANCE(A102,""price"",TODAY()-300,TODAY()),1,0),""select Col2 limit 100""))"),658.2085000000001)</f>
        <v>658.2085</v>
      </c>
      <c r="E102" s="39">
        <f>IFERROR(__xludf.DUMMYFUNCTION("AVERAGE(QUERY(SORT(GOOGLEFINANCE(A102,""price"",TODAY()-500,TODAY()),1,0),""select Col2 limit 200""))"),712.1307500000004)</f>
        <v>712.13075</v>
      </c>
      <c r="F102" s="32" t="str">
        <f t="shared" si="1"/>
        <v>Unconfirmed</v>
      </c>
      <c r="G102" s="33">
        <f t="shared" si="2"/>
        <v>-3.550015218</v>
      </c>
    </row>
    <row r="103">
      <c r="A103" s="37" t="s">
        <v>119</v>
      </c>
      <c r="B103" s="38">
        <f>IFERROR(__xludf.DUMMYFUNCTION("GOOGLEFINANCE(A103,""price"")"),370.6)</f>
        <v>370.6</v>
      </c>
      <c r="C103" s="39">
        <f>IFERROR(__xludf.DUMMYFUNCTION("AVERAGE(QUERY(SORT(GOOGLEFINANCE(A103,""price"",TODAY()-150,TODAY()),1,0),""select Col2 limit 50""))"),359.881)</f>
        <v>359.881</v>
      </c>
      <c r="D103" s="39">
        <f>IFERROR(__xludf.DUMMYFUNCTION("AVERAGE(QUERY(SORT(GOOGLEFINANCE(A103,""price"",TODAY()-300,TODAY()),1,0),""select Col2 limit 100""))"),385.9475)</f>
        <v>385.9475</v>
      </c>
      <c r="E103" s="39">
        <f>IFERROR(__xludf.DUMMYFUNCTION("AVERAGE(QUERY(SORT(GOOGLEFINANCE(A103,""price"",TODAY()-500,TODAY()),1,0),""select Col2 limit 200""))"),401.80325000000033)</f>
        <v>401.80325</v>
      </c>
      <c r="F103" s="32" t="str">
        <f t="shared" si="1"/>
        <v>Unconfirmed</v>
      </c>
      <c r="G103" s="33">
        <f t="shared" si="2"/>
        <v>-7.765803288</v>
      </c>
    </row>
    <row r="104">
      <c r="A104" s="37" t="s">
        <v>120</v>
      </c>
      <c r="B104" s="38">
        <f>IFERROR(__xludf.DUMMYFUNCTION("GOOGLEFINANCE(A104,""price"")"),2197.3)</f>
        <v>2197.3</v>
      </c>
      <c r="C104" s="39">
        <f>IFERROR(__xludf.DUMMYFUNCTION("AVERAGE(QUERY(SORT(GOOGLEFINANCE(A104,""price"",TODAY()-150,TODAY()),1,0),""select Col2 limit 50""))"),2201.126)</f>
        <v>2201.126</v>
      </c>
      <c r="D104" s="39">
        <f>IFERROR(__xludf.DUMMYFUNCTION("AVERAGE(QUERY(SORT(GOOGLEFINANCE(A104,""price"",TODAY()-300,TODAY()),1,0),""select Col2 limit 100""))"),2275.9300000000003)</f>
        <v>2275.93</v>
      </c>
      <c r="E104" s="39">
        <f>IFERROR(__xludf.DUMMYFUNCTION("AVERAGE(QUERY(SORT(GOOGLEFINANCE(A104,""price"",TODAY()-500,TODAY()),1,0),""select Col2 limit 200""))"),2386.2015)</f>
        <v>2386.2015</v>
      </c>
      <c r="F104" s="32" t="str">
        <f t="shared" si="1"/>
        <v>In Bear Run</v>
      </c>
      <c r="G104" s="33">
        <f t="shared" si="2"/>
        <v>-7.916410244</v>
      </c>
    </row>
    <row r="105">
      <c r="A105" s="37" t="s">
        <v>121</v>
      </c>
      <c r="B105" s="38">
        <f>IFERROR(__xludf.DUMMYFUNCTION("GOOGLEFINANCE(A105,""price"")"),3615.0)</f>
        <v>3615</v>
      </c>
      <c r="C105" s="39">
        <f>IFERROR(__xludf.DUMMYFUNCTION("AVERAGE(QUERY(SORT(GOOGLEFINANCE(A105,""price"",TODAY()-150,TODAY()),1,0),""select Col2 limit 50""))"),3424.62)</f>
        <v>3424.62</v>
      </c>
      <c r="D105" s="39">
        <f>IFERROR(__xludf.DUMMYFUNCTION("AVERAGE(QUERY(SORT(GOOGLEFINANCE(A105,""price"",TODAY()-300,TODAY()),1,0),""select Col2 limit 100""))"),3405.982)</f>
        <v>3405.982</v>
      </c>
      <c r="E105" s="39">
        <f>IFERROR(__xludf.DUMMYFUNCTION("AVERAGE(QUERY(SORT(GOOGLEFINANCE(A105,""price"",TODAY()-500,TODAY()),1,0),""select Col2 limit 200""))"),3487.6075)</f>
        <v>3487.6075</v>
      </c>
      <c r="F105" s="32" t="str">
        <f t="shared" si="1"/>
        <v>In Bull Run</v>
      </c>
      <c r="G105" s="33">
        <f t="shared" si="2"/>
        <v>3.652718948</v>
      </c>
    </row>
    <row r="106">
      <c r="A106" s="37" t="s">
        <v>122</v>
      </c>
      <c r="B106" s="38">
        <f>IFERROR(__xludf.DUMMYFUNCTION("GOOGLEFINANCE(A106,""price"")"),1211.8)</f>
        <v>1211.8</v>
      </c>
      <c r="C106" s="39">
        <f>IFERROR(__xludf.DUMMYFUNCTION("AVERAGE(QUERY(SORT(GOOGLEFINANCE(A106,""price"",TODAY()-150,TODAY()),1,0),""select Col2 limit 50""))"),1254.5399999999997)</f>
        <v>1254.54</v>
      </c>
      <c r="D106" s="39">
        <f>IFERROR(__xludf.DUMMYFUNCTION("AVERAGE(QUERY(SORT(GOOGLEFINANCE(A106,""price"",TODAY()-300,TODAY()),1,0),""select Col2 limit 100""))"),1320.3049999999996)</f>
        <v>1320.305</v>
      </c>
      <c r="E106" s="39">
        <f>IFERROR(__xludf.DUMMYFUNCTION("AVERAGE(QUERY(SORT(GOOGLEFINANCE(A106,""price"",TODAY()-500,TODAY()),1,0),""select Col2 limit 200""))"),1405.960499999999)</f>
        <v>1405.9605</v>
      </c>
      <c r="F106" s="32" t="str">
        <f t="shared" si="1"/>
        <v>Unconfirmed</v>
      </c>
      <c r="G106" s="33">
        <f t="shared" si="2"/>
        <v>-13.80981187</v>
      </c>
    </row>
    <row r="107">
      <c r="A107" s="37" t="s">
        <v>123</v>
      </c>
      <c r="B107" s="38">
        <f>IFERROR(__xludf.DUMMYFUNCTION("GOOGLEFINANCE(A107,""price"")"),545.0)</f>
        <v>545</v>
      </c>
      <c r="C107" s="39">
        <f>IFERROR(__xludf.DUMMYFUNCTION("AVERAGE(QUERY(SORT(GOOGLEFINANCE(A107,""price"",TODAY()-150,TODAY()),1,0),""select Col2 limit 50""))"),533.2270000000001)</f>
        <v>533.227</v>
      </c>
      <c r="D107" s="39">
        <f>IFERROR(__xludf.DUMMYFUNCTION("AVERAGE(QUERY(SORT(GOOGLEFINANCE(A107,""price"",TODAY()-300,TODAY()),1,0),""select Col2 limit 100""))"),528.7020000000001)</f>
        <v>528.702</v>
      </c>
      <c r="E107" s="39">
        <f>IFERROR(__xludf.DUMMYFUNCTION("AVERAGE(QUERY(SORT(GOOGLEFINANCE(A107,""price"",TODAY()-500,TODAY()),1,0),""select Col2 limit 200""))"),546.0332500000002)</f>
        <v>546.03325</v>
      </c>
      <c r="F107" s="32" t="str">
        <f t="shared" si="1"/>
        <v>Unconfirmed</v>
      </c>
      <c r="G107" s="33">
        <f t="shared" si="2"/>
        <v>-0.1892284032</v>
      </c>
    </row>
    <row r="108">
      <c r="A108" s="37" t="s">
        <v>124</v>
      </c>
      <c r="B108" s="38">
        <f>IFERROR(__xludf.DUMMYFUNCTION("GOOGLEFINANCE(A108,""price"")"),1545.1)</f>
        <v>1545.1</v>
      </c>
      <c r="C108" s="39">
        <f>IFERROR(__xludf.DUMMYFUNCTION("AVERAGE(QUERY(SORT(GOOGLEFINANCE(A108,""price"",TODAY()-150,TODAY()),1,0),""select Col2 limit 50""))"),1532.1459999999995)</f>
        <v>1532.146</v>
      </c>
      <c r="D108" s="39">
        <f>IFERROR(__xludf.DUMMYFUNCTION("AVERAGE(QUERY(SORT(GOOGLEFINANCE(A108,""price"",TODAY()-300,TODAY()),1,0),""select Col2 limit 100""))"),1601.9899999999998)</f>
        <v>1601.99</v>
      </c>
      <c r="E108" s="39">
        <f>IFERROR(__xludf.DUMMYFUNCTION("AVERAGE(QUERY(SORT(GOOGLEFINANCE(A108,""price"",TODAY()-500,TODAY()),1,0),""select Col2 limit 200""))"),1683.9884999999995)</f>
        <v>1683.9885</v>
      </c>
      <c r="F108" s="32" t="str">
        <f t="shared" si="1"/>
        <v>Unconfirmed</v>
      </c>
      <c r="G108" s="33">
        <f t="shared" si="2"/>
        <v>-8.247591952</v>
      </c>
    </row>
    <row r="109">
      <c r="A109" s="37" t="s">
        <v>125</v>
      </c>
      <c r="B109" s="38">
        <f>IFERROR(__xludf.DUMMYFUNCTION("GOOGLEFINANCE(A109,""price"")"),337.8)</f>
        <v>337.8</v>
      </c>
      <c r="C109" s="39">
        <f>IFERROR(__xludf.DUMMYFUNCTION("AVERAGE(QUERY(SORT(GOOGLEFINANCE(A109,""price"",TODAY()-150,TODAY()),1,0),""select Col2 limit 50""))"),346.12500000000006)</f>
        <v>346.125</v>
      </c>
      <c r="D109" s="39">
        <f>IFERROR(__xludf.DUMMYFUNCTION("AVERAGE(QUERY(SORT(GOOGLEFINANCE(A109,""price"",TODAY()-300,TODAY()),1,0),""select Col2 limit 100""))"),353.26050000000004)</f>
        <v>353.2605</v>
      </c>
      <c r="E109" s="39">
        <f>IFERROR(__xludf.DUMMYFUNCTION("AVERAGE(QUERY(SORT(GOOGLEFINANCE(A109,""price"",TODAY()-500,TODAY()),1,0),""select Col2 limit 200""))"),360.7375000000001)</f>
        <v>360.7375</v>
      </c>
      <c r="F109" s="32" t="str">
        <f t="shared" si="1"/>
        <v>In Bear Run</v>
      </c>
      <c r="G109" s="33">
        <f t="shared" si="2"/>
        <v>-6.358501681</v>
      </c>
    </row>
    <row r="110">
      <c r="A110" s="37" t="s">
        <v>126</v>
      </c>
      <c r="B110" s="38">
        <f>IFERROR(__xludf.DUMMYFUNCTION("GOOGLEFINANCE(A110,""price"")"),282.6)</f>
        <v>282.6</v>
      </c>
      <c r="C110" s="39">
        <f>IFERROR(__xludf.DUMMYFUNCTION("AVERAGE(QUERY(SORT(GOOGLEFINANCE(A110,""price"",TODAY()-150,TODAY()),1,0),""select Col2 limit 50""))"),264.9032)</f>
        <v>264.9032</v>
      </c>
      <c r="D110" s="39">
        <f>IFERROR(__xludf.DUMMYFUNCTION("AVERAGE(QUERY(SORT(GOOGLEFINANCE(A110,""price"",TODAY()-300,TODAY()),1,0),""select Col2 limit 100""))"),264.9881000000001)</f>
        <v>264.9881</v>
      </c>
      <c r="E110" s="39">
        <f>IFERROR(__xludf.DUMMYFUNCTION("AVERAGE(QUERY(SORT(GOOGLEFINANCE(A110,""price"",TODAY()-500,TODAY()),1,0),""select Col2 limit 200""))"),280.63355000000007)</f>
        <v>280.63355</v>
      </c>
      <c r="F110" s="32" t="str">
        <f t="shared" si="1"/>
        <v>In Bull Run</v>
      </c>
      <c r="G110" s="33">
        <f t="shared" si="2"/>
        <v>0.7007180717</v>
      </c>
    </row>
    <row r="111">
      <c r="A111" s="37" t="s">
        <v>127</v>
      </c>
      <c r="B111" s="38">
        <f>IFERROR(__xludf.DUMMYFUNCTION("GOOGLEFINANCE(A111,""price"")"),1808.6)</f>
        <v>1808.6</v>
      </c>
      <c r="C111" s="39">
        <f>IFERROR(__xludf.DUMMYFUNCTION("AVERAGE(QUERY(SORT(GOOGLEFINANCE(A111,""price"",TODAY()-150,TODAY()),1,0),""select Col2 limit 50""))"),1762.8459999999998)</f>
        <v>1762.846</v>
      </c>
      <c r="D111" s="39">
        <f>IFERROR(__xludf.DUMMYFUNCTION("AVERAGE(QUERY(SORT(GOOGLEFINANCE(A111,""price"",TODAY()-300,TODAY()),1,0),""select Col2 limit 100""))"),1879.5400000000002)</f>
        <v>1879.54</v>
      </c>
      <c r="E111" s="39">
        <f>IFERROR(__xludf.DUMMYFUNCTION("AVERAGE(QUERY(SORT(GOOGLEFINANCE(A111,""price"",TODAY()-500,TODAY()),1,0),""select Col2 limit 200""))"),1956.9845000000005)</f>
        <v>1956.9845</v>
      </c>
      <c r="F111" s="32" t="str">
        <f t="shared" si="1"/>
        <v>Unconfirmed</v>
      </c>
      <c r="G111" s="33">
        <f t="shared" si="2"/>
        <v>-7.582303283</v>
      </c>
    </row>
    <row r="112">
      <c r="A112" s="37" t="s">
        <v>128</v>
      </c>
      <c r="B112" s="38">
        <f>IFERROR(__xludf.DUMMYFUNCTION("GOOGLEFINANCE(A112,""price"")"),2233.2)</f>
        <v>2233.2</v>
      </c>
      <c r="C112" s="39">
        <f>IFERROR(__xludf.DUMMYFUNCTION("AVERAGE(QUERY(SORT(GOOGLEFINANCE(A112,""price"",TODAY()-150,TODAY()),1,0),""select Col2 limit 50""))"),2190.0040000000004)</f>
        <v>2190.004</v>
      </c>
      <c r="D112" s="39">
        <f>IFERROR(__xludf.DUMMYFUNCTION("AVERAGE(QUERY(SORT(GOOGLEFINANCE(A112,""price"",TODAY()-300,TODAY()),1,0),""select Col2 limit 100""))"),2315.8269999999993)</f>
        <v>2315.827</v>
      </c>
      <c r="E112" s="39">
        <f>IFERROR(__xludf.DUMMYFUNCTION("AVERAGE(QUERY(SORT(GOOGLEFINANCE(A112,""price"",TODAY()-500,TODAY()),1,0),""select Col2 limit 200""))"),2340.2399999999984)</f>
        <v>2340.24</v>
      </c>
      <c r="F112" s="32" t="str">
        <f t="shared" si="1"/>
        <v>Unconfirmed</v>
      </c>
      <c r="G112" s="33">
        <f t="shared" si="2"/>
        <v>-4.573889857</v>
      </c>
    </row>
    <row r="113">
      <c r="A113" s="37" t="s">
        <v>129</v>
      </c>
      <c r="B113" s="38">
        <f>IFERROR(__xludf.DUMMYFUNCTION("GOOGLEFINANCE(A113,""price"")"),70.28)</f>
        <v>70.28</v>
      </c>
      <c r="C113" s="39">
        <f>IFERROR(__xludf.DUMMYFUNCTION("AVERAGE(QUERY(SORT(GOOGLEFINANCE(A113,""price"",TODAY()-150,TODAY()),1,0),""select Col2 limit 50""))"),66.28519999999999)</f>
        <v>66.2852</v>
      </c>
      <c r="D113" s="39">
        <f>IFERROR(__xludf.DUMMYFUNCTION("AVERAGE(QUERY(SORT(GOOGLEFINANCE(A113,""price"",TODAY()-300,TODAY()),1,0),""select Col2 limit 100""))"),73.61639999999998)</f>
        <v>73.6164</v>
      </c>
      <c r="E113" s="39">
        <f>IFERROR(__xludf.DUMMYFUNCTION("AVERAGE(QUERY(SORT(GOOGLEFINANCE(A113,""price"",TODAY()-500,TODAY()),1,0),""select Col2 limit 200""))"),74.46145000000004)</f>
        <v>74.46145</v>
      </c>
      <c r="F113" s="32" t="str">
        <f t="shared" si="1"/>
        <v>Unconfirmed</v>
      </c>
      <c r="G113" s="33">
        <f t="shared" si="2"/>
        <v>-5.615590349</v>
      </c>
    </row>
    <row r="114">
      <c r="A114" s="37" t="s">
        <v>130</v>
      </c>
      <c r="B114" s="38">
        <f>IFERROR(__xludf.DUMMYFUNCTION("GOOGLEFINANCE(A114,""price"")"),2408.7)</f>
        <v>2408.7</v>
      </c>
      <c r="C114" s="39">
        <f>IFERROR(__xludf.DUMMYFUNCTION("AVERAGE(QUERY(SORT(GOOGLEFINANCE(A114,""price"",TODAY()-150,TODAY()),1,0),""select Col2 limit 50""))"),2221.8119999999994)</f>
        <v>2221.812</v>
      </c>
      <c r="D114" s="39">
        <f>IFERROR(__xludf.DUMMYFUNCTION("AVERAGE(QUERY(SORT(GOOGLEFINANCE(A114,""price"",TODAY()-300,TODAY()),1,0),""select Col2 limit 100""))"),2184.552999999999)</f>
        <v>2184.553</v>
      </c>
      <c r="E114" s="39">
        <f>IFERROR(__xludf.DUMMYFUNCTION("AVERAGE(QUERY(SORT(GOOGLEFINANCE(A114,""price"",TODAY()-500,TODAY()),1,0),""select Col2 limit 200""))"),2293.817999999999)</f>
        <v>2293.818</v>
      </c>
      <c r="F114" s="32" t="str">
        <f t="shared" si="1"/>
        <v>In Bull Run</v>
      </c>
      <c r="G114" s="33">
        <f t="shared" si="2"/>
        <v>5.008331088</v>
      </c>
    </row>
    <row r="115">
      <c r="A115" s="37" t="s">
        <v>131</v>
      </c>
      <c r="B115" s="38">
        <f>IFERROR(__xludf.DUMMYFUNCTION("GOOGLEFINANCE(A115,""price"")"),839.25)</f>
        <v>839.25</v>
      </c>
      <c r="C115" s="39">
        <f>IFERROR(__xludf.DUMMYFUNCTION("AVERAGE(QUERY(SORT(GOOGLEFINANCE(A115,""price"",TODAY()-150,TODAY()),1,0),""select Col2 limit 50""))"),794.945)</f>
        <v>794.945</v>
      </c>
      <c r="D115" s="39">
        <f>IFERROR(__xludf.DUMMYFUNCTION("AVERAGE(QUERY(SORT(GOOGLEFINANCE(A115,""price"",TODAY()-300,TODAY()),1,0),""select Col2 limit 100""))"),820.0325)</f>
        <v>820.0325</v>
      </c>
      <c r="E115" s="39">
        <f>IFERROR(__xludf.DUMMYFUNCTION("AVERAGE(QUERY(SORT(GOOGLEFINANCE(A115,""price"",TODAY()-500,TODAY()),1,0),""select Col2 limit 200""))"),854.102)</f>
        <v>854.102</v>
      </c>
      <c r="F115" s="32" t="str">
        <f t="shared" si="1"/>
        <v>Unconfirmed</v>
      </c>
      <c r="G115" s="33">
        <f t="shared" si="2"/>
        <v>-1.738902379</v>
      </c>
    </row>
    <row r="116">
      <c r="A116" s="37" t="s">
        <v>132</v>
      </c>
      <c r="B116" s="38">
        <f>IFERROR(__xludf.DUMMYFUNCTION("GOOGLEFINANCE(A116,""price"")"),1346.9)</f>
        <v>1346.9</v>
      </c>
      <c r="C116" s="39">
        <f>IFERROR(__xludf.DUMMYFUNCTION("AVERAGE(QUERY(SORT(GOOGLEFINANCE(A116,""price"",TODAY()-150,TODAY()),1,0),""select Col2 limit 50""))"),1479.4019999999996)</f>
        <v>1479.402</v>
      </c>
      <c r="D116" s="39">
        <f>IFERROR(__xludf.DUMMYFUNCTION("AVERAGE(QUERY(SORT(GOOGLEFINANCE(A116,""price"",TODAY()-300,TODAY()),1,0),""select Col2 limit 100""))"),1522.761)</f>
        <v>1522.761</v>
      </c>
      <c r="E116" s="39">
        <f>IFERROR(__xludf.DUMMYFUNCTION("AVERAGE(QUERY(SORT(GOOGLEFINANCE(A116,""price"",TODAY()-500,TODAY()),1,0),""select Col2 limit 200""))"),1654.2369999999999)</f>
        <v>1654.237</v>
      </c>
      <c r="F116" s="32" t="str">
        <f t="shared" si="1"/>
        <v>Unconfirmed</v>
      </c>
      <c r="G116" s="33">
        <f t="shared" si="2"/>
        <v>-18.5787768</v>
      </c>
    </row>
    <row r="117">
      <c r="A117" s="37" t="s">
        <v>133</v>
      </c>
      <c r="B117" s="38">
        <f>IFERROR(__xludf.DUMMYFUNCTION("GOOGLEFINANCE(A117,""price"")"),4092.0)</f>
        <v>4092</v>
      </c>
      <c r="C117" s="39">
        <f>IFERROR(__xludf.DUMMYFUNCTION("AVERAGE(QUERY(SORT(GOOGLEFINANCE(A117,""price"",TODAY()-150,TODAY()),1,0),""select Col2 limit 50""))"),4251.799999999999)</f>
        <v>4251.8</v>
      </c>
      <c r="D117" s="39">
        <f>IFERROR(__xludf.DUMMYFUNCTION("AVERAGE(QUERY(SORT(GOOGLEFINANCE(A117,""price"",TODAY()-300,TODAY()),1,0),""select Col2 limit 100""))"),4031.62)</f>
        <v>4031.62</v>
      </c>
      <c r="E117" s="39">
        <f>IFERROR(__xludf.DUMMYFUNCTION("AVERAGE(QUERY(SORT(GOOGLEFINANCE(A117,""price"",TODAY()-500,TODAY()),1,0),""select Col2 limit 200""))"),4154.964500000001)</f>
        <v>4154.9645</v>
      </c>
      <c r="F117" s="32" t="str">
        <f t="shared" si="1"/>
        <v>Unconfirmed</v>
      </c>
      <c r="G117" s="33">
        <f t="shared" si="2"/>
        <v>-1.515404043</v>
      </c>
    </row>
    <row r="118">
      <c r="A118" s="37" t="s">
        <v>134</v>
      </c>
      <c r="B118" s="38">
        <f>IFERROR(__xludf.DUMMYFUNCTION("GOOGLEFINANCE(A118,""price"")"),2743.8)</f>
        <v>2743.8</v>
      </c>
      <c r="C118" s="39">
        <f>IFERROR(__xludf.DUMMYFUNCTION("AVERAGE(QUERY(SORT(GOOGLEFINANCE(A118,""price"",TODAY()-150,TODAY()),1,0),""select Col2 limit 50""))"),2415.584)</f>
        <v>2415.584</v>
      </c>
      <c r="D118" s="39">
        <f>IFERROR(__xludf.DUMMYFUNCTION("AVERAGE(QUERY(SORT(GOOGLEFINANCE(A118,""price"",TODAY()-300,TODAY()),1,0),""select Col2 limit 100""))"),2468.395)</f>
        <v>2468.395</v>
      </c>
      <c r="E118" s="39">
        <f>IFERROR(__xludf.DUMMYFUNCTION("AVERAGE(QUERY(SORT(GOOGLEFINANCE(A118,""price"",TODAY()-500,TODAY()),1,0),""select Col2 limit 200""))"),2620.629500000001)</f>
        <v>2620.6295</v>
      </c>
      <c r="F118" s="32" t="str">
        <f t="shared" si="1"/>
        <v>In Bull Run</v>
      </c>
      <c r="G118" s="33">
        <f t="shared" si="2"/>
        <v>4.700034858</v>
      </c>
    </row>
    <row r="119">
      <c r="A119" s="37" t="s">
        <v>135</v>
      </c>
      <c r="B119" s="38">
        <f>IFERROR(__xludf.DUMMYFUNCTION("GOOGLEFINANCE(A119,""price"")"),1028.7)</f>
        <v>1028.7</v>
      </c>
      <c r="C119" s="39">
        <f>IFERROR(__xludf.DUMMYFUNCTION("AVERAGE(QUERY(SORT(GOOGLEFINANCE(A119,""price"",TODAY()-150,TODAY()),1,0),""select Col2 limit 50""))"),1051.1080000000002)</f>
        <v>1051.108</v>
      </c>
      <c r="D119" s="39">
        <f>IFERROR(__xludf.DUMMYFUNCTION("AVERAGE(QUERY(SORT(GOOGLEFINANCE(A119,""price"",TODAY()-300,TODAY()),1,0),""select Col2 limit 100""))"),1126.442)</f>
        <v>1126.442</v>
      </c>
      <c r="E119" s="39">
        <f>IFERROR(__xludf.DUMMYFUNCTION("AVERAGE(QUERY(SORT(GOOGLEFINANCE(A119,""price"",TODAY()-500,TODAY()),1,0),""select Col2 limit 200""))"),1152.2019999999998)</f>
        <v>1152.202</v>
      </c>
      <c r="F119" s="32" t="str">
        <f t="shared" si="1"/>
        <v>Unconfirmed</v>
      </c>
      <c r="G119" s="33">
        <f t="shared" si="2"/>
        <v>-10.71878021</v>
      </c>
    </row>
    <row r="120">
      <c r="A120" s="37" t="s">
        <v>136</v>
      </c>
      <c r="B120" s="38">
        <f>IFERROR(__xludf.DUMMYFUNCTION("GOOGLEFINANCE(A120,""price"")"),1898.8)</f>
        <v>1898.8</v>
      </c>
      <c r="C120" s="39">
        <f>IFERROR(__xludf.DUMMYFUNCTION("AVERAGE(QUERY(SORT(GOOGLEFINANCE(A120,""price"",TODAY()-150,TODAY()),1,0),""select Col2 limit 50""))"),1847.2579999999994)</f>
        <v>1847.258</v>
      </c>
      <c r="D120" s="39">
        <f>IFERROR(__xludf.DUMMYFUNCTION("AVERAGE(QUERY(SORT(GOOGLEFINANCE(A120,""price"",TODAY()-300,TODAY()),1,0),""select Col2 limit 100""))"),2037.1679999999992)</f>
        <v>2037.168</v>
      </c>
      <c r="E120" s="39">
        <f>IFERROR(__xludf.DUMMYFUNCTION("AVERAGE(QUERY(SORT(GOOGLEFINANCE(A120,""price"",TODAY()-500,TODAY()),1,0),""select Col2 limit 200""))"),2219.5745000000006)</f>
        <v>2219.5745</v>
      </c>
      <c r="F120" s="32" t="str">
        <f t="shared" si="1"/>
        <v>Unconfirmed</v>
      </c>
      <c r="G120" s="33">
        <f t="shared" si="2"/>
        <v>-14.45207178</v>
      </c>
    </row>
    <row r="121">
      <c r="A121" s="37" t="s">
        <v>137</v>
      </c>
      <c r="B121" s="38">
        <f>IFERROR(__xludf.DUMMYFUNCTION("GOOGLEFINANCE(A121,""price"")"),127465.0)</f>
        <v>127465</v>
      </c>
      <c r="C121" s="39">
        <f>IFERROR(__xludf.DUMMYFUNCTION("AVERAGE(QUERY(SORT(GOOGLEFINANCE(A121,""price"",TODAY()-150,TODAY()),1,0),""select Col2 limit 50""))"),131063.1)</f>
        <v>131063.1</v>
      </c>
      <c r="D121" s="39">
        <f>IFERROR(__xludf.DUMMYFUNCTION("AVERAGE(QUERY(SORT(GOOGLEFINANCE(A121,""price"",TODAY()-300,TODAY()),1,0),""select Col2 limit 100""))"),137465.8)</f>
        <v>137465.8</v>
      </c>
      <c r="E121" s="39">
        <f>IFERROR(__xludf.DUMMYFUNCTION("AVERAGE(QUERY(SORT(GOOGLEFINANCE(A121,""price"",TODAY()-500,TODAY()),1,0),""select Col2 limit 200""))"),144615.775)</f>
        <v>144615.775</v>
      </c>
      <c r="F121" s="32" t="str">
        <f t="shared" si="1"/>
        <v>Unconfirmed</v>
      </c>
      <c r="G121" s="33">
        <f t="shared" si="2"/>
        <v>-11.85954644</v>
      </c>
    </row>
    <row r="122">
      <c r="A122" s="37" t="s">
        <v>138</v>
      </c>
      <c r="B122" s="38">
        <f>IFERROR(__xludf.DUMMYFUNCTION("GOOGLEFINANCE(A122,""price"")"),2712.0)</f>
        <v>2712</v>
      </c>
      <c r="C122" s="39">
        <f>IFERROR(__xludf.DUMMYFUNCTION("AVERAGE(QUERY(SORT(GOOGLEFINANCE(A122,""price"",TODAY()-150,TODAY()),1,0),""select Col2 limit 50""))"),2595.1799999999994)</f>
        <v>2595.18</v>
      </c>
      <c r="D122" s="39">
        <f>IFERROR(__xludf.DUMMYFUNCTION("AVERAGE(QUERY(SORT(GOOGLEFINANCE(A122,""price"",TODAY()-300,TODAY()),1,0),""select Col2 limit 100""))"),2616.0190000000007)</f>
        <v>2616.019</v>
      </c>
      <c r="E122" s="39">
        <f>IFERROR(__xludf.DUMMYFUNCTION("AVERAGE(QUERY(SORT(GOOGLEFINANCE(A122,""price"",TODAY()-500,TODAY()),1,0),""select Col2 limit 200""))"),2690.9165000000007)</f>
        <v>2690.9165</v>
      </c>
      <c r="F122" s="32" t="str">
        <f t="shared" si="1"/>
        <v>In Bull Run</v>
      </c>
      <c r="G122" s="33">
        <f t="shared" si="2"/>
        <v>0.7835062887</v>
      </c>
    </row>
    <row r="123">
      <c r="A123" s="37" t="s">
        <v>139</v>
      </c>
      <c r="B123" s="38">
        <f>IFERROR(__xludf.DUMMYFUNCTION("GOOGLEFINANCE(A123,""price"")"),2912.0)</f>
        <v>2912</v>
      </c>
      <c r="C123" s="39">
        <f>IFERROR(__xludf.DUMMYFUNCTION("AVERAGE(QUERY(SORT(GOOGLEFINANCE(A123,""price"",TODAY()-150,TODAY()),1,0),""select Col2 limit 50""))"),3086.6659999999993)</f>
        <v>3086.666</v>
      </c>
      <c r="D123" s="39">
        <f>IFERROR(__xludf.DUMMYFUNCTION("AVERAGE(QUERY(SORT(GOOGLEFINANCE(A123,""price"",TODAY()-300,TODAY()),1,0),""select Col2 limit 100""))"),3342.8469999999984)</f>
        <v>3342.847</v>
      </c>
      <c r="E123" s="39">
        <f>IFERROR(__xludf.DUMMYFUNCTION("AVERAGE(QUERY(SORT(GOOGLEFINANCE(A123,""price"",TODAY()-500,TODAY()),1,0),""select Col2 limit 200""))"),3484.9949999999976)</f>
        <v>3484.995</v>
      </c>
      <c r="F123" s="32" t="str">
        <f t="shared" si="1"/>
        <v>Unconfirmed</v>
      </c>
      <c r="G123" s="33">
        <f t="shared" si="2"/>
        <v>-16.44177395</v>
      </c>
    </row>
    <row r="124">
      <c r="A124" s="37" t="s">
        <v>140</v>
      </c>
      <c r="B124" s="38">
        <f>IFERROR(__xludf.DUMMYFUNCTION("GOOGLEFINANCE(A124,""price"")"),1117.9)</f>
        <v>1117.9</v>
      </c>
      <c r="C124" s="39">
        <f>IFERROR(__xludf.DUMMYFUNCTION("AVERAGE(QUERY(SORT(GOOGLEFINANCE(A124,""price"",TODAY()-150,TODAY()),1,0),""select Col2 limit 50""))"),1090.3059999999998)</f>
        <v>1090.306</v>
      </c>
      <c r="D124" s="39">
        <f>IFERROR(__xludf.DUMMYFUNCTION("AVERAGE(QUERY(SORT(GOOGLEFINANCE(A124,""price"",TODAY()-300,TODAY()),1,0),""select Col2 limit 100""))"),1147.3229999999996)</f>
        <v>1147.323</v>
      </c>
      <c r="E124" s="39">
        <f>IFERROR(__xludf.DUMMYFUNCTION("AVERAGE(QUERY(SORT(GOOGLEFINANCE(A124,""price"",TODAY()-500,TODAY()),1,0),""select Col2 limit 200""))"),1199.758999999999)</f>
        <v>1199.759</v>
      </c>
      <c r="F124" s="32" t="str">
        <f t="shared" si="1"/>
        <v>Unconfirmed</v>
      </c>
      <c r="G124" s="33">
        <f t="shared" si="2"/>
        <v>-6.82295361</v>
      </c>
    </row>
    <row r="125">
      <c r="A125" s="37" t="s">
        <v>141</v>
      </c>
      <c r="B125" s="38">
        <f>IFERROR(__xludf.DUMMYFUNCTION("GOOGLEFINANCE(A125,""price"")"),1286.5)</f>
        <v>1286.5</v>
      </c>
      <c r="C125" s="39">
        <f>IFERROR(__xludf.DUMMYFUNCTION("AVERAGE(QUERY(SORT(GOOGLEFINANCE(A125,""price"",TODAY()-150,TODAY()),1,0),""select Col2 limit 50""))"),1277.464)</f>
        <v>1277.464</v>
      </c>
      <c r="D125" s="39">
        <f>IFERROR(__xludf.DUMMYFUNCTION("AVERAGE(QUERY(SORT(GOOGLEFINANCE(A125,""price"",TODAY()-300,TODAY()),1,0),""select Col2 limit 100""))"),1329.249)</f>
        <v>1329.249</v>
      </c>
      <c r="E125" s="39">
        <f>IFERROR(__xludf.DUMMYFUNCTION("AVERAGE(QUERY(SORT(GOOGLEFINANCE(A125,""price"",TODAY()-500,TODAY()),1,0),""select Col2 limit 200""))"),1359.717)</f>
        <v>1359.717</v>
      </c>
      <c r="F125" s="32" t="str">
        <f t="shared" si="1"/>
        <v>Unconfirmed</v>
      </c>
      <c r="G125" s="33">
        <f t="shared" si="2"/>
        <v>-5.384723439</v>
      </c>
    </row>
    <row r="126">
      <c r="A126" s="37" t="s">
        <v>142</v>
      </c>
      <c r="B126" s="38">
        <f>IFERROR(__xludf.DUMMYFUNCTION("GOOGLEFINANCE(A126,""price"")"),393.9)</f>
        <v>393.9</v>
      </c>
      <c r="C126" s="39">
        <f>IFERROR(__xludf.DUMMYFUNCTION("AVERAGE(QUERY(SORT(GOOGLEFINANCE(A126,""price"",TODAY()-150,TODAY()),1,0),""select Col2 limit 50""))"),366.3829999999998)</f>
        <v>366.383</v>
      </c>
      <c r="D126" s="39">
        <f>IFERROR(__xludf.DUMMYFUNCTION("AVERAGE(QUERY(SORT(GOOGLEFINANCE(A126,""price"",TODAY()-300,TODAY()),1,0),""select Col2 limit 100""))"),407.8474999999998)</f>
        <v>407.8475</v>
      </c>
      <c r="E126" s="39">
        <f>IFERROR(__xludf.DUMMYFUNCTION("AVERAGE(QUERY(SORT(GOOGLEFINANCE(A126,""price"",TODAY()-500,TODAY()),1,0),""select Col2 limit 200""))"),422.1557499999999)</f>
        <v>422.15575</v>
      </c>
      <c r="F126" s="32" t="str">
        <f t="shared" si="1"/>
        <v>Unconfirmed</v>
      </c>
      <c r="G126" s="33">
        <f t="shared" si="2"/>
        <v>-6.693205055</v>
      </c>
    </row>
    <row r="127">
      <c r="A127" s="37" t="s">
        <v>143</v>
      </c>
      <c r="B127" s="38">
        <f>IFERROR(__xludf.DUMMYFUNCTION("GOOGLEFINANCE(A127,""price"")"),1301.9)</f>
        <v>1301.9</v>
      </c>
      <c r="C127" s="39">
        <f>IFERROR(__xludf.DUMMYFUNCTION("AVERAGE(QUERY(SORT(GOOGLEFINANCE(A127,""price"",TODAY()-150,TODAY()),1,0),""select Col2 limit 50""))"),1298.2320000000002)</f>
        <v>1298.232</v>
      </c>
      <c r="D127" s="39">
        <f>IFERROR(__xludf.DUMMYFUNCTION("AVERAGE(QUERY(SORT(GOOGLEFINANCE(A127,""price"",TODAY()-300,TODAY()),1,0),""select Col2 limit 100""))"),1335.9860000000003)</f>
        <v>1335.986</v>
      </c>
      <c r="E127" s="39">
        <f>IFERROR(__xludf.DUMMYFUNCTION("AVERAGE(QUERY(SORT(GOOGLEFINANCE(A127,""price"",TODAY()-500,TODAY()),1,0),""select Col2 limit 200""))"),1352.0615000000007)</f>
        <v>1352.0615</v>
      </c>
      <c r="F127" s="32" t="str">
        <f t="shared" si="1"/>
        <v>Unconfirmed</v>
      </c>
      <c r="G127" s="33">
        <f t="shared" si="2"/>
        <v>-3.710001357</v>
      </c>
    </row>
    <row r="128">
      <c r="A128" s="37" t="s">
        <v>144</v>
      </c>
      <c r="B128" s="38">
        <f>IFERROR(__xludf.DUMMYFUNCTION("GOOGLEFINANCE(A128,""price"")"),532.35)</f>
        <v>532.35</v>
      </c>
      <c r="C128" s="39">
        <f>IFERROR(__xludf.DUMMYFUNCTION("AVERAGE(QUERY(SORT(GOOGLEFINANCE(A128,""price"",TODAY()-150,TODAY()),1,0),""select Col2 limit 50""))"),462.181)</f>
        <v>462.181</v>
      </c>
      <c r="D128" s="39">
        <f>IFERROR(__xludf.DUMMYFUNCTION("AVERAGE(QUERY(SORT(GOOGLEFINANCE(A128,""price"",TODAY()-300,TODAY()),1,0),""select Col2 limit 100""))"),465.4934999999999)</f>
        <v>465.4935</v>
      </c>
      <c r="E128" s="39">
        <f>IFERROR(__xludf.DUMMYFUNCTION("AVERAGE(QUERY(SORT(GOOGLEFINANCE(A128,""price"",TODAY()-500,TODAY()),1,0),""select Col2 limit 200""))"),469.82450000000006)</f>
        <v>469.8245</v>
      </c>
      <c r="F128" s="32" t="str">
        <f t="shared" si="1"/>
        <v>Unconfirmed</v>
      </c>
      <c r="G128" s="33">
        <f t="shared" si="2"/>
        <v>13.30826724</v>
      </c>
    </row>
    <row r="129">
      <c r="A129" s="37" t="s">
        <v>145</v>
      </c>
      <c r="B129" s="38">
        <f>IFERROR(__xludf.DUMMYFUNCTION("GOOGLEFINANCE(A129,""price"")"),3159.0)</f>
        <v>3159</v>
      </c>
      <c r="C129" s="39">
        <f>IFERROR(__xludf.DUMMYFUNCTION("AVERAGE(QUERY(SORT(GOOGLEFINANCE(A129,""price"",TODAY()-150,TODAY()),1,0),""select Col2 limit 50""))"),2783.6160000000004)</f>
        <v>2783.616</v>
      </c>
      <c r="D129" s="39">
        <f>IFERROR(__xludf.DUMMYFUNCTION("AVERAGE(QUERY(SORT(GOOGLEFINANCE(A129,""price"",TODAY()-300,TODAY()),1,0),""select Col2 limit 100""))"),2639.132)</f>
        <v>2639.132</v>
      </c>
      <c r="E129" s="39">
        <f>IFERROR(__xludf.DUMMYFUNCTION("AVERAGE(QUERY(SORT(GOOGLEFINANCE(A129,""price"",TODAY()-500,TODAY()),1,0),""select Col2 limit 200""))"),2823.1539999999995)</f>
        <v>2823.154</v>
      </c>
      <c r="F129" s="32" t="str">
        <f t="shared" si="1"/>
        <v>Unconfirmed</v>
      </c>
      <c r="G129" s="33">
        <f t="shared" si="2"/>
        <v>11.89612752</v>
      </c>
    </row>
    <row r="130">
      <c r="A130" s="37" t="s">
        <v>146</v>
      </c>
      <c r="B130" s="38">
        <f>IFERROR(__xludf.DUMMYFUNCTION("GOOGLEFINANCE(A130,""price"")"),442.95)</f>
        <v>442.95</v>
      </c>
      <c r="C130" s="39">
        <f>IFERROR(__xludf.DUMMYFUNCTION("AVERAGE(QUERY(SORT(GOOGLEFINANCE(A130,""price"",TODAY()-150,TODAY()),1,0),""select Col2 limit 50""))"),445.5869999999999)</f>
        <v>445.587</v>
      </c>
      <c r="D130" s="39">
        <f>IFERROR(__xludf.DUMMYFUNCTION("AVERAGE(QUERY(SORT(GOOGLEFINANCE(A130,""price"",TODAY()-300,TODAY()),1,0),""select Col2 limit 100""))"),477.40249999999986)</f>
        <v>477.4025</v>
      </c>
      <c r="E130" s="39">
        <f>IFERROR(__xludf.DUMMYFUNCTION("AVERAGE(QUERY(SORT(GOOGLEFINANCE(A130,""price"",TODAY()-500,TODAY()),1,0),""select Col2 limit 200""))"),495.32299999999987)</f>
        <v>495.323</v>
      </c>
      <c r="F130" s="32" t="str">
        <f t="shared" si="1"/>
        <v>Unconfirmed</v>
      </c>
      <c r="G130" s="33">
        <f t="shared" si="2"/>
        <v>-10.57350456</v>
      </c>
    </row>
    <row r="131">
      <c r="A131" s="37" t="s">
        <v>147</v>
      </c>
      <c r="B131" s="38">
        <f>IFERROR(__xludf.DUMMYFUNCTION("GOOGLEFINANCE(A131,""price"")"),1860.7)</f>
        <v>1860.7</v>
      </c>
      <c r="C131" s="39">
        <f>IFERROR(__xludf.DUMMYFUNCTION("AVERAGE(QUERY(SORT(GOOGLEFINANCE(A131,""price"",TODAY()-150,TODAY()),1,0),""select Col2 limit 50""))"),1837.9519999999995)</f>
        <v>1837.952</v>
      </c>
      <c r="D131" s="39">
        <f>IFERROR(__xludf.DUMMYFUNCTION("AVERAGE(QUERY(SORT(GOOGLEFINANCE(A131,""price"",TODAY()-300,TODAY()),1,0),""select Col2 limit 100""))"),1919.3099999999995)</f>
        <v>1919.31</v>
      </c>
      <c r="E131" s="39">
        <f>IFERROR(__xludf.DUMMYFUNCTION("AVERAGE(QUERY(SORT(GOOGLEFINANCE(A131,""price"",TODAY()-500,TODAY()),1,0),""select Col2 limit 200""))"),1957.802)</f>
        <v>1957.802</v>
      </c>
      <c r="F131" s="32" t="str">
        <f t="shared" si="1"/>
        <v>Unconfirmed</v>
      </c>
      <c r="G131" s="33">
        <f t="shared" si="2"/>
        <v>-4.959745674</v>
      </c>
    </row>
    <row r="132">
      <c r="A132" s="37" t="s">
        <v>148</v>
      </c>
      <c r="B132" s="38">
        <f>IFERROR(__xludf.DUMMYFUNCTION("GOOGLEFINANCE(A132,""price"")"),3682.0)</f>
        <v>3682</v>
      </c>
      <c r="C132" s="39">
        <f>IFERROR(__xludf.DUMMYFUNCTION("AVERAGE(QUERY(SORT(GOOGLEFINANCE(A132,""price"",TODAY()-150,TODAY()),1,0),""select Col2 limit 50""))"),3015.3019999999997)</f>
        <v>3015.302</v>
      </c>
      <c r="D132" s="39">
        <f>IFERROR(__xludf.DUMMYFUNCTION("AVERAGE(QUERY(SORT(GOOGLEFINANCE(A132,""price"",TODAY()-300,TODAY()),1,0),""select Col2 limit 100""))"),2815.4279999999985)</f>
        <v>2815.428</v>
      </c>
      <c r="E132" s="39">
        <f>IFERROR(__xludf.DUMMYFUNCTION("AVERAGE(QUERY(SORT(GOOGLEFINANCE(A132,""price"",TODAY()-500,TODAY()),1,0),""select Col2 limit 200""))"),3019.921500000001)</f>
        <v>3019.9215</v>
      </c>
      <c r="F132" s="32" t="str">
        <f t="shared" si="1"/>
        <v>Unconfirmed</v>
      </c>
      <c r="G132" s="33">
        <f t="shared" si="2"/>
        <v>21.92369901</v>
      </c>
    </row>
    <row r="133">
      <c r="A133" s="37" t="s">
        <v>149</v>
      </c>
      <c r="B133" s="38">
        <f>IFERROR(__xludf.DUMMYFUNCTION("GOOGLEFINANCE(A133,""price"")"),1086.55)</f>
        <v>1086.55</v>
      </c>
      <c r="C133" s="39">
        <f>IFERROR(__xludf.DUMMYFUNCTION("AVERAGE(QUERY(SORT(GOOGLEFINANCE(A133,""price"",TODAY()-150,TODAY()),1,0),""select Col2 limit 50""))"),931.79)</f>
        <v>931.79</v>
      </c>
      <c r="D133" s="39">
        <f>IFERROR(__xludf.DUMMYFUNCTION("AVERAGE(QUERY(SORT(GOOGLEFINANCE(A133,""price"",TODAY()-300,TODAY()),1,0),""select Col2 limit 100""))"),917.4985)</f>
        <v>917.4985</v>
      </c>
      <c r="E133" s="39">
        <f>IFERROR(__xludf.DUMMYFUNCTION("AVERAGE(QUERY(SORT(GOOGLEFINANCE(A133,""price"",TODAY()-500,TODAY()),1,0),""select Col2 limit 200""))"),945.2634999999998)</f>
        <v>945.2635</v>
      </c>
      <c r="F133" s="32" t="str">
        <f t="shared" si="1"/>
        <v>Unconfirmed</v>
      </c>
      <c r="G133" s="33">
        <f t="shared" si="2"/>
        <v>14.94678468</v>
      </c>
    </row>
    <row r="134">
      <c r="A134" s="37" t="s">
        <v>150</v>
      </c>
      <c r="B134" s="38">
        <f>IFERROR(__xludf.DUMMYFUNCTION("GOOGLEFINANCE(A134,""price"")"),397.1)</f>
        <v>397.1</v>
      </c>
      <c r="C134" s="39">
        <f>IFERROR(__xludf.DUMMYFUNCTION("AVERAGE(QUERY(SORT(GOOGLEFINANCE(A134,""price"",TODAY()-150,TODAY()),1,0),""select Col2 limit 50""))"),385.24399999999986)</f>
        <v>385.244</v>
      </c>
      <c r="D134" s="39">
        <f>IFERROR(__xludf.DUMMYFUNCTION("AVERAGE(QUERY(SORT(GOOGLEFINANCE(A134,""price"",TODAY()-300,TODAY()),1,0),""select Col2 limit 100""))"),380.8184999999999)</f>
        <v>380.8185</v>
      </c>
      <c r="E134" s="39">
        <f>IFERROR(__xludf.DUMMYFUNCTION("AVERAGE(QUERY(SORT(GOOGLEFINANCE(A134,""price"",TODAY()-500,TODAY()),1,0),""select Col2 limit 200""))"),379.68)</f>
        <v>379.68</v>
      </c>
      <c r="F134" s="32" t="str">
        <f t="shared" si="1"/>
        <v>In Bull Run</v>
      </c>
      <c r="G134" s="33">
        <f t="shared" si="2"/>
        <v>4.588074168</v>
      </c>
    </row>
    <row r="135">
      <c r="A135" s="37" t="s">
        <v>151</v>
      </c>
      <c r="B135" s="38">
        <f>IFERROR(__xludf.DUMMYFUNCTION("GOOGLEFINANCE(A135,""price"")"),1858.6)</f>
        <v>1858.6</v>
      </c>
      <c r="C135" s="39">
        <f>IFERROR(__xludf.DUMMYFUNCTION("AVERAGE(QUERY(SORT(GOOGLEFINANCE(A135,""price"",TODAY()-150,TODAY()),1,0),""select Col2 limit 50""))"),1799.3380000000002)</f>
        <v>1799.338</v>
      </c>
      <c r="D135" s="39">
        <f>IFERROR(__xludf.DUMMYFUNCTION("AVERAGE(QUERY(SORT(GOOGLEFINANCE(A135,""price"",TODAY()-300,TODAY()),1,0),""select Col2 limit 100""))"),1849.0680000000013)</f>
        <v>1849.068</v>
      </c>
      <c r="E135" s="39">
        <f>IFERROR(__xludf.DUMMYFUNCTION("AVERAGE(QUERY(SORT(GOOGLEFINANCE(A135,""price"",TODAY()-500,TODAY()),1,0),""select Col2 limit 200""))"),1893.6220000000008)</f>
        <v>1893.622</v>
      </c>
      <c r="F135" s="32" t="str">
        <f t="shared" si="1"/>
        <v>Unconfirmed</v>
      </c>
      <c r="G135" s="33">
        <f t="shared" si="2"/>
        <v>-1.849471542</v>
      </c>
    </row>
    <row r="136">
      <c r="A136" s="37" t="s">
        <v>152</v>
      </c>
      <c r="B136" s="38">
        <f>IFERROR(__xludf.DUMMYFUNCTION("GOOGLEFINANCE(A136,""price"")"),389.3)</f>
        <v>389.3</v>
      </c>
      <c r="C136" s="39">
        <f>IFERROR(__xludf.DUMMYFUNCTION("AVERAGE(QUERY(SORT(GOOGLEFINANCE(A136,""price"",TODAY()-150,TODAY()),1,0),""select Col2 limit 50""))"),375.24799999999993)</f>
        <v>375.248</v>
      </c>
      <c r="D136" s="39">
        <f>IFERROR(__xludf.DUMMYFUNCTION("AVERAGE(QUERY(SORT(GOOGLEFINANCE(A136,""price"",TODAY()-300,TODAY()),1,0),""select Col2 limit 100""))"),398.24849999999986)</f>
        <v>398.2485</v>
      </c>
      <c r="E136" s="39">
        <f>IFERROR(__xludf.DUMMYFUNCTION("AVERAGE(QUERY(SORT(GOOGLEFINANCE(A136,""price"",TODAY()-500,TODAY()),1,0),""select Col2 limit 200""))"),406.4973499999999)</f>
        <v>406.49735</v>
      </c>
      <c r="F136" s="32" t="str">
        <f t="shared" si="1"/>
        <v>Unconfirmed</v>
      </c>
      <c r="G136" s="33">
        <f t="shared" si="2"/>
        <v>-4.230617986</v>
      </c>
    </row>
    <row r="137">
      <c r="A137" s="37" t="s">
        <v>153</v>
      </c>
      <c r="B137" s="38">
        <f>IFERROR(__xludf.DUMMYFUNCTION("GOOGLEFINANCE(A137,""price"")"),22.87)</f>
        <v>22.87</v>
      </c>
      <c r="C137" s="39">
        <f>IFERROR(__xludf.DUMMYFUNCTION("AVERAGE(QUERY(SORT(GOOGLEFINANCE(A137,""price"",TODAY()-150,TODAY()),1,0),""select Col2 limit 50""))"),20.021399999999996)</f>
        <v>20.0214</v>
      </c>
      <c r="D137" s="39">
        <f>IFERROR(__xludf.DUMMYFUNCTION("AVERAGE(QUERY(SORT(GOOGLEFINANCE(A137,""price"",TODAY()-300,TODAY()),1,0),""select Col2 limit 100""))"),20.739799999999995)</f>
        <v>20.7398</v>
      </c>
      <c r="E137" s="39">
        <f>IFERROR(__xludf.DUMMYFUNCTION("AVERAGE(QUERY(SORT(GOOGLEFINANCE(A137,""price"",TODAY()-500,TODAY()),1,0),""select Col2 limit 200""))"),21.071949999999998)</f>
        <v>21.07195</v>
      </c>
      <c r="F137" s="32" t="str">
        <f t="shared" si="1"/>
        <v>In Bull Run</v>
      </c>
      <c r="G137" s="33">
        <f t="shared" si="2"/>
        <v>8.532907491</v>
      </c>
    </row>
    <row r="138">
      <c r="A138" s="37" t="s">
        <v>154</v>
      </c>
      <c r="B138" s="38">
        <f>IFERROR(__xludf.DUMMYFUNCTION("GOOGLEFINANCE(A138,""price"")"),595.0)</f>
        <v>595</v>
      </c>
      <c r="C138" s="39">
        <f>IFERROR(__xludf.DUMMYFUNCTION("AVERAGE(QUERY(SORT(GOOGLEFINANCE(A138,""price"",TODAY()-150,TODAY()),1,0),""select Col2 limit 50""))"),526.7399999999999)</f>
        <v>526.74</v>
      </c>
      <c r="D138" s="39">
        <f>IFERROR(__xludf.DUMMYFUNCTION("AVERAGE(QUERY(SORT(GOOGLEFINANCE(A138,""price"",TODAY()-300,TODAY()),1,0),""select Col2 limit 100""))"),505.0295)</f>
        <v>505.0295</v>
      </c>
      <c r="E138" s="39">
        <f>IFERROR(__xludf.DUMMYFUNCTION("AVERAGE(QUERY(SORT(GOOGLEFINANCE(A138,""price"",TODAY()-500,TODAY()),1,0),""select Col2 limit 200""))"),510.31000000000023)</f>
        <v>510.31</v>
      </c>
      <c r="F138" s="32" t="str">
        <f t="shared" si="1"/>
        <v>Unconfirmed</v>
      </c>
      <c r="G138" s="33">
        <f t="shared" si="2"/>
        <v>16.59579471</v>
      </c>
    </row>
    <row r="139">
      <c r="A139" s="37" t="s">
        <v>155</v>
      </c>
      <c r="B139" s="38">
        <f>IFERROR(__xludf.DUMMYFUNCTION("GOOGLEFINANCE(A139,""price"")"),1122.5)</f>
        <v>1122.5</v>
      </c>
      <c r="C139" s="39">
        <f>IFERROR(__xludf.DUMMYFUNCTION("AVERAGE(QUERY(SORT(GOOGLEFINANCE(A139,""price"",TODAY()-150,TODAY()),1,0),""select Col2 limit 50""))"),1049.372)</f>
        <v>1049.372</v>
      </c>
      <c r="D139" s="39">
        <f>IFERROR(__xludf.DUMMYFUNCTION("AVERAGE(QUERY(SORT(GOOGLEFINANCE(A139,""price"",TODAY()-300,TODAY()),1,0),""select Col2 limit 100""))"),1091.9940000000001)</f>
        <v>1091.994</v>
      </c>
      <c r="E139" s="39">
        <f>IFERROR(__xludf.DUMMYFUNCTION("AVERAGE(QUERY(SORT(GOOGLEFINANCE(A139,""price"",TODAY()-500,TODAY()),1,0),""select Col2 limit 200""))"),1093.3479999999997)</f>
        <v>1093.348</v>
      </c>
      <c r="F139" s="32" t="str">
        <f t="shared" si="1"/>
        <v>In Bull Run</v>
      </c>
      <c r="G139" s="33">
        <f t="shared" si="2"/>
        <v>2.666305696</v>
      </c>
    </row>
    <row r="140">
      <c r="A140" s="37" t="s">
        <v>156</v>
      </c>
      <c r="B140" s="38">
        <f>IFERROR(__xludf.DUMMYFUNCTION("GOOGLEFINANCE(A140,""price"")"),1478.4)</f>
        <v>1478.4</v>
      </c>
      <c r="C140" s="39">
        <f>IFERROR(__xludf.DUMMYFUNCTION("AVERAGE(QUERY(SORT(GOOGLEFINANCE(A140,""price"",TODAY()-150,TODAY()),1,0),""select Col2 limit 50""))"),1385.9259999999997)</f>
        <v>1385.926</v>
      </c>
      <c r="D140" s="39">
        <f>IFERROR(__xludf.DUMMYFUNCTION("AVERAGE(QUERY(SORT(GOOGLEFINANCE(A140,""price"",TODAY()-300,TODAY()),1,0),""select Col2 limit 100""))"),1427.241)</f>
        <v>1427.241</v>
      </c>
      <c r="E140" s="39">
        <f>IFERROR(__xludf.DUMMYFUNCTION("AVERAGE(QUERY(SORT(GOOGLEFINANCE(A140,""price"",TODAY()-500,TODAY()),1,0),""select Col2 limit 200""))"),1463.0852500000005)</f>
        <v>1463.08525</v>
      </c>
      <c r="F140" s="32" t="str">
        <f t="shared" si="1"/>
        <v>In Bull Run</v>
      </c>
      <c r="G140" s="33">
        <f t="shared" si="2"/>
        <v>1.046743517</v>
      </c>
    </row>
    <row r="141">
      <c r="A141" s="37" t="s">
        <v>157</v>
      </c>
      <c r="B141" s="38">
        <f>IFERROR(__xludf.DUMMYFUNCTION("GOOGLEFINANCE(A141,""price"")"),4565.0)</f>
        <v>4565</v>
      </c>
      <c r="C141" s="39">
        <f>IFERROR(__xludf.DUMMYFUNCTION("AVERAGE(QUERY(SORT(GOOGLEFINANCE(A141,""price"",TODAY()-150,TODAY()),1,0),""select Col2 limit 50""))"),3865.4180000000006)</f>
        <v>3865.418</v>
      </c>
      <c r="D141" s="39">
        <f>IFERROR(__xludf.DUMMYFUNCTION("AVERAGE(QUERY(SORT(GOOGLEFINANCE(A141,""price"",TODAY()-300,TODAY()),1,0),""select Col2 limit 100""))"),3431.7480000000014)</f>
        <v>3431.748</v>
      </c>
      <c r="E141" s="39">
        <f>IFERROR(__xludf.DUMMYFUNCTION("AVERAGE(QUERY(SORT(GOOGLEFINANCE(A141,""price"",TODAY()-500,TODAY()),1,0),""select Col2 limit 200""))"),3296.143)</f>
        <v>3296.143</v>
      </c>
      <c r="F141" s="32" t="str">
        <f t="shared" si="1"/>
        <v>Unconfirmed</v>
      </c>
      <c r="G141" s="33">
        <f t="shared" si="2"/>
        <v>38.49520485</v>
      </c>
    </row>
    <row r="142">
      <c r="A142" s="37" t="s">
        <v>158</v>
      </c>
      <c r="B142" s="38">
        <f>IFERROR(__xludf.DUMMYFUNCTION("GOOGLEFINANCE(A142,""price"")"),3130.0)</f>
        <v>3130</v>
      </c>
      <c r="C142" s="39">
        <f>IFERROR(__xludf.DUMMYFUNCTION("AVERAGE(QUERY(SORT(GOOGLEFINANCE(A142,""price"",TODAY()-150,TODAY()),1,0),""select Col2 limit 50""))"),3127.2320000000013)</f>
        <v>3127.232</v>
      </c>
      <c r="D142" s="39">
        <f>IFERROR(__xludf.DUMMYFUNCTION("AVERAGE(QUERY(SORT(GOOGLEFINANCE(A142,""price"",TODAY()-300,TODAY()),1,0),""select Col2 limit 100""))"),3336.231)</f>
        <v>3336.231</v>
      </c>
      <c r="E142" s="39">
        <f>IFERROR(__xludf.DUMMYFUNCTION("AVERAGE(QUERY(SORT(GOOGLEFINANCE(A142,""price"",TODAY()-500,TODAY()),1,0),""select Col2 limit 200""))"),3430.2074999999995)</f>
        <v>3430.2075</v>
      </c>
      <c r="F142" s="32" t="str">
        <f t="shared" si="1"/>
        <v>Unconfirmed</v>
      </c>
      <c r="G142" s="33">
        <f t="shared" si="2"/>
        <v>-8.751875798</v>
      </c>
    </row>
    <row r="143">
      <c r="A143" s="37" t="s">
        <v>159</v>
      </c>
      <c r="B143" s="38">
        <f>IFERROR(__xludf.DUMMYFUNCTION("GOOGLEFINANCE(A143,""price"")"),13187.0)</f>
        <v>13187</v>
      </c>
      <c r="C143" s="39">
        <f>IFERROR(__xludf.DUMMYFUNCTION("AVERAGE(QUERY(SORT(GOOGLEFINANCE(A143,""price"",TODAY()-150,TODAY()),1,0),""select Col2 limit 50""))"),13095.4)</f>
        <v>13095.4</v>
      </c>
      <c r="D143" s="39">
        <f>IFERROR(__xludf.DUMMYFUNCTION("AVERAGE(QUERY(SORT(GOOGLEFINANCE(A143,""price"",TODAY()-300,TODAY()),1,0),""select Col2 limit 100""))"),14279.27)</f>
        <v>14279.27</v>
      </c>
      <c r="E143" s="39">
        <f>IFERROR(__xludf.DUMMYFUNCTION("AVERAGE(QUERY(SORT(GOOGLEFINANCE(A143,""price"",TODAY()-500,TODAY()),1,0),""select Col2 limit 200""))"),14856.715)</f>
        <v>14856.715</v>
      </c>
      <c r="F143" s="32" t="str">
        <f t="shared" si="1"/>
        <v>Unconfirmed</v>
      </c>
      <c r="G143" s="33">
        <f t="shared" si="2"/>
        <v>-11.23879</v>
      </c>
    </row>
    <row r="144">
      <c r="A144" s="37" t="s">
        <v>160</v>
      </c>
      <c r="B144" s="38">
        <f>IFERROR(__xludf.DUMMYFUNCTION("GOOGLEFINANCE(A144,""price"")"),1780.7)</f>
        <v>1780.7</v>
      </c>
      <c r="C144" s="39">
        <f>IFERROR(__xludf.DUMMYFUNCTION("AVERAGE(QUERY(SORT(GOOGLEFINANCE(A144,""price"",TODAY()-150,TODAY()),1,0),""select Col2 limit 50""))"),1698.836)</f>
        <v>1698.836</v>
      </c>
      <c r="D144" s="39">
        <f>IFERROR(__xludf.DUMMYFUNCTION("AVERAGE(QUERY(SORT(GOOGLEFINANCE(A144,""price"",TODAY()-300,TODAY()),1,0),""select Col2 limit 100""))"),1731.5770000000005)</f>
        <v>1731.577</v>
      </c>
      <c r="E144" s="39">
        <f>IFERROR(__xludf.DUMMYFUNCTION("AVERAGE(QUERY(SORT(GOOGLEFINANCE(A144,""price"",TODAY()-500,TODAY()),1,0),""select Col2 limit 200""))"),1684.5829999999999)</f>
        <v>1684.583</v>
      </c>
      <c r="F144" s="32" t="str">
        <f t="shared" si="1"/>
        <v>In Bull Run</v>
      </c>
      <c r="G144" s="33">
        <f t="shared" si="2"/>
        <v>5.705685027</v>
      </c>
    </row>
    <row r="145">
      <c r="A145" s="37" t="s">
        <v>161</v>
      </c>
      <c r="B145" s="38">
        <f>IFERROR(__xludf.DUMMYFUNCTION("GOOGLEFINANCE(A145,""price"")"),2086.7)</f>
        <v>2086.7</v>
      </c>
      <c r="C145" s="39">
        <f>IFERROR(__xludf.DUMMYFUNCTION("AVERAGE(QUERY(SORT(GOOGLEFINANCE(A145,""price"",TODAY()-150,TODAY()),1,0),""select Col2 limit 50""))"),2034.052)</f>
        <v>2034.052</v>
      </c>
      <c r="D145" s="39">
        <f>IFERROR(__xludf.DUMMYFUNCTION("AVERAGE(QUERY(SORT(GOOGLEFINANCE(A145,""price"",TODAY()-300,TODAY()),1,0),""select Col2 limit 100""))"),2088.831)</f>
        <v>2088.831</v>
      </c>
      <c r="E145" s="39">
        <f>IFERROR(__xludf.DUMMYFUNCTION("AVERAGE(QUERY(SORT(GOOGLEFINANCE(A145,""price"",TODAY()-500,TODAY()),1,0),""select Col2 limit 200""))"),2162.1725000000006)</f>
        <v>2162.1725</v>
      </c>
      <c r="F145" s="32" t="str">
        <f t="shared" si="1"/>
        <v>Unconfirmed</v>
      </c>
      <c r="G145" s="33">
        <f t="shared" si="2"/>
        <v>-3.490586436</v>
      </c>
    </row>
    <row r="146">
      <c r="A146" s="37" t="s">
        <v>162</v>
      </c>
      <c r="B146" s="38">
        <f>IFERROR(__xludf.DUMMYFUNCTION("GOOGLEFINANCE(A146,""price"")"),1358.2)</f>
        <v>1358.2</v>
      </c>
      <c r="C146" s="39">
        <f>IFERROR(__xludf.DUMMYFUNCTION("AVERAGE(QUERY(SORT(GOOGLEFINANCE(A146,""price"",TODAY()-150,TODAY()),1,0),""select Col2 limit 50""))"),1373.2779999999998)</f>
        <v>1373.278</v>
      </c>
      <c r="D146" s="39">
        <f>IFERROR(__xludf.DUMMYFUNCTION("AVERAGE(QUERY(SORT(GOOGLEFINANCE(A146,""price"",TODAY()-300,TODAY()),1,0),""select Col2 limit 100""))"),1409.527)</f>
        <v>1409.527</v>
      </c>
      <c r="E146" s="39">
        <f>IFERROR(__xludf.DUMMYFUNCTION("AVERAGE(QUERY(SORT(GOOGLEFINANCE(A146,""price"",TODAY()-500,TODAY()),1,0),""select Col2 limit 200""))"),1429.2559999999994)</f>
        <v>1429.256</v>
      </c>
      <c r="F146" s="32" t="str">
        <f t="shared" si="1"/>
        <v>In Bear Run</v>
      </c>
      <c r="G146" s="33">
        <f t="shared" si="2"/>
        <v>-4.971537639</v>
      </c>
    </row>
    <row r="147">
      <c r="A147" s="37" t="s">
        <v>163</v>
      </c>
      <c r="B147" s="38">
        <f>IFERROR(__xludf.DUMMYFUNCTION("GOOGLEFINANCE(A147,""price"")"),521.4)</f>
        <v>521.4</v>
      </c>
      <c r="C147" s="39">
        <f>IFERROR(__xludf.DUMMYFUNCTION("AVERAGE(QUERY(SORT(GOOGLEFINANCE(A147,""price"",TODAY()-150,TODAY()),1,0),""select Col2 limit 50""))"),541.832)</f>
        <v>541.832</v>
      </c>
      <c r="D147" s="39">
        <f>IFERROR(__xludf.DUMMYFUNCTION("AVERAGE(QUERY(SORT(GOOGLEFINANCE(A147,""price"",TODAY()-300,TODAY()),1,0),""select Col2 limit 100""))"),597.5884999999998)</f>
        <v>597.5885</v>
      </c>
      <c r="E147" s="39">
        <f>IFERROR(__xludf.DUMMYFUNCTION("AVERAGE(QUERY(SORT(GOOGLEFINANCE(A147,""price"",TODAY()-500,TODAY()),1,0),""select Col2 limit 200""))"),605.275)</f>
        <v>605.275</v>
      </c>
      <c r="F147" s="32" t="str">
        <f t="shared" si="1"/>
        <v>Unconfirmed</v>
      </c>
      <c r="G147" s="33">
        <f t="shared" si="2"/>
        <v>-13.85733757</v>
      </c>
    </row>
    <row r="148">
      <c r="A148" s="37" t="s">
        <v>164</v>
      </c>
      <c r="B148" s="38">
        <f>IFERROR(__xludf.DUMMYFUNCTION("GOOGLEFINANCE(A148,""price"")"),427.6)</f>
        <v>427.6</v>
      </c>
      <c r="C148" s="39">
        <f>IFERROR(__xludf.DUMMYFUNCTION("AVERAGE(QUERY(SORT(GOOGLEFINANCE(A148,""price"",TODAY()-150,TODAY()),1,0),""select Col2 limit 50""))"),413.117)</f>
        <v>413.117</v>
      </c>
      <c r="D148" s="39">
        <f>IFERROR(__xludf.DUMMYFUNCTION("AVERAGE(QUERY(SORT(GOOGLEFINANCE(A148,""price"",TODAY()-300,TODAY()),1,0),""select Col2 limit 100""))"),392.2879999999998)</f>
        <v>392.288</v>
      </c>
      <c r="E148" s="39">
        <f>IFERROR(__xludf.DUMMYFUNCTION("AVERAGE(QUERY(SORT(GOOGLEFINANCE(A148,""price"",TODAY()-500,TODAY()),1,0),""select Col2 limit 200""))"),390.4932500000002)</f>
        <v>390.49325</v>
      </c>
      <c r="F148" s="32" t="str">
        <f t="shared" si="1"/>
        <v>In Bull Run</v>
      </c>
      <c r="G148" s="33">
        <f t="shared" si="2"/>
        <v>9.502533014</v>
      </c>
    </row>
    <row r="149">
      <c r="A149" s="37" t="s">
        <v>165</v>
      </c>
      <c r="B149" s="38">
        <f>IFERROR(__xludf.DUMMYFUNCTION("GOOGLEFINANCE(A149,""price"")"),3162.0)</f>
        <v>3162</v>
      </c>
      <c r="C149" s="39">
        <f>IFERROR(__xludf.DUMMYFUNCTION("AVERAGE(QUERY(SORT(GOOGLEFINANCE(A149,""price"",TODAY()-150,TODAY()),1,0),""select Col2 limit 50""))"),2788.464000000001)</f>
        <v>2788.464</v>
      </c>
      <c r="D149" s="39">
        <f>IFERROR(__xludf.DUMMYFUNCTION("AVERAGE(QUERY(SORT(GOOGLEFINANCE(A149,""price"",TODAY()-300,TODAY()),1,0),""select Col2 limit 100""))"),2807.024000000001)</f>
        <v>2807.024</v>
      </c>
      <c r="E149" s="39">
        <f>IFERROR(__xludf.DUMMYFUNCTION("AVERAGE(QUERY(SORT(GOOGLEFINANCE(A149,""price"",TODAY()-500,TODAY()),1,0),""select Col2 limit 200""))"),2801.8970000000018)</f>
        <v>2801.897</v>
      </c>
      <c r="F149" s="32" t="str">
        <f t="shared" si="1"/>
        <v>Unconfirmed</v>
      </c>
      <c r="G149" s="33">
        <f t="shared" si="2"/>
        <v>12.85211412</v>
      </c>
    </row>
    <row r="150">
      <c r="A150" s="37" t="s">
        <v>166</v>
      </c>
      <c r="B150" s="38">
        <f>IFERROR(__xludf.DUMMYFUNCTION("GOOGLEFINANCE(A150,""price"")"),928.3)</f>
        <v>928.3</v>
      </c>
      <c r="C150" s="39">
        <f>IFERROR(__xludf.DUMMYFUNCTION("AVERAGE(QUERY(SORT(GOOGLEFINANCE(A150,""price"",TODAY()-150,TODAY()),1,0),""select Col2 limit 50""))"),900.5250000000001)</f>
        <v>900.525</v>
      </c>
      <c r="D150" s="39">
        <f>IFERROR(__xludf.DUMMYFUNCTION("AVERAGE(QUERY(SORT(GOOGLEFINANCE(A150,""price"",TODAY()-300,TODAY()),1,0),""select Col2 limit 100""))"),937.2900000000002)</f>
        <v>937.29</v>
      </c>
      <c r="E150" s="39">
        <f>IFERROR(__xludf.DUMMYFUNCTION("AVERAGE(QUERY(SORT(GOOGLEFINANCE(A150,""price"",TODAY()-500,TODAY()),1,0),""select Col2 limit 200""))"),962.1057500000002)</f>
        <v>962.10575</v>
      </c>
      <c r="F150" s="32" t="str">
        <f t="shared" si="1"/>
        <v>Unconfirmed</v>
      </c>
      <c r="G150" s="33">
        <f t="shared" si="2"/>
        <v>-3.513724973</v>
      </c>
    </row>
    <row r="151">
      <c r="A151" s="37" t="s">
        <v>167</v>
      </c>
      <c r="B151" s="38">
        <f>IFERROR(__xludf.DUMMYFUNCTION("GOOGLEFINANCE(A151,""price"")"),1203.5)</f>
        <v>1203.5</v>
      </c>
      <c r="C151" s="39">
        <f>IFERROR(__xludf.DUMMYFUNCTION("AVERAGE(QUERY(SORT(GOOGLEFINANCE(A151,""price"",TODAY()-150,TODAY()),1,0),""select Col2 limit 50""))"),1128.4299999999998)</f>
        <v>1128.43</v>
      </c>
      <c r="D151" s="39">
        <f>IFERROR(__xludf.DUMMYFUNCTION("AVERAGE(QUERY(SORT(GOOGLEFINANCE(A151,""price"",TODAY()-300,TODAY()),1,0),""select Col2 limit 100""))"),1144.2219999999993)</f>
        <v>1144.222</v>
      </c>
      <c r="E151" s="39">
        <f>IFERROR(__xludf.DUMMYFUNCTION("AVERAGE(QUERY(SORT(GOOGLEFINANCE(A151,""price"",TODAY()-500,TODAY()),1,0),""select Col2 limit 200""))"),1137.2314999999994)</f>
        <v>1137.2315</v>
      </c>
      <c r="F151" s="32" t="str">
        <f t="shared" si="1"/>
        <v>In Bull Run</v>
      </c>
      <c r="G151" s="33">
        <f t="shared" si="2"/>
        <v>5.827177668</v>
      </c>
    </row>
    <row r="152">
      <c r="A152" s="37" t="s">
        <v>168</v>
      </c>
      <c r="B152" s="38">
        <f>IFERROR(__xludf.DUMMYFUNCTION("GOOGLEFINANCE(A152,""price"")"),11666.0)</f>
        <v>11666</v>
      </c>
      <c r="C152" s="39">
        <f>IFERROR(__xludf.DUMMYFUNCTION("AVERAGE(QUERY(SORT(GOOGLEFINANCE(A152,""price"",TODAY()-150,TODAY()),1,0),""select Col2 limit 50""))"),11473.6)</f>
        <v>11473.6</v>
      </c>
      <c r="D152" s="39">
        <f>IFERROR(__xludf.DUMMYFUNCTION("AVERAGE(QUERY(SORT(GOOGLEFINANCE(A152,""price"",TODAY()-300,TODAY()),1,0),""select Col2 limit 100""))"),11953.75)</f>
        <v>11953.75</v>
      </c>
      <c r="E152" s="39">
        <f>IFERROR(__xludf.DUMMYFUNCTION("AVERAGE(QUERY(SORT(GOOGLEFINANCE(A152,""price"",TODAY()-500,TODAY()),1,0),""select Col2 limit 200""))"),12030.88)</f>
        <v>12030.88</v>
      </c>
      <c r="F152" s="32" t="str">
        <f t="shared" si="1"/>
        <v>Unconfirmed</v>
      </c>
      <c r="G152" s="33">
        <f t="shared" si="2"/>
        <v>-3.032862102</v>
      </c>
    </row>
    <row r="153">
      <c r="A153" s="37" t="s">
        <v>169</v>
      </c>
      <c r="B153" s="38">
        <f>IFERROR(__xludf.DUMMYFUNCTION("GOOGLEFINANCE(A153,""price"")"),6795.0)</f>
        <v>6795</v>
      </c>
      <c r="C153" s="39">
        <f>IFERROR(__xludf.DUMMYFUNCTION("AVERAGE(QUERY(SORT(GOOGLEFINANCE(A153,""price"",TODAY()-150,TODAY()),1,0),""select Col2 limit 50""))"),6357.63)</f>
        <v>6357.63</v>
      </c>
      <c r="D153" s="39">
        <f>IFERROR(__xludf.DUMMYFUNCTION("AVERAGE(QUERY(SORT(GOOGLEFINANCE(A153,""price"",TODAY()-300,TODAY()),1,0),""select Col2 limit 100""))"),6316.62)</f>
        <v>6316.62</v>
      </c>
      <c r="E153" s="39">
        <f>IFERROR(__xludf.DUMMYFUNCTION("AVERAGE(QUERY(SORT(GOOGLEFINANCE(A153,""price"",TODAY()-500,TODAY()),1,0),""select Col2 limit 200""))"),6307.26)</f>
        <v>6307.26</v>
      </c>
      <c r="F153" s="32" t="str">
        <f t="shared" si="1"/>
        <v>In Bull Run</v>
      </c>
      <c r="G153" s="33">
        <f t="shared" si="2"/>
        <v>7.732993408</v>
      </c>
    </row>
    <row r="154">
      <c r="A154" s="37" t="s">
        <v>170</v>
      </c>
      <c r="B154" s="38">
        <f>IFERROR(__xludf.DUMMYFUNCTION("GOOGLEFINANCE(A154,""price"")"),3577.2)</f>
        <v>3577.2</v>
      </c>
      <c r="C154" s="39">
        <f>IFERROR(__xludf.DUMMYFUNCTION("AVERAGE(QUERY(SORT(GOOGLEFINANCE(A154,""price"",TODAY()-150,TODAY()),1,0),""select Col2 limit 50""))"),3700.853999999999)</f>
        <v>3700.854</v>
      </c>
      <c r="D154" s="39">
        <f>IFERROR(__xludf.DUMMYFUNCTION("AVERAGE(QUERY(SORT(GOOGLEFINANCE(A154,""price"",TODAY()-300,TODAY()),1,0),""select Col2 limit 100""))"),3685.096000000001)</f>
        <v>3685.096</v>
      </c>
      <c r="E154" s="39">
        <f>IFERROR(__xludf.DUMMYFUNCTION("AVERAGE(QUERY(SORT(GOOGLEFINANCE(A154,""price"",TODAY()-500,TODAY()),1,0),""select Col2 limit 200""))"),3848.089000000001)</f>
        <v>3848.089</v>
      </c>
      <c r="F154" s="32" t="str">
        <f t="shared" si="1"/>
        <v>In Bear Run</v>
      </c>
      <c r="G154" s="33">
        <f t="shared" si="2"/>
        <v>-7.03957211</v>
      </c>
    </row>
    <row r="155">
      <c r="A155" s="37" t="s">
        <v>171</v>
      </c>
      <c r="B155" s="38">
        <f>IFERROR(__xludf.DUMMYFUNCTION("GOOGLEFINANCE(A155,""price"")"),1569.2)</f>
        <v>1569.2</v>
      </c>
      <c r="C155" s="39">
        <f>IFERROR(__xludf.DUMMYFUNCTION("AVERAGE(QUERY(SORT(GOOGLEFINANCE(A155,""price"",TODAY()-150,TODAY()),1,0),""select Col2 limit 50""))"),1531.728)</f>
        <v>1531.728</v>
      </c>
      <c r="D155" s="39">
        <f>IFERROR(__xludf.DUMMYFUNCTION("AVERAGE(QUERY(SORT(GOOGLEFINANCE(A155,""price"",TODAY()-300,TODAY()),1,0),""select Col2 limit 100""))"),1615.5150000000003)</f>
        <v>1615.515</v>
      </c>
      <c r="E155" s="39">
        <f>IFERROR(__xludf.DUMMYFUNCTION("AVERAGE(QUERY(SORT(GOOGLEFINANCE(A155,""price"",TODAY()-500,TODAY()),1,0),""select Col2 limit 200""))"),1614.6650000000002)</f>
        <v>1614.665</v>
      </c>
      <c r="F155" s="32" t="str">
        <f t="shared" si="1"/>
        <v>Unconfirmed</v>
      </c>
      <c r="G155" s="33">
        <f t="shared" si="2"/>
        <v>-2.815754352</v>
      </c>
    </row>
    <row r="156">
      <c r="A156" s="37" t="s">
        <v>172</v>
      </c>
      <c r="B156" s="38">
        <f>IFERROR(__xludf.DUMMYFUNCTION("GOOGLEFINANCE(A156,""price"")"),1095.3)</f>
        <v>1095.3</v>
      </c>
      <c r="C156" s="39">
        <f>IFERROR(__xludf.DUMMYFUNCTION("AVERAGE(QUERY(SORT(GOOGLEFINANCE(A156,""price"",TODAY()-150,TODAY()),1,0),""select Col2 limit 50""))"),969.638)</f>
        <v>969.638</v>
      </c>
      <c r="D156" s="39">
        <f>IFERROR(__xludf.DUMMYFUNCTION("AVERAGE(QUERY(SORT(GOOGLEFINANCE(A156,""price"",TODAY()-300,TODAY()),1,0),""select Col2 limit 100""))"),932.6264999999999)</f>
        <v>932.6265</v>
      </c>
      <c r="E156" s="39">
        <f>IFERROR(__xludf.DUMMYFUNCTION("AVERAGE(QUERY(SORT(GOOGLEFINANCE(A156,""price"",TODAY()-500,TODAY()),1,0),""select Col2 limit 200""))"),893.3545000000001)</f>
        <v>893.3545</v>
      </c>
      <c r="F156" s="32" t="str">
        <f t="shared" si="1"/>
        <v>Unconfirmed</v>
      </c>
      <c r="G156" s="33">
        <f t="shared" si="2"/>
        <v>22.60530394</v>
      </c>
    </row>
    <row r="157">
      <c r="A157" s="37" t="s">
        <v>173</v>
      </c>
      <c r="B157" s="38">
        <f>IFERROR(__xludf.DUMMYFUNCTION("GOOGLEFINANCE(A157,""price"")"),1879.4)</f>
        <v>1879.4</v>
      </c>
      <c r="C157" s="39">
        <f>IFERROR(__xludf.DUMMYFUNCTION("AVERAGE(QUERY(SORT(GOOGLEFINANCE(A157,""price"",TODAY()-150,TODAY()),1,0),""select Col2 limit 50""))"),1872.3000000000002)</f>
        <v>1872.3</v>
      </c>
      <c r="D157" s="39">
        <f>IFERROR(__xludf.DUMMYFUNCTION("AVERAGE(QUERY(SORT(GOOGLEFINANCE(A157,""price"",TODAY()-300,TODAY()),1,0),""select Col2 limit 100""))"),1953.5409999999997)</f>
        <v>1953.541</v>
      </c>
      <c r="E157" s="39">
        <f>IFERROR(__xludf.DUMMYFUNCTION("AVERAGE(QUERY(SORT(GOOGLEFINANCE(A157,""price"",TODAY()-500,TODAY()),1,0),""select Col2 limit 200""))"),1925.3579999999988)</f>
        <v>1925.358</v>
      </c>
      <c r="F157" s="32" t="str">
        <f t="shared" si="1"/>
        <v>Unconfirmed</v>
      </c>
      <c r="G157" s="33">
        <f t="shared" si="2"/>
        <v>-2.386984654</v>
      </c>
    </row>
    <row r="158">
      <c r="A158" s="37" t="s">
        <v>174</v>
      </c>
      <c r="B158" s="38">
        <f>IFERROR(__xludf.DUMMYFUNCTION("GOOGLEFINANCE(A158,""price"")"),1438.8)</f>
        <v>1438.8</v>
      </c>
      <c r="C158" s="39">
        <f>IFERROR(__xludf.DUMMYFUNCTION("AVERAGE(QUERY(SORT(GOOGLEFINANCE(A158,""price"",TODAY()-150,TODAY()),1,0),""select Col2 limit 50""))"),1327.7400000000002)</f>
        <v>1327.74</v>
      </c>
      <c r="D158" s="39">
        <f>IFERROR(__xludf.DUMMYFUNCTION("AVERAGE(QUERY(SORT(GOOGLEFINANCE(A158,""price"",TODAY()-300,TODAY()),1,0),""select Col2 limit 100""))"),1311.5970000000002)</f>
        <v>1311.597</v>
      </c>
      <c r="E158" s="39">
        <f>IFERROR(__xludf.DUMMYFUNCTION("AVERAGE(QUERY(SORT(GOOGLEFINANCE(A158,""price"",TODAY()-500,TODAY()),1,0),""select Col2 limit 200""))"),1261.6722499999998)</f>
        <v>1261.67225</v>
      </c>
      <c r="F158" s="32" t="str">
        <f t="shared" si="1"/>
        <v>Unconfirmed</v>
      </c>
      <c r="G158" s="33">
        <f t="shared" si="2"/>
        <v>14.03912545</v>
      </c>
    </row>
    <row r="159">
      <c r="A159" s="37" t="s">
        <v>175</v>
      </c>
      <c r="B159" s="38">
        <f>IFERROR(__xludf.DUMMYFUNCTION("GOOGLEFINANCE(A159,""price"")"),277.8)</f>
        <v>277.8</v>
      </c>
      <c r="C159" s="39">
        <f>IFERROR(__xludf.DUMMYFUNCTION("AVERAGE(QUERY(SORT(GOOGLEFINANCE(A159,""price"",TODAY()-150,TODAY()),1,0),""select Col2 limit 50""))"),271.16080000000005)</f>
        <v>271.1608</v>
      </c>
      <c r="D159" s="39">
        <f>IFERROR(__xludf.DUMMYFUNCTION("AVERAGE(QUERY(SORT(GOOGLEFINANCE(A159,""price"",TODAY()-300,TODAY()),1,0),""select Col2 limit 100""))"),281.80740000000003)</f>
        <v>281.8074</v>
      </c>
      <c r="E159" s="39">
        <f>IFERROR(__xludf.DUMMYFUNCTION("AVERAGE(QUERY(SORT(GOOGLEFINANCE(A159,""price"",TODAY()-500,TODAY()),1,0),""select Col2 limit 200""))"),279.04245)</f>
        <v>279.04245</v>
      </c>
      <c r="F159" s="32" t="str">
        <f t="shared" si="1"/>
        <v>Unconfirmed</v>
      </c>
      <c r="G159" s="33">
        <f t="shared" si="2"/>
        <v>-0.4452548349</v>
      </c>
    </row>
    <row r="160">
      <c r="A160" s="37" t="s">
        <v>176</v>
      </c>
      <c r="B160" s="38">
        <f>IFERROR(__xludf.DUMMYFUNCTION("GOOGLEFINANCE(A160,""price"")"),730.1)</f>
        <v>730.1</v>
      </c>
      <c r="C160" s="39">
        <f>IFERROR(__xludf.DUMMYFUNCTION("AVERAGE(QUERY(SORT(GOOGLEFINANCE(A160,""price"",TODAY()-150,TODAY()),1,0),""select Col2 limit 50""))"),746.799)</f>
        <v>746.799</v>
      </c>
      <c r="D160" s="39">
        <f>IFERROR(__xludf.DUMMYFUNCTION("AVERAGE(QUERY(SORT(GOOGLEFINANCE(A160,""price"",TODAY()-300,TODAY()),1,0),""select Col2 limit 100""))"),768.3049999999998)</f>
        <v>768.305</v>
      </c>
      <c r="E160" s="39">
        <f>IFERROR(__xludf.DUMMYFUNCTION("AVERAGE(QUERY(SORT(GOOGLEFINANCE(A160,""price"",TODAY()-500,TODAY()),1,0),""select Col2 limit 200""))"),765.8084999999996)</f>
        <v>765.8085</v>
      </c>
      <c r="F160" s="32" t="str">
        <f t="shared" si="1"/>
        <v>In Bear Run</v>
      </c>
      <c r="G160" s="33">
        <f t="shared" si="2"/>
        <v>-4.662849786</v>
      </c>
    </row>
    <row r="161">
      <c r="A161" s="37" t="s">
        <v>177</v>
      </c>
      <c r="B161" s="38">
        <f>IFERROR(__xludf.DUMMYFUNCTION("GOOGLEFINANCE(A161,""price"")"),5324.5)</f>
        <v>5324.5</v>
      </c>
      <c r="C161" s="39">
        <f>IFERROR(__xludf.DUMMYFUNCTION("AVERAGE(QUERY(SORT(GOOGLEFINANCE(A161,""price"",TODAY()-150,TODAY()),1,0),""select Col2 limit 50""))"),5594.26)</f>
        <v>5594.26</v>
      </c>
      <c r="D161" s="39">
        <f>IFERROR(__xludf.DUMMYFUNCTION("AVERAGE(QUERY(SORT(GOOGLEFINANCE(A161,""price"",TODAY()-300,TODAY()),1,0),""select Col2 limit 100""))"),5785.75)</f>
        <v>5785.75</v>
      </c>
      <c r="E161" s="39">
        <f>IFERROR(__xludf.DUMMYFUNCTION("AVERAGE(QUERY(SORT(GOOGLEFINANCE(A161,""price"",TODAY()-500,TODAY()),1,0),""select Col2 limit 200""))"),5834.4125)</f>
        <v>5834.4125</v>
      </c>
      <c r="F161" s="32" t="str">
        <f t="shared" si="1"/>
        <v>In Bear Run</v>
      </c>
      <c r="G161" s="33">
        <f t="shared" si="2"/>
        <v>-8.739740291</v>
      </c>
    </row>
    <row r="162">
      <c r="A162" s="37" t="s">
        <v>178</v>
      </c>
      <c r="B162" s="38">
        <f>IFERROR(__xludf.DUMMYFUNCTION("GOOGLEFINANCE(A162,""price"")"),5390.5)</f>
        <v>5390.5</v>
      </c>
      <c r="C162" s="39">
        <f>IFERROR(__xludf.DUMMYFUNCTION("AVERAGE(QUERY(SORT(GOOGLEFINANCE(A162,""price"",TODAY()-150,TODAY()),1,0),""select Col2 limit 50""))"),5417.41)</f>
        <v>5417.41</v>
      </c>
      <c r="D162" s="39">
        <f>IFERROR(__xludf.DUMMYFUNCTION("AVERAGE(QUERY(SORT(GOOGLEFINANCE(A162,""price"",TODAY()-300,TODAY()),1,0),""select Col2 limit 100""))"),5526.995)</f>
        <v>5526.995</v>
      </c>
      <c r="E162" s="39">
        <f>IFERROR(__xludf.DUMMYFUNCTION("AVERAGE(QUERY(SORT(GOOGLEFINANCE(A162,""price"",TODAY()-500,TODAY()),1,0),""select Col2 limit 200""))"),5499.506000000001)</f>
        <v>5499.506</v>
      </c>
      <c r="F162" s="32" t="str">
        <f t="shared" si="1"/>
        <v>In Bear Run</v>
      </c>
      <c r="G162" s="33">
        <f t="shared" si="2"/>
        <v>-1.982105302</v>
      </c>
    </row>
    <row r="163">
      <c r="A163" s="37" t="s">
        <v>179</v>
      </c>
      <c r="B163" s="38">
        <f>IFERROR(__xludf.DUMMYFUNCTION("GOOGLEFINANCE(A163,""price"")"),305.0)</f>
        <v>305</v>
      </c>
      <c r="C163" s="39">
        <f>IFERROR(__xludf.DUMMYFUNCTION("AVERAGE(QUERY(SORT(GOOGLEFINANCE(A163,""price"",TODAY()-150,TODAY()),1,0),""select Col2 limit 50""))"),298.607)</f>
        <v>298.607</v>
      </c>
      <c r="D163" s="39">
        <f>IFERROR(__xludf.DUMMYFUNCTION("AVERAGE(QUERY(SORT(GOOGLEFINANCE(A163,""price"",TODAY()-300,TODAY()),1,0),""select Col2 limit 100""))"),333.3525000000001)</f>
        <v>333.3525</v>
      </c>
      <c r="E163" s="39">
        <f>IFERROR(__xludf.DUMMYFUNCTION("AVERAGE(QUERY(SORT(GOOGLEFINANCE(A163,""price"",TODAY()-500,TODAY()),1,0),""select Col2 limit 200""))"),337.13800000000003)</f>
        <v>337.138</v>
      </c>
      <c r="F163" s="32" t="str">
        <f t="shared" si="1"/>
        <v>Unconfirmed</v>
      </c>
      <c r="G163" s="33">
        <f t="shared" si="2"/>
        <v>-9.532594961</v>
      </c>
    </row>
    <row r="164">
      <c r="A164" s="37" t="s">
        <v>180</v>
      </c>
      <c r="B164" s="38">
        <f>IFERROR(__xludf.DUMMYFUNCTION("GOOGLEFINANCE(A164,""price"")"),959.4)</f>
        <v>959.4</v>
      </c>
      <c r="C164" s="39">
        <f>IFERROR(__xludf.DUMMYFUNCTION("AVERAGE(QUERY(SORT(GOOGLEFINANCE(A164,""price"",TODAY()-150,TODAY()),1,0),""select Col2 limit 50""))"),893.8659999999998)</f>
        <v>893.866</v>
      </c>
      <c r="D164" s="39">
        <f>IFERROR(__xludf.DUMMYFUNCTION("AVERAGE(QUERY(SORT(GOOGLEFINANCE(A164,""price"",TODAY()-300,TODAY()),1,0),""select Col2 limit 100""))"),894.2594999999998)</f>
        <v>894.2595</v>
      </c>
      <c r="E164" s="39">
        <f>IFERROR(__xludf.DUMMYFUNCTION("AVERAGE(QUERY(SORT(GOOGLEFINANCE(A164,""price"",TODAY()-500,TODAY()),1,0),""select Col2 limit 200""))"),924.8112499999995)</f>
        <v>924.81125</v>
      </c>
      <c r="F164" s="32" t="str">
        <f t="shared" si="1"/>
        <v>In Bull Run</v>
      </c>
      <c r="G164" s="33">
        <f t="shared" si="2"/>
        <v>3.740087504</v>
      </c>
    </row>
    <row r="165">
      <c r="A165" s="37" t="s">
        <v>181</v>
      </c>
      <c r="B165" s="38">
        <f>IFERROR(__xludf.DUMMYFUNCTION("GOOGLEFINANCE(A165,""price"")"),420.15)</f>
        <v>420.15</v>
      </c>
      <c r="C165" s="39">
        <f>IFERROR(__xludf.DUMMYFUNCTION("AVERAGE(QUERY(SORT(GOOGLEFINANCE(A165,""price"",TODAY()-150,TODAY()),1,0),""select Col2 limit 50""))"),325.099)</f>
        <v>325.099</v>
      </c>
      <c r="D165" s="39">
        <f>IFERROR(__xludf.DUMMYFUNCTION("AVERAGE(QUERY(SORT(GOOGLEFINANCE(A165,""price"",TODAY()-300,TODAY()),1,0),""select Col2 limit 100""))"),295.9180000000001)</f>
        <v>295.918</v>
      </c>
      <c r="E165" s="39">
        <f>IFERROR(__xludf.DUMMYFUNCTION("AVERAGE(QUERY(SORT(GOOGLEFINANCE(A165,""price"",TODAY()-500,TODAY()),1,0),""select Col2 limit 200""))"),272.31960000000004)</f>
        <v>272.3196</v>
      </c>
      <c r="F165" s="32" t="str">
        <f t="shared" si="1"/>
        <v>Unconfirmed</v>
      </c>
      <c r="G165" s="33">
        <f t="shared" si="2"/>
        <v>54.28562615</v>
      </c>
    </row>
    <row r="166">
      <c r="A166" s="37" t="s">
        <v>182</v>
      </c>
      <c r="B166" s="38">
        <f>IFERROR(__xludf.DUMMYFUNCTION("GOOGLEFINANCE(A166,""price"")"),1328.3)</f>
        <v>1328.3</v>
      </c>
      <c r="C166" s="39">
        <f>IFERROR(__xludf.DUMMYFUNCTION("AVERAGE(QUERY(SORT(GOOGLEFINANCE(A166,""price"",TODAY()-150,TODAY()),1,0),""select Col2 limit 50""))"),1280.8340000000003)</f>
        <v>1280.834</v>
      </c>
      <c r="D166" s="39">
        <f>IFERROR(__xludf.DUMMYFUNCTION("AVERAGE(QUERY(SORT(GOOGLEFINANCE(A166,""price"",TODAY()-300,TODAY()),1,0),""select Col2 limit 100""))"),1265.42)</f>
        <v>1265.42</v>
      </c>
      <c r="E166" s="39">
        <f>IFERROR(__xludf.DUMMYFUNCTION("AVERAGE(QUERY(SORT(GOOGLEFINANCE(A166,""price"",TODAY()-500,TODAY()),1,0),""select Col2 limit 200""))"),1261.4945000000005)</f>
        <v>1261.4945</v>
      </c>
      <c r="F166" s="32" t="str">
        <f t="shared" si="1"/>
        <v>In Bull Run</v>
      </c>
      <c r="G166" s="33">
        <f t="shared" si="2"/>
        <v>5.295742471</v>
      </c>
    </row>
    <row r="167">
      <c r="A167" s="37" t="s">
        <v>183</v>
      </c>
      <c r="B167" s="38">
        <f>IFERROR(__xludf.DUMMYFUNCTION("GOOGLEFINANCE(A167,""price"")"),917.65)</f>
        <v>917.65</v>
      </c>
      <c r="C167" s="39">
        <f>IFERROR(__xludf.DUMMYFUNCTION("AVERAGE(QUERY(SORT(GOOGLEFINANCE(A167,""price"",TODAY()-150,TODAY()),1,0),""select Col2 limit 50""))"),773.362)</f>
        <v>773.362</v>
      </c>
      <c r="D167" s="39">
        <f>IFERROR(__xludf.DUMMYFUNCTION("AVERAGE(QUERY(SORT(GOOGLEFINANCE(A167,""price"",TODAY()-300,TODAY()),1,0),""select Col2 limit 100""))"),711.8305)</f>
        <v>711.8305</v>
      </c>
      <c r="E167" s="39">
        <f>IFERROR(__xludf.DUMMYFUNCTION("AVERAGE(QUERY(SORT(GOOGLEFINANCE(A167,""price"",TODAY()-500,TODAY()),1,0),""select Col2 limit 200""))"),713.1872499999997)</f>
        <v>713.18725</v>
      </c>
      <c r="F167" s="32" t="str">
        <f t="shared" si="1"/>
        <v>Unconfirmed</v>
      </c>
      <c r="G167" s="33">
        <f t="shared" si="2"/>
        <v>28.66887343</v>
      </c>
    </row>
    <row r="168">
      <c r="A168" s="37" t="s">
        <v>184</v>
      </c>
      <c r="B168" s="38">
        <f>IFERROR(__xludf.DUMMYFUNCTION("GOOGLEFINANCE(A168,""price"")"),3794.9)</f>
        <v>3794.9</v>
      </c>
      <c r="C168" s="39">
        <f>IFERROR(__xludf.DUMMYFUNCTION("AVERAGE(QUERY(SORT(GOOGLEFINANCE(A168,""price"",TODAY()-150,TODAY()),1,0),""select Col2 limit 50""))"),3478.1700000000005)</f>
        <v>3478.17</v>
      </c>
      <c r="D168" s="39">
        <f>IFERROR(__xludf.DUMMYFUNCTION("AVERAGE(QUERY(SORT(GOOGLEFINANCE(A168,""price"",TODAY()-300,TODAY()),1,0),""select Col2 limit 100""))"),3300.292999999999)</f>
        <v>3300.293</v>
      </c>
      <c r="E168" s="39">
        <f>IFERROR(__xludf.DUMMYFUNCTION("AVERAGE(QUERY(SORT(GOOGLEFINANCE(A168,""price"",TODAY()-500,TODAY()),1,0),""select Col2 limit 200""))"),3230.135999999999)</f>
        <v>3230.136</v>
      </c>
      <c r="F168" s="32" t="str">
        <f t="shared" si="1"/>
        <v>Unconfirmed</v>
      </c>
      <c r="G168" s="33">
        <f t="shared" si="2"/>
        <v>17.48421738</v>
      </c>
    </row>
    <row r="169">
      <c r="A169" s="37" t="s">
        <v>185</v>
      </c>
      <c r="B169" s="38">
        <f>IFERROR(__xludf.DUMMYFUNCTION("GOOGLEFINANCE(A169,""price"")"),349.8)</f>
        <v>349.8</v>
      </c>
      <c r="C169" s="39">
        <f>IFERROR(__xludf.DUMMYFUNCTION("AVERAGE(QUERY(SORT(GOOGLEFINANCE(A169,""price"",TODAY()-150,TODAY()),1,0),""select Col2 limit 50""))"),298.3140000000001)</f>
        <v>298.314</v>
      </c>
      <c r="D169" s="39">
        <f>IFERROR(__xludf.DUMMYFUNCTION("AVERAGE(QUERY(SORT(GOOGLEFINANCE(A169,""price"",TODAY()-300,TODAY()),1,0),""select Col2 limit 100""))"),277.7973)</f>
        <v>277.7973</v>
      </c>
      <c r="E169" s="39">
        <f>IFERROR(__xludf.DUMMYFUNCTION("AVERAGE(QUERY(SORT(GOOGLEFINANCE(A169,""price"",TODAY()-500,TODAY()),1,0),""select Col2 limit 200""))"),264.62275)</f>
        <v>264.62275</v>
      </c>
      <c r="F169" s="32" t="str">
        <f t="shared" si="1"/>
        <v>Unconfirmed</v>
      </c>
      <c r="G169" s="33">
        <f t="shared" si="2"/>
        <v>32.1881811</v>
      </c>
    </row>
    <row r="170">
      <c r="A170" s="37" t="s">
        <v>186</v>
      </c>
      <c r="B170" s="38">
        <f>IFERROR(__xludf.DUMMYFUNCTION("GOOGLEFINANCE(A170,""price"")"),1830.0)</f>
        <v>1830</v>
      </c>
      <c r="C170" s="39">
        <f>IFERROR(__xludf.DUMMYFUNCTION("AVERAGE(QUERY(SORT(GOOGLEFINANCE(A170,""price"",TODAY()-150,TODAY()),1,0),""select Col2 limit 50""))"),1564.612)</f>
        <v>1564.612</v>
      </c>
      <c r="D170" s="39">
        <f>IFERROR(__xludf.DUMMYFUNCTION("AVERAGE(QUERY(SORT(GOOGLEFINANCE(A170,""price"",TODAY()-300,TODAY()),1,0),""select Col2 limit 100""))"),1520.6230000000003)</f>
        <v>1520.623</v>
      </c>
      <c r="E170" s="39">
        <f>IFERROR(__xludf.DUMMYFUNCTION("AVERAGE(QUERY(SORT(GOOGLEFINANCE(A170,""price"",TODAY()-500,TODAY()),1,0),""select Col2 limit 200""))"),1473.9395000000006)</f>
        <v>1473.9395</v>
      </c>
      <c r="F170" s="32" t="str">
        <f t="shared" si="1"/>
        <v>Unconfirmed</v>
      </c>
      <c r="G170" s="33">
        <f t="shared" si="2"/>
        <v>24.15706343</v>
      </c>
    </row>
    <row r="171">
      <c r="A171" s="37" t="s">
        <v>187</v>
      </c>
      <c r="B171" s="38">
        <f>IFERROR(__xludf.DUMMYFUNCTION("GOOGLEFINANCE(A171,""price"")"),4368.9)</f>
        <v>4368.9</v>
      </c>
      <c r="C171" s="39">
        <f>IFERROR(__xludf.DUMMYFUNCTION("AVERAGE(QUERY(SORT(GOOGLEFINANCE(A171,""price"",TODAY()-150,TODAY()),1,0),""select Col2 limit 50""))"),3817.6600000000008)</f>
        <v>3817.66</v>
      </c>
      <c r="D171" s="39">
        <f>IFERROR(__xludf.DUMMYFUNCTION("AVERAGE(QUERY(SORT(GOOGLEFINANCE(A171,""price"",TODAY()-300,TODAY()),1,0),""select Col2 limit 100""))"),3863.328000000001)</f>
        <v>3863.328</v>
      </c>
      <c r="E171" s="39">
        <f>IFERROR(__xludf.DUMMYFUNCTION("AVERAGE(QUERY(SORT(GOOGLEFINANCE(A171,""price"",TODAY()-500,TODAY()),1,0),""select Col2 limit 200""))"),3612.606)</f>
        <v>3612.606</v>
      </c>
      <c r="F171" s="32" t="str">
        <f t="shared" si="1"/>
        <v>Unconfirmed</v>
      </c>
      <c r="G171" s="33">
        <f t="shared" si="2"/>
        <v>20.93485977</v>
      </c>
    </row>
    <row r="172">
      <c r="A172" s="37" t="s">
        <v>188</v>
      </c>
      <c r="B172" s="38">
        <f>IFERROR(__xludf.DUMMYFUNCTION("GOOGLEFINANCE(A172,""price"")"),4068.7)</f>
        <v>4068.7</v>
      </c>
      <c r="C172" s="39">
        <f>IFERROR(__xludf.DUMMYFUNCTION("AVERAGE(QUERY(SORT(GOOGLEFINANCE(A172,""price"",TODAY()-150,TODAY()),1,0),""select Col2 limit 50""))"),3848.793999999999)</f>
        <v>3848.794</v>
      </c>
      <c r="D172" s="39">
        <f>IFERROR(__xludf.DUMMYFUNCTION("AVERAGE(QUERY(SORT(GOOGLEFINANCE(A172,""price"",TODAY()-300,TODAY()),1,0),""select Col2 limit 100""))"),3955.3099999999995)</f>
        <v>3955.31</v>
      </c>
      <c r="E172" s="39">
        <f>IFERROR(__xludf.DUMMYFUNCTION("AVERAGE(QUERY(SORT(GOOGLEFINANCE(A172,""price"",TODAY()-500,TODAY()),1,0),""select Col2 limit 200""))"),3882.125)</f>
        <v>3882.125</v>
      </c>
      <c r="F172" s="32" t="str">
        <f t="shared" si="1"/>
        <v>In Bull Run</v>
      </c>
      <c r="G172" s="33">
        <f t="shared" si="2"/>
        <v>4.806001868</v>
      </c>
    </row>
    <row r="173">
      <c r="A173" s="37" t="s">
        <v>189</v>
      </c>
      <c r="B173" s="38">
        <f>IFERROR(__xludf.DUMMYFUNCTION("GOOGLEFINANCE(A173,""price"")"),97.02)</f>
        <v>97.02</v>
      </c>
      <c r="C173" s="39">
        <f>IFERROR(__xludf.DUMMYFUNCTION("AVERAGE(QUERY(SORT(GOOGLEFINANCE(A173,""price"",TODAY()-150,TODAY()),1,0),""select Col2 limit 50""))"),94.3826)</f>
        <v>94.3826</v>
      </c>
      <c r="D173" s="39">
        <f>IFERROR(__xludf.DUMMYFUNCTION("AVERAGE(QUERY(SORT(GOOGLEFINANCE(A173,""price"",TODAY()-300,TODAY()),1,0),""select Col2 limit 100""))"),96.53330000000005)</f>
        <v>96.5333</v>
      </c>
      <c r="E173" s="39">
        <f>IFERROR(__xludf.DUMMYFUNCTION("AVERAGE(QUERY(SORT(GOOGLEFINANCE(A173,""price"",TODAY()-500,TODAY()),1,0),""select Col2 limit 200""))"),95.25290000000001)</f>
        <v>95.2529</v>
      </c>
      <c r="F173" s="32" t="str">
        <f t="shared" si="1"/>
        <v>In Bull Run</v>
      </c>
      <c r="G173" s="33">
        <f t="shared" si="2"/>
        <v>1.855166614</v>
      </c>
    </row>
    <row r="174">
      <c r="A174" s="37" t="s">
        <v>190</v>
      </c>
      <c r="B174" s="38">
        <f>IFERROR(__xludf.DUMMYFUNCTION("GOOGLEFINANCE(A174,""price"")"),3336.2)</f>
        <v>3336.2</v>
      </c>
      <c r="C174" s="39">
        <f>IFERROR(__xludf.DUMMYFUNCTION("AVERAGE(QUERY(SORT(GOOGLEFINANCE(A174,""price"",TODAY()-150,TODAY()),1,0),""select Col2 limit 50""))"),3399.2740000000003)</f>
        <v>3399.274</v>
      </c>
      <c r="D174" s="39">
        <f>IFERROR(__xludf.DUMMYFUNCTION("AVERAGE(QUERY(SORT(GOOGLEFINANCE(A174,""price"",TODAY()-300,TODAY()),1,0),""select Col2 limit 100""))"),3550.6469999999995)</f>
        <v>3550.647</v>
      </c>
      <c r="E174" s="39">
        <f>IFERROR(__xludf.DUMMYFUNCTION("AVERAGE(QUERY(SORT(GOOGLEFINANCE(A174,""price"",TODAY()-500,TODAY()),1,0),""select Col2 limit 200""))"),3376.300000000001)</f>
        <v>3376.3</v>
      </c>
      <c r="F174" s="32" t="str">
        <f t="shared" si="1"/>
        <v>In Bear Run</v>
      </c>
      <c r="G174" s="33">
        <f t="shared" si="2"/>
        <v>-1.187690667</v>
      </c>
    </row>
    <row r="175">
      <c r="A175" s="37" t="s">
        <v>191</v>
      </c>
      <c r="B175" s="38">
        <f>IFERROR(__xludf.DUMMYFUNCTION("GOOGLEFINANCE(A175,""price"")"),433.6)</f>
        <v>433.6</v>
      </c>
      <c r="C175" s="39">
        <f>IFERROR(__xludf.DUMMYFUNCTION("AVERAGE(QUERY(SORT(GOOGLEFINANCE(A175,""price"",TODAY()-150,TODAY()),1,0),""select Col2 limit 50""))"),378.89999999999986)</f>
        <v>378.9</v>
      </c>
      <c r="D175" s="39">
        <f>IFERROR(__xludf.DUMMYFUNCTION("AVERAGE(QUERY(SORT(GOOGLEFINANCE(A175,""price"",TODAY()-300,TODAY()),1,0),""select Col2 limit 100""))"),379.48099999999994)</f>
        <v>379.481</v>
      </c>
      <c r="E175" s="39">
        <f>IFERROR(__xludf.DUMMYFUNCTION("AVERAGE(QUERY(SORT(GOOGLEFINANCE(A175,""price"",TODAY()-500,TODAY()),1,0),""select Col2 limit 200""))"),375.96675000000005)</f>
        <v>375.96675</v>
      </c>
      <c r="F175" s="32" t="str">
        <f t="shared" si="1"/>
        <v>Unconfirmed</v>
      </c>
      <c r="G175" s="33">
        <f t="shared" si="2"/>
        <v>15.32934761</v>
      </c>
    </row>
    <row r="176">
      <c r="A176" s="37" t="s">
        <v>192</v>
      </c>
      <c r="B176" s="38">
        <f>IFERROR(__xludf.DUMMYFUNCTION("GOOGLEFINANCE(A176,""price"")"),8189.5)</f>
        <v>8189.5</v>
      </c>
      <c r="C176" s="39">
        <f>IFERROR(__xludf.DUMMYFUNCTION("AVERAGE(QUERY(SORT(GOOGLEFINANCE(A176,""price"",TODAY()-150,TODAY()),1,0),""select Col2 limit 50""))"),7712.08)</f>
        <v>7712.08</v>
      </c>
      <c r="D176" s="39">
        <f>IFERROR(__xludf.DUMMYFUNCTION("AVERAGE(QUERY(SORT(GOOGLEFINANCE(A176,""price"",TODAY()-300,TODAY()),1,0),""select Col2 limit 100""))"),7514.245)</f>
        <v>7514.245</v>
      </c>
      <c r="E176" s="39">
        <f>IFERROR(__xludf.DUMMYFUNCTION("AVERAGE(QUERY(SORT(GOOGLEFINANCE(A176,""price"",TODAY()-500,TODAY()),1,0),""select Col2 limit 200""))"),7531.74)</f>
        <v>7531.74</v>
      </c>
      <c r="F176" s="32" t="str">
        <f t="shared" si="1"/>
        <v>In Bull Run</v>
      </c>
      <c r="G176" s="33">
        <f t="shared" si="2"/>
        <v>8.733174539</v>
      </c>
    </row>
    <row r="177">
      <c r="A177" s="37" t="s">
        <v>193</v>
      </c>
      <c r="B177" s="38">
        <f>IFERROR(__xludf.DUMMYFUNCTION("GOOGLEFINANCE(A177,""price"")"),250.0)</f>
        <v>250</v>
      </c>
      <c r="C177" s="39">
        <f>IFERROR(__xludf.DUMMYFUNCTION("AVERAGE(QUERY(SORT(GOOGLEFINANCE(A177,""price"",TODAY()-150,TODAY()),1,0),""select Col2 limit 50""))"),192.22700000000003)</f>
        <v>192.227</v>
      </c>
      <c r="D177" s="39">
        <f>IFERROR(__xludf.DUMMYFUNCTION("AVERAGE(QUERY(SORT(GOOGLEFINANCE(A177,""price"",TODAY()-300,TODAY()),1,0),""select Col2 limit 100""))"),167.4224)</f>
        <v>167.4224</v>
      </c>
      <c r="E177" s="39">
        <f>IFERROR(__xludf.DUMMYFUNCTION("AVERAGE(QUERY(SORT(GOOGLEFINANCE(A177,""price"",TODAY()-500,TODAY()),1,0),""select Col2 limit 200""))"),154.15695)</f>
        <v>154.15695</v>
      </c>
      <c r="F177" s="32" t="str">
        <f t="shared" si="1"/>
        <v>Unconfirmed</v>
      </c>
      <c r="G177" s="33">
        <f t="shared" si="2"/>
        <v>62.17238341</v>
      </c>
    </row>
    <row r="178">
      <c r="A178" s="37" t="s">
        <v>194</v>
      </c>
      <c r="B178" s="38">
        <f>IFERROR(__xludf.DUMMYFUNCTION("GOOGLEFINANCE(A178,""price"")"),7325.0)</f>
        <v>7325</v>
      </c>
      <c r="C178" s="39">
        <f>IFERROR(__xludf.DUMMYFUNCTION("AVERAGE(QUERY(SORT(GOOGLEFINANCE(A178,""price"",TODAY()-150,TODAY()),1,0),""select Col2 limit 50""))"),7238.59)</f>
        <v>7238.59</v>
      </c>
      <c r="D178" s="39">
        <f>IFERROR(__xludf.DUMMYFUNCTION("AVERAGE(QUERY(SORT(GOOGLEFINANCE(A178,""price"",TODAY()-300,TODAY()),1,0),""select Col2 limit 100""))"),6737.755)</f>
        <v>6737.755</v>
      </c>
      <c r="E178" s="39">
        <f>IFERROR(__xludf.DUMMYFUNCTION("AVERAGE(QUERY(SORT(GOOGLEFINANCE(A178,""price"",TODAY()-500,TODAY()),1,0),""select Col2 limit 200""))"),6456.625)</f>
        <v>6456.625</v>
      </c>
      <c r="F178" s="32" t="str">
        <f t="shared" si="1"/>
        <v>Unconfirmed</v>
      </c>
      <c r="G178" s="33">
        <f t="shared" si="2"/>
        <v>13.44936403</v>
      </c>
    </row>
    <row r="179">
      <c r="A179" s="37" t="s">
        <v>195</v>
      </c>
      <c r="B179" s="38">
        <f>IFERROR(__xludf.DUMMYFUNCTION("GOOGLEFINANCE(A179,""price"")"),1836.0)</f>
        <v>1836</v>
      </c>
      <c r="C179" s="39">
        <f>IFERROR(__xludf.DUMMYFUNCTION("AVERAGE(QUERY(SORT(GOOGLEFINANCE(A179,""price"",TODAY()-150,TODAY()),1,0),""select Col2 limit 50""))"),1774.9159999999995)</f>
        <v>1774.916</v>
      </c>
      <c r="D179" s="39">
        <f>IFERROR(__xludf.DUMMYFUNCTION("AVERAGE(QUERY(SORT(GOOGLEFINANCE(A179,""price"",TODAY()-300,TODAY()),1,0),""select Col2 limit 100""))"),1742.763)</f>
        <v>1742.763</v>
      </c>
      <c r="E179" s="39">
        <f>IFERROR(__xludf.DUMMYFUNCTION("AVERAGE(QUERY(SORT(GOOGLEFINANCE(A179,""price"",TODAY()-500,TODAY()),1,0),""select Col2 limit 200""))"),1713.0839999999998)</f>
        <v>1713.084</v>
      </c>
      <c r="F179" s="32" t="str">
        <f t="shared" si="1"/>
        <v>In Bull Run</v>
      </c>
      <c r="G179" s="33">
        <f t="shared" si="2"/>
        <v>7.175129766</v>
      </c>
    </row>
    <row r="180">
      <c r="A180" s="37" t="s">
        <v>196</v>
      </c>
      <c r="B180" s="38">
        <f>IFERROR(__xludf.DUMMYFUNCTION("GOOGLEFINANCE(A180,""price"")"),106.43)</f>
        <v>106.43</v>
      </c>
      <c r="C180" s="39">
        <f>IFERROR(__xludf.DUMMYFUNCTION("AVERAGE(QUERY(SORT(GOOGLEFINANCE(A180,""price"",TODAY()-150,TODAY()),1,0),""select Col2 limit 50""))"),108.5542)</f>
        <v>108.5542</v>
      </c>
      <c r="D180" s="39">
        <f>IFERROR(__xludf.DUMMYFUNCTION("AVERAGE(QUERY(SORT(GOOGLEFINANCE(A180,""price"",TODAY()-300,TODAY()),1,0),""select Col2 limit 100""))"),116.43580000000001)</f>
        <v>116.4358</v>
      </c>
      <c r="E180" s="39">
        <f>IFERROR(__xludf.DUMMYFUNCTION("AVERAGE(QUERY(SORT(GOOGLEFINANCE(A180,""price"",TODAY()-500,TODAY()),1,0),""select Col2 limit 200""))"),115.34120000000001)</f>
        <v>115.3412</v>
      </c>
      <c r="F180" s="32" t="str">
        <f t="shared" si="1"/>
        <v>In Bear Run</v>
      </c>
      <c r="G180" s="33">
        <f t="shared" si="2"/>
        <v>-7.725947016</v>
      </c>
    </row>
    <row r="181">
      <c r="A181" s="37" t="s">
        <v>197</v>
      </c>
      <c r="B181" s="38">
        <f>IFERROR(__xludf.DUMMYFUNCTION("GOOGLEFINANCE(A181,""price"")"),5031.5)</f>
        <v>5031.5</v>
      </c>
      <c r="C181" s="39">
        <f>IFERROR(__xludf.DUMMYFUNCTION("AVERAGE(QUERY(SORT(GOOGLEFINANCE(A181,""price"",TODAY()-150,TODAY()),1,0),""select Col2 limit 50""))"),5161.7)</f>
        <v>5161.7</v>
      </c>
      <c r="D181" s="39">
        <f>IFERROR(__xludf.DUMMYFUNCTION("AVERAGE(QUERY(SORT(GOOGLEFINANCE(A181,""price"",TODAY()-300,TODAY()),1,0),""select Col2 limit 100""))"),5411.005)</f>
        <v>5411.005</v>
      </c>
      <c r="E181" s="39">
        <f>IFERROR(__xludf.DUMMYFUNCTION("AVERAGE(QUERY(SORT(GOOGLEFINANCE(A181,""price"",TODAY()-500,TODAY()),1,0),""select Col2 limit 200""))"),5440.509499999998)</f>
        <v>5440.5095</v>
      </c>
      <c r="F181" s="32" t="str">
        <f t="shared" si="1"/>
        <v>In Bear Run</v>
      </c>
      <c r="G181" s="33">
        <f t="shared" si="2"/>
        <v>-7.517852878</v>
      </c>
    </row>
    <row r="182">
      <c r="A182" s="37" t="s">
        <v>198</v>
      </c>
      <c r="B182" s="38">
        <f>IFERROR(__xludf.DUMMYFUNCTION("GOOGLEFINANCE(A182,""price"")"),298.45)</f>
        <v>298.45</v>
      </c>
      <c r="C182" s="39">
        <f>IFERROR(__xludf.DUMMYFUNCTION("AVERAGE(QUERY(SORT(GOOGLEFINANCE(A182,""price"",TODAY()-150,TODAY()),1,0),""select Col2 limit 50""))"),304.63900000000007)</f>
        <v>304.639</v>
      </c>
      <c r="D182" s="39">
        <f>IFERROR(__xludf.DUMMYFUNCTION("AVERAGE(QUERY(SORT(GOOGLEFINANCE(A182,""price"",TODAY()-300,TODAY()),1,0),""select Col2 limit 100""))"),291.35249999999996)</f>
        <v>291.3525</v>
      </c>
      <c r="E182" s="39">
        <f>IFERROR(__xludf.DUMMYFUNCTION("AVERAGE(QUERY(SORT(GOOGLEFINANCE(A182,""price"",TODAY()-500,TODAY()),1,0),""select Col2 limit 200""))"),285.8659999999999)</f>
        <v>285.866</v>
      </c>
      <c r="F182" s="32" t="str">
        <f t="shared" si="1"/>
        <v>Unconfirmed</v>
      </c>
      <c r="G182" s="33">
        <f t="shared" si="2"/>
        <v>4.402062505</v>
      </c>
    </row>
    <row r="183">
      <c r="A183" s="37" t="s">
        <v>199</v>
      </c>
      <c r="B183" s="38">
        <f>IFERROR(__xludf.DUMMYFUNCTION("GOOGLEFINANCE(A183,""price"")"),430.65)</f>
        <v>430.65</v>
      </c>
      <c r="C183" s="39">
        <f>IFERROR(__xludf.DUMMYFUNCTION("AVERAGE(QUERY(SORT(GOOGLEFINANCE(A183,""price"",TODAY()-150,TODAY()),1,0),""select Col2 limit 50""))"),434.97999999999985)</f>
        <v>434.98</v>
      </c>
      <c r="D183" s="39">
        <f>IFERROR(__xludf.DUMMYFUNCTION("AVERAGE(QUERY(SORT(GOOGLEFINANCE(A183,""price"",TODAY()-300,TODAY()),1,0),""select Col2 limit 100""))"),412.3425)</f>
        <v>412.3425</v>
      </c>
      <c r="E183" s="39">
        <f>IFERROR(__xludf.DUMMYFUNCTION("AVERAGE(QUERY(SORT(GOOGLEFINANCE(A183,""price"",TODAY()-500,TODAY()),1,0),""select Col2 limit 200""))"),399.81300000000005)</f>
        <v>399.813</v>
      </c>
      <c r="F183" s="32" t="str">
        <f t="shared" si="1"/>
        <v>Unconfirmed</v>
      </c>
      <c r="G183" s="33">
        <f t="shared" si="2"/>
        <v>7.71285576</v>
      </c>
    </row>
    <row r="184">
      <c r="A184" s="37" t="s">
        <v>200</v>
      </c>
      <c r="B184" s="38">
        <f>IFERROR(__xludf.DUMMYFUNCTION("GOOGLEFINANCE(A184,""price"")"),1692.6)</f>
        <v>1692.6</v>
      </c>
      <c r="C184" s="39">
        <f>IFERROR(__xludf.DUMMYFUNCTION("AVERAGE(QUERY(SORT(GOOGLEFINANCE(A184,""price"",TODAY()-150,TODAY()),1,0),""select Col2 limit 50""))"),1623.3540000000003)</f>
        <v>1623.354</v>
      </c>
      <c r="D184" s="39">
        <f>IFERROR(__xludf.DUMMYFUNCTION("AVERAGE(QUERY(SORT(GOOGLEFINANCE(A184,""price"",TODAY()-300,TODAY()),1,0),""select Col2 limit 100""))"),1670.1550000000007)</f>
        <v>1670.155</v>
      </c>
      <c r="E184" s="39">
        <f>IFERROR(__xludf.DUMMYFUNCTION("AVERAGE(QUERY(SORT(GOOGLEFINANCE(A184,""price"",TODAY()-500,TODAY()),1,0),""select Col2 limit 200""))"),1641.3075000000015)</f>
        <v>1641.3075</v>
      </c>
      <c r="F184" s="32" t="str">
        <f t="shared" si="1"/>
        <v>In Bull Run</v>
      </c>
      <c r="G184" s="33">
        <f t="shared" si="2"/>
        <v>3.125099958</v>
      </c>
    </row>
    <row r="185">
      <c r="A185" s="37" t="s">
        <v>201</v>
      </c>
      <c r="B185" s="38">
        <f>IFERROR(__xludf.DUMMYFUNCTION("GOOGLEFINANCE(A185,""price"")"),1450.5)</f>
        <v>1450.5</v>
      </c>
      <c r="C185" s="39">
        <f>IFERROR(__xludf.DUMMYFUNCTION("AVERAGE(QUERY(SORT(GOOGLEFINANCE(A185,""price"",TODAY()-150,TODAY()),1,0),""select Col2 limit 50""))"),1389.8339999999996)</f>
        <v>1389.834</v>
      </c>
      <c r="D185" s="39">
        <f>IFERROR(__xludf.DUMMYFUNCTION("AVERAGE(QUERY(SORT(GOOGLEFINANCE(A185,""price"",TODAY()-300,TODAY()),1,0),""select Col2 limit 100""))"),1287.6609999999996)</f>
        <v>1287.661</v>
      </c>
      <c r="E185" s="39">
        <f>IFERROR(__xludf.DUMMYFUNCTION("AVERAGE(QUERY(SORT(GOOGLEFINANCE(A185,""price"",TODAY()-500,TODAY()),1,0),""select Col2 limit 200""))"),1206.7154999999993)</f>
        <v>1206.7155</v>
      </c>
      <c r="F185" s="32" t="str">
        <f t="shared" si="1"/>
        <v>Unconfirmed</v>
      </c>
      <c r="G185" s="33">
        <f t="shared" si="2"/>
        <v>20.20231778</v>
      </c>
    </row>
    <row r="186">
      <c r="A186" s="37" t="s">
        <v>202</v>
      </c>
      <c r="B186" s="38">
        <f>IFERROR(__xludf.DUMMYFUNCTION("GOOGLEFINANCE(A186,""price"")"),18536.0)</f>
        <v>18536</v>
      </c>
      <c r="C186" s="39">
        <f>IFERROR(__xludf.DUMMYFUNCTION("AVERAGE(QUERY(SORT(GOOGLEFINANCE(A186,""price"",TODAY()-150,TODAY()),1,0),""select Col2 limit 50""))"),15060.22)</f>
        <v>15060.22</v>
      </c>
      <c r="D186" s="39">
        <f>IFERROR(__xludf.DUMMYFUNCTION("AVERAGE(QUERY(SORT(GOOGLEFINANCE(A186,""price"",TODAY()-300,TODAY()),1,0),""select Col2 limit 100""))"),14163.17)</f>
        <v>14163.17</v>
      </c>
      <c r="E186" s="39">
        <f>IFERROR(__xludf.DUMMYFUNCTION("AVERAGE(QUERY(SORT(GOOGLEFINANCE(A186,""price"",TODAY()-500,TODAY()),1,0),""select Col2 limit 200""))"),13984.78)</f>
        <v>13984.78</v>
      </c>
      <c r="F186" s="32" t="str">
        <f t="shared" si="1"/>
        <v>Unconfirmed</v>
      </c>
      <c r="G186" s="33">
        <f t="shared" si="2"/>
        <v>32.54409437</v>
      </c>
    </row>
    <row r="187">
      <c r="A187" s="37" t="s">
        <v>203</v>
      </c>
      <c r="B187" s="38">
        <f>IFERROR(__xludf.DUMMYFUNCTION("GOOGLEFINANCE(A187,""price"")"),1655.0)</f>
        <v>1655</v>
      </c>
      <c r="C187" s="39">
        <f>IFERROR(__xludf.DUMMYFUNCTION("AVERAGE(QUERY(SORT(GOOGLEFINANCE(A187,""price"",TODAY()-150,TODAY()),1,0),""select Col2 limit 50""))"),1735.1940000000009)</f>
        <v>1735.194</v>
      </c>
      <c r="D187" s="39">
        <f>IFERROR(__xludf.DUMMYFUNCTION("AVERAGE(QUERY(SORT(GOOGLEFINANCE(A187,""price"",TODAY()-300,TODAY()),1,0),""select Col2 limit 100""))"),1793.786000000001)</f>
        <v>1793.786</v>
      </c>
      <c r="E187" s="39">
        <f>IFERROR(__xludf.DUMMYFUNCTION("AVERAGE(QUERY(SORT(GOOGLEFINANCE(A187,""price"",TODAY()-500,TODAY()),1,0),""select Col2 limit 200""))"),1824.122)</f>
        <v>1824.122</v>
      </c>
      <c r="F187" s="32" t="str">
        <f t="shared" si="1"/>
        <v>In Bear Run</v>
      </c>
      <c r="G187" s="33">
        <f t="shared" si="2"/>
        <v>-9.271419346</v>
      </c>
    </row>
    <row r="188">
      <c r="A188" s="37" t="s">
        <v>204</v>
      </c>
      <c r="B188" s="38">
        <f>IFERROR(__xludf.DUMMYFUNCTION("GOOGLEFINANCE(A188,""price"")"),1576.9)</f>
        <v>1576.9</v>
      </c>
      <c r="C188" s="39">
        <f>IFERROR(__xludf.DUMMYFUNCTION("AVERAGE(QUERY(SORT(GOOGLEFINANCE(A188,""price"",TODAY()-150,TODAY()),1,0),""select Col2 limit 50""))"),1536.594)</f>
        <v>1536.594</v>
      </c>
      <c r="D188" s="39">
        <f>IFERROR(__xludf.DUMMYFUNCTION("AVERAGE(QUERY(SORT(GOOGLEFINANCE(A188,""price"",TODAY()-300,TODAY()),1,0),""select Col2 limit 100""))"),1504.7809999999995)</f>
        <v>1504.781</v>
      </c>
      <c r="E188" s="39">
        <f>IFERROR(__xludf.DUMMYFUNCTION("AVERAGE(QUERY(SORT(GOOGLEFINANCE(A188,""price"",TODAY()-500,TODAY()),1,0),""select Col2 limit 200""))"),1438.042)</f>
        <v>1438.042</v>
      </c>
      <c r="F188" s="32" t="str">
        <f t="shared" si="1"/>
        <v>In Bull Run</v>
      </c>
      <c r="G188" s="33">
        <f t="shared" si="2"/>
        <v>9.656046207</v>
      </c>
    </row>
    <row r="189">
      <c r="A189" s="37" t="s">
        <v>205</v>
      </c>
      <c r="B189" s="38">
        <f>IFERROR(__xludf.DUMMYFUNCTION("GOOGLEFINANCE(A189,""price"")"),4343.5)</f>
        <v>4343.5</v>
      </c>
      <c r="C189" s="39">
        <f>IFERROR(__xludf.DUMMYFUNCTION("AVERAGE(QUERY(SORT(GOOGLEFINANCE(A189,""price"",TODAY()-150,TODAY()),1,0),""select Col2 limit 50""))"),3444.390000000001)</f>
        <v>3444.39</v>
      </c>
      <c r="D189" s="39">
        <f>IFERROR(__xludf.DUMMYFUNCTION("AVERAGE(QUERY(SORT(GOOGLEFINANCE(A189,""price"",TODAY()-300,TODAY()),1,0),""select Col2 limit 100""))"),3111.713000000001)</f>
        <v>3111.713</v>
      </c>
      <c r="E189" s="39">
        <f>IFERROR(__xludf.DUMMYFUNCTION("AVERAGE(QUERY(SORT(GOOGLEFINANCE(A189,""price"",TODAY()-500,TODAY()),1,0),""select Col2 limit 200""))"),2792.7025000000012)</f>
        <v>2792.7025</v>
      </c>
      <c r="F189" s="32" t="str">
        <f t="shared" si="1"/>
        <v>Unconfirmed</v>
      </c>
      <c r="G189" s="33">
        <f t="shared" si="2"/>
        <v>55.53035098</v>
      </c>
    </row>
    <row r="190">
      <c r="A190" s="37" t="s">
        <v>206</v>
      </c>
      <c r="B190" s="38">
        <f>IFERROR(__xludf.DUMMYFUNCTION("GOOGLEFINANCE(A190,""price"")"),33405.0)</f>
        <v>33405</v>
      </c>
      <c r="C190" s="39">
        <f>IFERROR(__xludf.DUMMYFUNCTION("AVERAGE(QUERY(SORT(GOOGLEFINANCE(A190,""price"",TODAY()-150,TODAY()),1,0),""select Col2 limit 50""))"),32022.6)</f>
        <v>32022.6</v>
      </c>
      <c r="D190" s="39">
        <f>IFERROR(__xludf.DUMMYFUNCTION("AVERAGE(QUERY(SORT(GOOGLEFINANCE(A190,""price"",TODAY()-300,TODAY()),1,0),""select Col2 limit 100""))"),33647.35)</f>
        <v>33647.35</v>
      </c>
      <c r="E190" s="39">
        <f>IFERROR(__xludf.DUMMYFUNCTION("AVERAGE(QUERY(SORT(GOOGLEFINANCE(A190,""price"",TODAY()-500,TODAY()),1,0),""select Col2 limit 200""))"),32817.45)</f>
        <v>32817.45</v>
      </c>
      <c r="F190" s="32" t="str">
        <f t="shared" si="1"/>
        <v>Unconfirmed</v>
      </c>
      <c r="G190" s="33">
        <f t="shared" si="2"/>
        <v>1.790358483</v>
      </c>
    </row>
    <row r="191">
      <c r="A191" s="37" t="s">
        <v>207</v>
      </c>
      <c r="B191" s="38">
        <f>IFERROR(__xludf.DUMMYFUNCTION("GOOGLEFINANCE(A191,""price"")"),609.45)</f>
        <v>609.45</v>
      </c>
      <c r="C191" s="39">
        <f>IFERROR(__xludf.DUMMYFUNCTION("AVERAGE(QUERY(SORT(GOOGLEFINANCE(A191,""price"",TODAY()-150,TODAY()),1,0),""select Col2 limit 50""))"),551.594)</f>
        <v>551.594</v>
      </c>
      <c r="D191" s="39">
        <f>IFERROR(__xludf.DUMMYFUNCTION("AVERAGE(QUERY(SORT(GOOGLEFINANCE(A191,""price"",TODAY()-300,TODAY()),1,0),""select Col2 limit 100""))"),525.0615000000001)</f>
        <v>525.0615</v>
      </c>
      <c r="E191" s="39">
        <f>IFERROR(__xludf.DUMMYFUNCTION("AVERAGE(QUERY(SORT(GOOGLEFINANCE(A191,""price"",TODAY()-500,TODAY()),1,0),""select Col2 limit 200""))"),493.33650000000046)</f>
        <v>493.3365</v>
      </c>
      <c r="F191" s="32" t="str">
        <f t="shared" si="1"/>
        <v>Unconfirmed</v>
      </c>
      <c r="G191" s="33">
        <f t="shared" si="2"/>
        <v>23.53636919</v>
      </c>
    </row>
    <row r="192">
      <c r="A192" s="37" t="s">
        <v>208</v>
      </c>
      <c r="B192" s="38">
        <f>IFERROR(__xludf.DUMMYFUNCTION("GOOGLEFINANCE(A192,""price"")"),1260.7)</f>
        <v>1260.7</v>
      </c>
      <c r="C192" s="39">
        <f>IFERROR(__xludf.DUMMYFUNCTION("AVERAGE(QUERY(SORT(GOOGLEFINANCE(A192,""price"",TODAY()-150,TODAY()),1,0),""select Col2 limit 50""))"),1352.7259999999997)</f>
        <v>1352.726</v>
      </c>
      <c r="D192" s="39">
        <f>IFERROR(__xludf.DUMMYFUNCTION("AVERAGE(QUERY(SORT(GOOGLEFINANCE(A192,""price"",TODAY()-300,TODAY()),1,0),""select Col2 limit 100""))"),1397.91)</f>
        <v>1397.91</v>
      </c>
      <c r="E192" s="39">
        <f>IFERROR(__xludf.DUMMYFUNCTION("AVERAGE(QUERY(SORT(GOOGLEFINANCE(A192,""price"",TODAY()-500,TODAY()),1,0),""select Col2 limit 200""))"),1385.0369999999996)</f>
        <v>1385.037</v>
      </c>
      <c r="F192" s="32" t="str">
        <f t="shared" si="1"/>
        <v>In Bear Run</v>
      </c>
      <c r="G192" s="33">
        <f t="shared" si="2"/>
        <v>-8.977160899</v>
      </c>
    </row>
    <row r="193">
      <c r="A193" s="37" t="s">
        <v>209</v>
      </c>
      <c r="B193" s="38">
        <f>IFERROR(__xludf.DUMMYFUNCTION("GOOGLEFINANCE(A193,""price"")"),838.2)</f>
        <v>838.2</v>
      </c>
      <c r="C193" s="39">
        <f>IFERROR(__xludf.DUMMYFUNCTION("AVERAGE(QUERY(SORT(GOOGLEFINANCE(A193,""price"",TODAY()-150,TODAY()),1,0),""select Col2 limit 50""))"),780.7459999999999)</f>
        <v>780.746</v>
      </c>
      <c r="D193" s="39">
        <f>IFERROR(__xludf.DUMMYFUNCTION("AVERAGE(QUERY(SORT(GOOGLEFINANCE(A193,""price"",TODAY()-300,TODAY()),1,0),""select Col2 limit 100""))"),772.0955000000001)</f>
        <v>772.0955</v>
      </c>
      <c r="E193" s="39">
        <f>IFERROR(__xludf.DUMMYFUNCTION("AVERAGE(QUERY(SORT(GOOGLEFINANCE(A193,""price"",TODAY()-500,TODAY()),1,0),""select Col2 limit 200""))"),747.7845)</f>
        <v>747.7845</v>
      </c>
      <c r="F193" s="32" t="str">
        <f t="shared" si="1"/>
        <v>Unconfirmed</v>
      </c>
      <c r="G193" s="33">
        <f t="shared" si="2"/>
        <v>12.09111716</v>
      </c>
    </row>
    <row r="194">
      <c r="A194" s="37" t="s">
        <v>210</v>
      </c>
      <c r="B194" s="38">
        <f>IFERROR(__xludf.DUMMYFUNCTION("GOOGLEFINANCE(A194,""price"")"),92.31)</f>
        <v>92.31</v>
      </c>
      <c r="C194" s="39">
        <f>IFERROR(__xludf.DUMMYFUNCTION("AVERAGE(QUERY(SORT(GOOGLEFINANCE(A194,""price"",TODAY()-150,TODAY()),1,0),""select Col2 limit 50""))"),85.27519999999998)</f>
        <v>85.2752</v>
      </c>
      <c r="D194" s="39">
        <f>IFERROR(__xludf.DUMMYFUNCTION("AVERAGE(QUERY(SORT(GOOGLEFINANCE(A194,""price"",TODAY()-300,TODAY()),1,0),""select Col2 limit 100""))"),83.4449)</f>
        <v>83.4449</v>
      </c>
      <c r="E194" s="39">
        <f>IFERROR(__xludf.DUMMYFUNCTION("AVERAGE(QUERY(SORT(GOOGLEFINANCE(A194,""price"",TODAY()-500,TODAY()),1,0),""select Col2 limit 200""))"),79.08755000000001)</f>
        <v>79.08755</v>
      </c>
      <c r="F194" s="32" t="str">
        <f t="shared" si="1"/>
        <v>Unconfirmed</v>
      </c>
      <c r="G194" s="33">
        <f t="shared" si="2"/>
        <v>16.7187503</v>
      </c>
    </row>
    <row r="195">
      <c r="A195" s="37" t="s">
        <v>211</v>
      </c>
      <c r="B195" s="38">
        <f>IFERROR(__xludf.DUMMYFUNCTION("GOOGLEFINANCE(A195,""price"")"),4156.0)</f>
        <v>4156</v>
      </c>
      <c r="C195" s="39">
        <f>IFERROR(__xludf.DUMMYFUNCTION("AVERAGE(QUERY(SORT(GOOGLEFINANCE(A195,""price"",TODAY()-150,TODAY()),1,0),""select Col2 limit 50""))"),4043.8060000000005)</f>
        <v>4043.806</v>
      </c>
      <c r="D195" s="39">
        <f>IFERROR(__xludf.DUMMYFUNCTION("AVERAGE(QUERY(SORT(GOOGLEFINANCE(A195,""price"",TODAY()-300,TODAY()),1,0),""select Col2 limit 100""))"),3960.8810000000008)</f>
        <v>3960.881</v>
      </c>
      <c r="E195" s="39">
        <f>IFERROR(__xludf.DUMMYFUNCTION("AVERAGE(QUERY(SORT(GOOGLEFINANCE(A195,""price"",TODAY()-500,TODAY()),1,0),""select Col2 limit 200""))"),3972.577500000002)</f>
        <v>3972.5775</v>
      </c>
      <c r="F195" s="32" t="str">
        <f t="shared" si="1"/>
        <v>In Bull Run</v>
      </c>
      <c r="G195" s="33">
        <f t="shared" si="2"/>
        <v>4.617216404</v>
      </c>
    </row>
    <row r="196">
      <c r="A196" s="37" t="s">
        <v>212</v>
      </c>
      <c r="B196" s="38">
        <f>IFERROR(__xludf.DUMMYFUNCTION("GOOGLEFINANCE(A196,""price"")"),365.1)</f>
        <v>365.1</v>
      </c>
      <c r="C196" s="39">
        <f>IFERROR(__xludf.DUMMYFUNCTION("AVERAGE(QUERY(SORT(GOOGLEFINANCE(A196,""price"",TODAY()-150,TODAY()),1,0),""select Col2 limit 50""))"),335.7660000000001)</f>
        <v>335.766</v>
      </c>
      <c r="D196" s="39">
        <f>IFERROR(__xludf.DUMMYFUNCTION("AVERAGE(QUERY(SORT(GOOGLEFINANCE(A196,""price"",TODAY()-300,TODAY()),1,0),""select Col2 limit 100""))"),341.8669999999999)</f>
        <v>341.867</v>
      </c>
      <c r="E196" s="39">
        <f>IFERROR(__xludf.DUMMYFUNCTION("AVERAGE(QUERY(SORT(GOOGLEFINANCE(A196,""price"",TODAY()-500,TODAY()),1,0),""select Col2 limit 200""))"),325.7594999999999)</f>
        <v>325.7595</v>
      </c>
      <c r="F196" s="32" t="str">
        <f t="shared" si="1"/>
        <v>Unconfirmed</v>
      </c>
      <c r="G196" s="33">
        <f t="shared" si="2"/>
        <v>12.07654727</v>
      </c>
    </row>
    <row r="197">
      <c r="A197" s="37" t="s">
        <v>213</v>
      </c>
      <c r="B197" s="38">
        <f>IFERROR(__xludf.DUMMYFUNCTION("GOOGLEFINANCE(A197,""price"")"),1311.5)</f>
        <v>1311.5</v>
      </c>
      <c r="C197" s="39">
        <f>IFERROR(__xludf.DUMMYFUNCTION("AVERAGE(QUERY(SORT(GOOGLEFINANCE(A197,""price"",TODAY()-150,TODAY()),1,0),""select Col2 limit 50""))"),1272.7179999999998)</f>
        <v>1272.718</v>
      </c>
      <c r="D197" s="39">
        <f>IFERROR(__xludf.DUMMYFUNCTION("AVERAGE(QUERY(SORT(GOOGLEFINANCE(A197,""price"",TODAY()-300,TODAY()),1,0),""select Col2 limit 100""))"),1296.844)</f>
        <v>1296.844</v>
      </c>
      <c r="E197" s="39">
        <f>IFERROR(__xludf.DUMMYFUNCTION("AVERAGE(QUERY(SORT(GOOGLEFINANCE(A197,""price"",TODAY()-500,TODAY()),1,0),""select Col2 limit 200""))"),1235.853)</f>
        <v>1235.853</v>
      </c>
      <c r="F197" s="32" t="str">
        <f t="shared" si="1"/>
        <v>In Bull Run</v>
      </c>
      <c r="G197" s="33">
        <f t="shared" si="2"/>
        <v>6.121035431</v>
      </c>
    </row>
    <row r="198">
      <c r="A198" s="37" t="s">
        <v>214</v>
      </c>
      <c r="B198" s="38">
        <f>IFERROR(__xludf.DUMMYFUNCTION("GOOGLEFINANCE(A198,""price"")"),1529.2)</f>
        <v>1529.2</v>
      </c>
      <c r="C198" s="39">
        <f>IFERROR(__xludf.DUMMYFUNCTION("AVERAGE(QUERY(SORT(GOOGLEFINANCE(A198,""price"",TODAY()-150,TODAY()),1,0),""select Col2 limit 50""))"),1204.7760000000003)</f>
        <v>1204.776</v>
      </c>
      <c r="D198" s="39">
        <f>IFERROR(__xludf.DUMMYFUNCTION("AVERAGE(QUERY(SORT(GOOGLEFINANCE(A198,""price"",TODAY()-300,TODAY()),1,0),""select Col2 limit 100""))"),1092.1120000000003)</f>
        <v>1092.112</v>
      </c>
      <c r="E198" s="39">
        <f>IFERROR(__xludf.DUMMYFUNCTION("AVERAGE(QUERY(SORT(GOOGLEFINANCE(A198,""price"",TODAY()-500,TODAY()),1,0),""select Col2 limit 200""))"),998.8030000000002)</f>
        <v>998.803</v>
      </c>
      <c r="F198" s="32" t="str">
        <f t="shared" si="1"/>
        <v>Unconfirmed</v>
      </c>
      <c r="G198" s="33">
        <f t="shared" si="2"/>
        <v>53.10326461</v>
      </c>
    </row>
    <row r="199">
      <c r="A199" s="37" t="s">
        <v>215</v>
      </c>
      <c r="B199" s="38">
        <f>IFERROR(__xludf.DUMMYFUNCTION("GOOGLEFINANCE(A199,""price"")"),10744.5)</f>
        <v>10744.5</v>
      </c>
      <c r="C199" s="39">
        <f>IFERROR(__xludf.DUMMYFUNCTION("AVERAGE(QUERY(SORT(GOOGLEFINANCE(A199,""price"",TODAY()-150,TODAY()),1,0),""select Col2 limit 50""))"),9696.48)</f>
        <v>9696.48</v>
      </c>
      <c r="D199" s="39">
        <f>IFERROR(__xludf.DUMMYFUNCTION("AVERAGE(QUERY(SORT(GOOGLEFINANCE(A199,""price"",TODAY()-300,TODAY()),1,0),""select Col2 limit 100""))"),9653.93)</f>
        <v>9653.93</v>
      </c>
      <c r="E199" s="39">
        <f>IFERROR(__xludf.DUMMYFUNCTION("AVERAGE(QUERY(SORT(GOOGLEFINANCE(A199,""price"",TODAY()-500,TODAY()),1,0),""select Col2 limit 200""))"),9262.37)</f>
        <v>9262.37</v>
      </c>
      <c r="F199" s="32" t="str">
        <f t="shared" si="1"/>
        <v>Unconfirmed</v>
      </c>
      <c r="G199" s="33">
        <f t="shared" si="2"/>
        <v>16.00162809</v>
      </c>
    </row>
    <row r="200">
      <c r="A200" s="37" t="s">
        <v>216</v>
      </c>
      <c r="B200" s="38">
        <f>IFERROR(__xludf.DUMMYFUNCTION("GOOGLEFINANCE(A200,""price"")"),142.0)</f>
        <v>142</v>
      </c>
      <c r="C200" s="39">
        <f>IFERROR(__xludf.DUMMYFUNCTION("AVERAGE(QUERY(SORT(GOOGLEFINANCE(A200,""price"",TODAY()-150,TODAY()),1,0),""select Col2 limit 50""))"),142.8084)</f>
        <v>142.8084</v>
      </c>
      <c r="D200" s="39">
        <f>IFERROR(__xludf.DUMMYFUNCTION("AVERAGE(QUERY(SORT(GOOGLEFINANCE(A200,""price"",TODAY()-300,TODAY()),1,0),""select Col2 limit 100""))"),155.54149999999998)</f>
        <v>155.5415</v>
      </c>
      <c r="E200" s="39">
        <f>IFERROR(__xludf.DUMMYFUNCTION("AVERAGE(QUERY(SORT(GOOGLEFINANCE(A200,""price"",TODAY()-500,TODAY()),1,0),""select Col2 limit 200""))"),154.73919999999998)</f>
        <v>154.7392</v>
      </c>
      <c r="F200" s="32" t="str">
        <f t="shared" si="1"/>
        <v>In Bear Run</v>
      </c>
      <c r="G200" s="33">
        <f t="shared" si="2"/>
        <v>-8.232690876</v>
      </c>
    </row>
    <row r="201">
      <c r="A201" s="37" t="s">
        <v>217</v>
      </c>
      <c r="B201" s="38">
        <f>IFERROR(__xludf.DUMMYFUNCTION("GOOGLEFINANCE(A201,""price"")"),283.2)</f>
        <v>283.2</v>
      </c>
      <c r="C201" s="39">
        <f>IFERROR(__xludf.DUMMYFUNCTION("AVERAGE(QUERY(SORT(GOOGLEFINANCE(A201,""price"",TODAY()-150,TODAY()),1,0),""select Col2 limit 50""))"),274.67819999999995)</f>
        <v>274.6782</v>
      </c>
      <c r="D201" s="39">
        <f>IFERROR(__xludf.DUMMYFUNCTION("AVERAGE(QUERY(SORT(GOOGLEFINANCE(A201,""price"",TODAY()-300,TODAY()),1,0),""select Col2 limit 100""))"),284.0696)</f>
        <v>284.0696</v>
      </c>
      <c r="E201" s="39">
        <f>IFERROR(__xludf.DUMMYFUNCTION("AVERAGE(QUERY(SORT(GOOGLEFINANCE(A201,""price"",TODAY()-500,TODAY()),1,0),""select Col2 limit 200""))"),272.1957999999999)</f>
        <v>272.1958</v>
      </c>
      <c r="F201" s="32" t="str">
        <f t="shared" si="1"/>
        <v>Unconfirmed</v>
      </c>
      <c r="G201" s="33">
        <f t="shared" si="2"/>
        <v>4.042751578</v>
      </c>
    </row>
    <row r="202">
      <c r="A202" s="37" t="s">
        <v>218</v>
      </c>
      <c r="B202" s="38">
        <f>IFERROR(__xludf.DUMMYFUNCTION("GOOGLEFINANCE(A202,""price"")"),264.95)</f>
        <v>264.95</v>
      </c>
      <c r="C202" s="39">
        <f>IFERROR(__xludf.DUMMYFUNCTION("AVERAGE(QUERY(SORT(GOOGLEFINANCE(A202,""price"",TODAY()-150,TODAY()),1,0),""select Col2 limit 50""))"),258.38759999999996)</f>
        <v>258.3876</v>
      </c>
      <c r="D202" s="39">
        <f>IFERROR(__xludf.DUMMYFUNCTION("AVERAGE(QUERY(SORT(GOOGLEFINANCE(A202,""price"",TODAY()-300,TODAY()),1,0),""select Col2 limit 100""))"),258.5784)</f>
        <v>258.5784</v>
      </c>
      <c r="E202" s="39">
        <f>IFERROR(__xludf.DUMMYFUNCTION("AVERAGE(QUERY(SORT(GOOGLEFINANCE(A202,""price"",TODAY()-500,TODAY()),1,0),""select Col2 limit 200""))"),251.85414999999995)</f>
        <v>251.85415</v>
      </c>
      <c r="F202" s="32" t="str">
        <f t="shared" si="1"/>
        <v>In Bull Run</v>
      </c>
      <c r="G202" s="33">
        <f t="shared" si="2"/>
        <v>5.199775346</v>
      </c>
    </row>
    <row r="203">
      <c r="A203" s="37" t="s">
        <v>219</v>
      </c>
      <c r="B203" s="38">
        <f>IFERROR(__xludf.DUMMYFUNCTION("GOOGLEFINANCE(A203,""price"")"),1456.8)</f>
        <v>1456.8</v>
      </c>
      <c r="C203" s="39">
        <f>IFERROR(__xludf.DUMMYFUNCTION("AVERAGE(QUERY(SORT(GOOGLEFINANCE(A203,""price"",TODAY()-150,TODAY()),1,0),""select Col2 limit 50""))"),1526.4520000000005)</f>
        <v>1526.452</v>
      </c>
      <c r="D203" s="39">
        <f>IFERROR(__xludf.DUMMYFUNCTION("AVERAGE(QUERY(SORT(GOOGLEFINANCE(A203,""price"",TODAY()-300,TODAY()),1,0),""select Col2 limit 100""))"),1468.3499999999997)</f>
        <v>1468.35</v>
      </c>
      <c r="E203" s="39">
        <f>IFERROR(__xludf.DUMMYFUNCTION("AVERAGE(QUERY(SORT(GOOGLEFINANCE(A203,""price"",TODAY()-500,TODAY()),1,0),""select Col2 limit 200""))"),1378.177499999999)</f>
        <v>1378.1775</v>
      </c>
      <c r="F203" s="32" t="str">
        <f t="shared" si="1"/>
        <v>Unconfirmed</v>
      </c>
      <c r="G203" s="33">
        <f t="shared" si="2"/>
        <v>5.704816687</v>
      </c>
    </row>
    <row r="204">
      <c r="A204" s="37" t="s">
        <v>220</v>
      </c>
      <c r="B204" s="38">
        <f>IFERROR(__xludf.DUMMYFUNCTION("GOOGLEFINANCE(A204,""price"")"),276.3)</f>
        <v>276.3</v>
      </c>
      <c r="C204" s="39">
        <f>IFERROR(__xludf.DUMMYFUNCTION("AVERAGE(QUERY(SORT(GOOGLEFINANCE(A204,""price"",TODAY()-150,TODAY()),1,0),""select Col2 limit 50""))"),283.82200000000006)</f>
        <v>283.822</v>
      </c>
      <c r="D204" s="39">
        <f>IFERROR(__xludf.DUMMYFUNCTION("AVERAGE(QUERY(SORT(GOOGLEFINANCE(A204,""price"",TODAY()-300,TODAY()),1,0),""select Col2 limit 100""))"),270.932)</f>
        <v>270.932</v>
      </c>
      <c r="E204" s="39">
        <f>IFERROR(__xludf.DUMMYFUNCTION("AVERAGE(QUERY(SORT(GOOGLEFINANCE(A204,""price"",TODAY()-500,TODAY()),1,0),""select Col2 limit 200""))"),256.1955)</f>
        <v>256.1955</v>
      </c>
      <c r="F204" s="32" t="str">
        <f t="shared" si="1"/>
        <v>Unconfirmed</v>
      </c>
      <c r="G204" s="33">
        <f t="shared" si="2"/>
        <v>7.847327529</v>
      </c>
    </row>
    <row r="205">
      <c r="A205" s="37" t="s">
        <v>221</v>
      </c>
      <c r="B205" s="38">
        <f>IFERROR(__xludf.DUMMYFUNCTION("GOOGLEFINANCE(A205,""price"")"),2351.9)</f>
        <v>2351.9</v>
      </c>
      <c r="C205" s="39">
        <f>IFERROR(__xludf.DUMMYFUNCTION("AVERAGE(QUERY(SORT(GOOGLEFINANCE(A205,""price"",TODAY()-150,TODAY()),1,0),""select Col2 limit 50""))"),2256.6659999999997)</f>
        <v>2256.666</v>
      </c>
      <c r="D205" s="39">
        <f>IFERROR(__xludf.DUMMYFUNCTION("AVERAGE(QUERY(SORT(GOOGLEFINANCE(A205,""price"",TODAY()-300,TODAY()),1,0),""select Col2 limit 100""))"),2142.4830000000006)</f>
        <v>2142.483</v>
      </c>
      <c r="E205" s="39">
        <f>IFERROR(__xludf.DUMMYFUNCTION("AVERAGE(QUERY(SORT(GOOGLEFINANCE(A205,""price"",TODAY()-500,TODAY()),1,0),""select Col2 limit 200""))"),2049.4140000000007)</f>
        <v>2049.414</v>
      </c>
      <c r="F205" s="32" t="str">
        <f t="shared" si="1"/>
        <v>Unconfirmed</v>
      </c>
      <c r="G205" s="33">
        <f t="shared" si="2"/>
        <v>14.75963373</v>
      </c>
    </row>
    <row r="206">
      <c r="A206" s="37" t="s">
        <v>222</v>
      </c>
      <c r="B206" s="38">
        <f>IFERROR(__xludf.DUMMYFUNCTION("GOOGLEFINANCE(A206,""price"")"),7045.5)</f>
        <v>7045.5</v>
      </c>
      <c r="C206" s="39">
        <f>IFERROR(__xludf.DUMMYFUNCTION("AVERAGE(QUERY(SORT(GOOGLEFINANCE(A206,""price"",TODAY()-150,TODAY()),1,0),""select Col2 limit 50""))"),6666.33)</f>
        <v>6666.33</v>
      </c>
      <c r="D206" s="39">
        <f>IFERROR(__xludf.DUMMYFUNCTION("AVERAGE(QUERY(SORT(GOOGLEFINANCE(A206,""price"",TODAY()-300,TODAY()),1,0),""select Col2 limit 100""))"),6077.25)</f>
        <v>6077.25</v>
      </c>
      <c r="E206" s="39">
        <f>IFERROR(__xludf.DUMMYFUNCTION("AVERAGE(QUERY(SORT(GOOGLEFINANCE(A206,""price"",TODAY()-500,TODAY()),1,0),""select Col2 limit 200""))"),5620.770000000002)</f>
        <v>5620.77</v>
      </c>
      <c r="F206" s="32" t="str">
        <f t="shared" si="1"/>
        <v>Unconfirmed</v>
      </c>
      <c r="G206" s="33">
        <f t="shared" si="2"/>
        <v>25.34759472</v>
      </c>
    </row>
    <row r="207">
      <c r="A207" s="37" t="s">
        <v>223</v>
      </c>
      <c r="B207" s="38">
        <f>IFERROR(__xludf.DUMMYFUNCTION("GOOGLEFINANCE(A207,""price"")"),486.25)</f>
        <v>486.25</v>
      </c>
      <c r="C207" s="39">
        <f>IFERROR(__xludf.DUMMYFUNCTION("AVERAGE(QUERY(SORT(GOOGLEFINANCE(A207,""price"",TODAY()-150,TODAY()),1,0),""select Col2 limit 50""))"),478.75900000000007)</f>
        <v>478.759</v>
      </c>
      <c r="D207" s="39">
        <f>IFERROR(__xludf.DUMMYFUNCTION("AVERAGE(QUERY(SORT(GOOGLEFINANCE(A207,""price"",TODAY()-300,TODAY()),1,0),""select Col2 limit 100""))"),469.03400000000016)</f>
        <v>469.034</v>
      </c>
      <c r="E207" s="39">
        <f>IFERROR(__xludf.DUMMYFUNCTION("AVERAGE(QUERY(SORT(GOOGLEFINANCE(A207,""price"",TODAY()-500,TODAY()),1,0),""select Col2 limit 200""))"),441.60949999999997)</f>
        <v>441.6095</v>
      </c>
      <c r="F207" s="32" t="str">
        <f t="shared" si="1"/>
        <v>Unconfirmed</v>
      </c>
      <c r="G207" s="33">
        <f t="shared" si="2"/>
        <v>10.10859141</v>
      </c>
    </row>
    <row r="208">
      <c r="A208" s="37" t="s">
        <v>224</v>
      </c>
      <c r="B208" s="38">
        <f>IFERROR(__xludf.DUMMYFUNCTION("GOOGLEFINANCE(A208,""price"")"),271.8)</f>
        <v>271.8</v>
      </c>
      <c r="C208" s="39">
        <f>IFERROR(__xludf.DUMMYFUNCTION("AVERAGE(QUERY(SORT(GOOGLEFINANCE(A208,""price"",TODAY()-150,TODAY()),1,0),""select Col2 limit 50""))"),270.5414)</f>
        <v>270.5414</v>
      </c>
      <c r="D208" s="39">
        <f>IFERROR(__xludf.DUMMYFUNCTION("AVERAGE(QUERY(SORT(GOOGLEFINANCE(A208,""price"",TODAY()-300,TODAY()),1,0),""select Col2 limit 100""))"),285.3467)</f>
        <v>285.3467</v>
      </c>
      <c r="E208" s="39">
        <f>IFERROR(__xludf.DUMMYFUNCTION("AVERAGE(QUERY(SORT(GOOGLEFINANCE(A208,""price"",TODAY()-500,TODAY()),1,0),""select Col2 limit 200""))"),274.7246499999999)</f>
        <v>274.72465</v>
      </c>
      <c r="F208" s="32" t="str">
        <f t="shared" si="1"/>
        <v>Unconfirmed</v>
      </c>
      <c r="G208" s="33">
        <f t="shared" si="2"/>
        <v>-1.064575021</v>
      </c>
    </row>
    <row r="209">
      <c r="A209" s="37" t="s">
        <v>225</v>
      </c>
      <c r="B209" s="38">
        <f>IFERROR(__xludf.DUMMYFUNCTION("GOOGLEFINANCE(A209,""price"")"),1316.7)</f>
        <v>1316.7</v>
      </c>
      <c r="C209" s="39">
        <f>IFERROR(__xludf.DUMMYFUNCTION("AVERAGE(QUERY(SORT(GOOGLEFINANCE(A209,""price"",TODAY()-150,TODAY()),1,0),""select Col2 limit 50""))"),1223.008)</f>
        <v>1223.008</v>
      </c>
      <c r="D209" s="39">
        <f>IFERROR(__xludf.DUMMYFUNCTION("AVERAGE(QUERY(SORT(GOOGLEFINANCE(A209,""price"",TODAY()-300,TODAY()),1,0),""select Col2 limit 100""))"),1215.682)</f>
        <v>1215.682</v>
      </c>
      <c r="E209" s="39">
        <f>IFERROR(__xludf.DUMMYFUNCTION("AVERAGE(QUERY(SORT(GOOGLEFINANCE(A209,""price"",TODAY()-500,TODAY()),1,0),""select Col2 limit 200""))"),1168.0849999999998)</f>
        <v>1168.085</v>
      </c>
      <c r="F209" s="32" t="str">
        <f t="shared" si="1"/>
        <v>Unconfirmed</v>
      </c>
      <c r="G209" s="33">
        <f t="shared" si="2"/>
        <v>12.72296109</v>
      </c>
    </row>
    <row r="210">
      <c r="A210" s="37" t="s">
        <v>226</v>
      </c>
      <c r="B210" s="38">
        <f>IFERROR(__xludf.DUMMYFUNCTION("GOOGLEFINANCE(A210,""price"")"),447.65)</f>
        <v>447.65</v>
      </c>
      <c r="C210" s="39">
        <f>IFERROR(__xludf.DUMMYFUNCTION("AVERAGE(QUERY(SORT(GOOGLEFINANCE(A210,""price"",TODAY()-150,TODAY()),1,0),""select Col2 limit 50""))"),455.897)</f>
        <v>455.897</v>
      </c>
      <c r="D210" s="39">
        <f>IFERROR(__xludf.DUMMYFUNCTION("AVERAGE(QUERY(SORT(GOOGLEFINANCE(A210,""price"",TODAY()-300,TODAY()),1,0),""select Col2 limit 100""))"),440.7035000000002)</f>
        <v>440.7035</v>
      </c>
      <c r="E210" s="39">
        <f>IFERROR(__xludf.DUMMYFUNCTION("AVERAGE(QUERY(SORT(GOOGLEFINANCE(A210,""price"",TODAY()-500,TODAY()),1,0),""select Col2 limit 200""))"),412.4922500000001)</f>
        <v>412.49225</v>
      </c>
      <c r="F210" s="32" t="str">
        <f t="shared" si="1"/>
        <v>Unconfirmed</v>
      </c>
      <c r="G210" s="33">
        <f t="shared" si="2"/>
        <v>8.523251043</v>
      </c>
    </row>
    <row r="211">
      <c r="A211" s="37" t="s">
        <v>227</v>
      </c>
      <c r="B211" s="38">
        <f>IFERROR(__xludf.DUMMYFUNCTION("GOOGLEFINANCE(A211,""price"")"),74.02)</f>
        <v>74.02</v>
      </c>
      <c r="C211" s="39">
        <f>IFERROR(__xludf.DUMMYFUNCTION("AVERAGE(QUERY(SORT(GOOGLEFINANCE(A211,""price"",TODAY()-150,TODAY()),1,0),""select Col2 limit 50""))"),74.0394)</f>
        <v>74.0394</v>
      </c>
      <c r="D211" s="39">
        <f>IFERROR(__xludf.DUMMYFUNCTION("AVERAGE(QUERY(SORT(GOOGLEFINANCE(A211,""price"",TODAY()-300,TODAY()),1,0),""select Col2 limit 100""))"),90.07840000000002)</f>
        <v>90.0784</v>
      </c>
      <c r="E211" s="39">
        <f>IFERROR(__xludf.DUMMYFUNCTION("AVERAGE(QUERY(SORT(GOOGLEFINANCE(A211,""price"",TODAY()-500,TODAY()),1,0),""select Col2 limit 200""))"),92.48279999999998)</f>
        <v>92.4828</v>
      </c>
      <c r="F211" s="32" t="str">
        <f t="shared" si="1"/>
        <v>Unconfirmed</v>
      </c>
      <c r="G211" s="33">
        <f t="shared" si="2"/>
        <v>-19.96349591</v>
      </c>
    </row>
    <row r="212">
      <c r="A212" s="37" t="s">
        <v>228</v>
      </c>
      <c r="B212" s="38">
        <f>IFERROR(__xludf.DUMMYFUNCTION("GOOGLEFINANCE(A212,""price"")"),4317.9)</f>
        <v>4317.9</v>
      </c>
      <c r="C212" s="39">
        <f>IFERROR(__xludf.DUMMYFUNCTION("AVERAGE(QUERY(SORT(GOOGLEFINANCE(A212,""price"",TODAY()-150,TODAY()),1,0),""select Col2 limit 50""))"),4736.942)</f>
        <v>4736.942</v>
      </c>
      <c r="D212" s="39">
        <f>IFERROR(__xludf.DUMMYFUNCTION("AVERAGE(QUERY(SORT(GOOGLEFINANCE(A212,""price"",TODAY()-300,TODAY()),1,0),""select Col2 limit 100""))"),5013.51)</f>
        <v>5013.51</v>
      </c>
      <c r="E212" s="39">
        <f>IFERROR(__xludf.DUMMYFUNCTION("AVERAGE(QUERY(SORT(GOOGLEFINANCE(A212,""price"",TODAY()-500,TODAY()),1,0),""select Col2 limit 200""))"),4831.687999999998)</f>
        <v>4831.688</v>
      </c>
      <c r="F212" s="32" t="str">
        <f t="shared" si="1"/>
        <v>Unconfirmed</v>
      </c>
      <c r="G212" s="33">
        <f t="shared" si="2"/>
        <v>-10.63371642</v>
      </c>
    </row>
    <row r="213">
      <c r="A213" s="37" t="s">
        <v>229</v>
      </c>
      <c r="B213" s="38">
        <f>IFERROR(__xludf.DUMMYFUNCTION("GOOGLEFINANCE(A213,""price"")"),933.55)</f>
        <v>933.55</v>
      </c>
      <c r="C213" s="39">
        <f>IFERROR(__xludf.DUMMYFUNCTION("AVERAGE(QUERY(SORT(GOOGLEFINANCE(A213,""price"",TODAY()-150,TODAY()),1,0),""select Col2 limit 50""))"),859.7560000000002)</f>
        <v>859.756</v>
      </c>
      <c r="D213" s="39">
        <f>IFERROR(__xludf.DUMMYFUNCTION("AVERAGE(QUERY(SORT(GOOGLEFINANCE(A213,""price"",TODAY()-300,TODAY()),1,0),""select Col2 limit 100""))"),886.055)</f>
        <v>886.055</v>
      </c>
      <c r="E213" s="39">
        <f>IFERROR(__xludf.DUMMYFUNCTION("AVERAGE(QUERY(SORT(GOOGLEFINANCE(A213,""price"",TODAY()-500,TODAY()),1,0),""select Col2 limit 200""))"),838.1324999999998)</f>
        <v>838.1325</v>
      </c>
      <c r="F213" s="32" t="str">
        <f t="shared" si="1"/>
        <v>Unconfirmed</v>
      </c>
      <c r="G213" s="33">
        <f t="shared" si="2"/>
        <v>11.38453645</v>
      </c>
    </row>
    <row r="214">
      <c r="A214" s="37" t="s">
        <v>230</v>
      </c>
      <c r="B214" s="38">
        <f>IFERROR(__xludf.DUMMYFUNCTION("GOOGLEFINANCE(A214,""price"")"),3019.3)</f>
        <v>3019.3</v>
      </c>
      <c r="C214" s="39">
        <f>IFERROR(__xludf.DUMMYFUNCTION("AVERAGE(QUERY(SORT(GOOGLEFINANCE(A214,""price"",TODAY()-150,TODAY()),1,0),""select Col2 limit 50""))"),2937.062)</f>
        <v>2937.062</v>
      </c>
      <c r="D214" s="39">
        <f>IFERROR(__xludf.DUMMYFUNCTION("AVERAGE(QUERY(SORT(GOOGLEFINANCE(A214,""price"",TODAY()-300,TODAY()),1,0),""select Col2 limit 100""))"),2891.5919999999996)</f>
        <v>2891.592</v>
      </c>
      <c r="E214" s="39">
        <f>IFERROR(__xludf.DUMMYFUNCTION("AVERAGE(QUERY(SORT(GOOGLEFINANCE(A214,""price"",TODAY()-500,TODAY()),1,0),""select Col2 limit 200""))"),2720.9885)</f>
        <v>2720.9885</v>
      </c>
      <c r="F214" s="32" t="str">
        <f t="shared" si="1"/>
        <v>Unconfirmed</v>
      </c>
      <c r="G214" s="33">
        <f t="shared" si="2"/>
        <v>10.96335027</v>
      </c>
    </row>
    <row r="215">
      <c r="A215" s="37" t="s">
        <v>231</v>
      </c>
      <c r="B215" s="38">
        <f>IFERROR(__xludf.DUMMYFUNCTION("GOOGLEFINANCE(A215,""price"")"),394.2)</f>
        <v>394.2</v>
      </c>
      <c r="C215" s="39">
        <f>IFERROR(__xludf.DUMMYFUNCTION("AVERAGE(QUERY(SORT(GOOGLEFINANCE(A215,""price"",TODAY()-150,TODAY()),1,0),""select Col2 limit 50""))"),387.892)</f>
        <v>387.892</v>
      </c>
      <c r="D215" s="39">
        <f>IFERROR(__xludf.DUMMYFUNCTION("AVERAGE(QUERY(SORT(GOOGLEFINANCE(A215,""price"",TODAY()-300,TODAY()),1,0),""select Col2 limit 100""))"),372.36100000000005)</f>
        <v>372.361</v>
      </c>
      <c r="E215" s="39">
        <f>IFERROR(__xludf.DUMMYFUNCTION("AVERAGE(QUERY(SORT(GOOGLEFINANCE(A215,""price"",TODAY()-500,TODAY()),1,0),""select Col2 limit 200""))"),352.3654999999998)</f>
        <v>352.3655</v>
      </c>
      <c r="F215" s="32" t="str">
        <f t="shared" si="1"/>
        <v>Unconfirmed</v>
      </c>
      <c r="G215" s="33">
        <f t="shared" si="2"/>
        <v>11.87247333</v>
      </c>
    </row>
    <row r="216">
      <c r="A216" s="37" t="s">
        <v>232</v>
      </c>
      <c r="B216" s="38">
        <f>IFERROR(__xludf.DUMMYFUNCTION("GOOGLEFINANCE(A216,""price"")"),3445.1)</f>
        <v>3445.1</v>
      </c>
      <c r="C216" s="39">
        <f>IFERROR(__xludf.DUMMYFUNCTION("AVERAGE(QUERY(SORT(GOOGLEFINANCE(A216,""price"",TODAY()-150,TODAY()),1,0),""select Col2 limit 50""))"),3533.3180000000007)</f>
        <v>3533.318</v>
      </c>
      <c r="D216" s="39">
        <f>IFERROR(__xludf.DUMMYFUNCTION("AVERAGE(QUERY(SORT(GOOGLEFINANCE(A216,""price"",TODAY()-300,TODAY()),1,0),""select Col2 limit 100""))"),3643.194000000002)</f>
        <v>3643.194</v>
      </c>
      <c r="E216" s="39">
        <f>IFERROR(__xludf.DUMMYFUNCTION("AVERAGE(QUERY(SORT(GOOGLEFINANCE(A216,""price"",TODAY()-500,TODAY()),1,0),""select Col2 limit 200""))"),3538.906000000001)</f>
        <v>3538.906</v>
      </c>
      <c r="F216" s="32" t="str">
        <f t="shared" si="1"/>
        <v>In Bear Run</v>
      </c>
      <c r="G216" s="33">
        <f t="shared" si="2"/>
        <v>-2.650706179</v>
      </c>
    </row>
    <row r="217">
      <c r="A217" s="37" t="s">
        <v>233</v>
      </c>
      <c r="B217" s="38">
        <f>IFERROR(__xludf.DUMMYFUNCTION("GOOGLEFINANCE(A217,""price"")"),4127.1)</f>
        <v>4127.1</v>
      </c>
      <c r="C217" s="39">
        <f>IFERROR(__xludf.DUMMYFUNCTION("AVERAGE(QUERY(SORT(GOOGLEFINANCE(A217,""price"",TODAY()-150,TODAY()),1,0),""select Col2 limit 50""))"),4238.702)</f>
        <v>4238.702</v>
      </c>
      <c r="D217" s="39">
        <f>IFERROR(__xludf.DUMMYFUNCTION("AVERAGE(QUERY(SORT(GOOGLEFINANCE(A217,""price"",TODAY()-300,TODAY()),1,0),""select Col2 limit 100""))"),4197.544999999999)</f>
        <v>4197.545</v>
      </c>
      <c r="E217" s="39">
        <f>IFERROR(__xludf.DUMMYFUNCTION("AVERAGE(QUERY(SORT(GOOGLEFINANCE(A217,""price"",TODAY()-500,TODAY()),1,0),""select Col2 limit 200""))"),3932.0180000000005)</f>
        <v>3932.018</v>
      </c>
      <c r="F217" s="32" t="str">
        <f t="shared" si="1"/>
        <v>Unconfirmed</v>
      </c>
      <c r="G217" s="33">
        <f t="shared" si="2"/>
        <v>4.96137098</v>
      </c>
    </row>
    <row r="218">
      <c r="A218" s="37" t="s">
        <v>234</v>
      </c>
      <c r="B218" s="38">
        <f>IFERROR(__xludf.DUMMYFUNCTION("GOOGLEFINANCE(A218,""price"")"),1009.5)</f>
        <v>1009.5</v>
      </c>
      <c r="C218" s="39">
        <f>IFERROR(__xludf.DUMMYFUNCTION("AVERAGE(QUERY(SORT(GOOGLEFINANCE(A218,""price"",TODAY()-150,TODAY()),1,0),""select Col2 limit 50""))"),965.2560000000003)</f>
        <v>965.256</v>
      </c>
      <c r="D218" s="39">
        <f>IFERROR(__xludf.DUMMYFUNCTION("AVERAGE(QUERY(SORT(GOOGLEFINANCE(A218,""price"",TODAY()-300,TODAY()),1,0),""select Col2 limit 100""))"),976.6619999999999)</f>
        <v>976.662</v>
      </c>
      <c r="E218" s="39">
        <f>IFERROR(__xludf.DUMMYFUNCTION("AVERAGE(QUERY(SORT(GOOGLEFINANCE(A218,""price"",TODAY()-500,TODAY()),1,0),""select Col2 limit 200""))"),900.7315000000001)</f>
        <v>900.7315</v>
      </c>
      <c r="F218" s="32" t="str">
        <f t="shared" si="1"/>
        <v>Unconfirmed</v>
      </c>
      <c r="G218" s="33">
        <f t="shared" si="2"/>
        <v>12.07557413</v>
      </c>
    </row>
    <row r="219">
      <c r="A219" s="37" t="s">
        <v>235</v>
      </c>
      <c r="B219" s="38">
        <f>IFERROR(__xludf.DUMMYFUNCTION("GOOGLEFINANCE(A219,""price"")"),133.71)</f>
        <v>133.71</v>
      </c>
      <c r="C219" s="39">
        <f>IFERROR(__xludf.DUMMYFUNCTION("AVERAGE(QUERY(SORT(GOOGLEFINANCE(A219,""price"",TODAY()-150,TODAY()),1,0),""select Col2 limit 50""))"),134.61980000000003)</f>
        <v>134.6198</v>
      </c>
      <c r="D219" s="39">
        <f>IFERROR(__xludf.DUMMYFUNCTION("AVERAGE(QUERY(SORT(GOOGLEFINANCE(A219,""price"",TODAY()-300,TODAY()),1,0),""select Col2 limit 100""))"),142.8947)</f>
        <v>142.8947</v>
      </c>
      <c r="E219" s="39">
        <f>IFERROR(__xludf.DUMMYFUNCTION("AVERAGE(QUERY(SORT(GOOGLEFINANCE(A219,""price"",TODAY()-500,TODAY()),1,0),""select Col2 limit 200""))"),135.1830999999999)</f>
        <v>135.1831</v>
      </c>
      <c r="F219" s="32" t="str">
        <f t="shared" si="1"/>
        <v>In Bear Run</v>
      </c>
      <c r="G219" s="33">
        <f t="shared" si="2"/>
        <v>-1.089707219</v>
      </c>
    </row>
    <row r="220">
      <c r="A220" s="37" t="s">
        <v>236</v>
      </c>
      <c r="B220" s="38">
        <f>IFERROR(__xludf.DUMMYFUNCTION("GOOGLEFINANCE(A220,""price"")"),2251.8)</f>
        <v>2251.8</v>
      </c>
      <c r="C220" s="39">
        <f>IFERROR(__xludf.DUMMYFUNCTION("AVERAGE(QUERY(SORT(GOOGLEFINANCE(A220,""price"",TODAY()-150,TODAY()),1,0),""select Col2 limit 50""))"),2309.216)</f>
        <v>2309.216</v>
      </c>
      <c r="D220" s="39">
        <f>IFERROR(__xludf.DUMMYFUNCTION("AVERAGE(QUERY(SORT(GOOGLEFINANCE(A220,""price"",TODAY()-300,TODAY()),1,0),""select Col2 limit 100""))"),2253.7390000000005)</f>
        <v>2253.739</v>
      </c>
      <c r="E220" s="39">
        <f>IFERROR(__xludf.DUMMYFUNCTION("AVERAGE(QUERY(SORT(GOOGLEFINANCE(A220,""price"",TODAY()-500,TODAY()),1,0),""select Col2 limit 200""))"),2122.4139999999998)</f>
        <v>2122.414</v>
      </c>
      <c r="F220" s="32" t="str">
        <f t="shared" si="1"/>
        <v>Unconfirmed</v>
      </c>
      <c r="G220" s="33">
        <f t="shared" si="2"/>
        <v>6.096171623</v>
      </c>
    </row>
    <row r="221">
      <c r="A221" s="37" t="s">
        <v>237</v>
      </c>
      <c r="B221" s="38">
        <f>IFERROR(__xludf.DUMMYFUNCTION("GOOGLEFINANCE(A221,""price"")"),439.4)</f>
        <v>439.4</v>
      </c>
      <c r="C221" s="39">
        <f>IFERROR(__xludf.DUMMYFUNCTION("AVERAGE(QUERY(SORT(GOOGLEFINANCE(A221,""price"",TODAY()-150,TODAY()),1,0),""select Col2 limit 50""))"),422.26700000000005)</f>
        <v>422.267</v>
      </c>
      <c r="D221" s="39">
        <f>IFERROR(__xludf.DUMMYFUNCTION("AVERAGE(QUERY(SORT(GOOGLEFINANCE(A221,""price"",TODAY()-300,TODAY()),1,0),""select Col2 limit 100""))"),432.3500000000002)</f>
        <v>432.35</v>
      </c>
      <c r="E221" s="39">
        <f>IFERROR(__xludf.DUMMYFUNCTION("AVERAGE(QUERY(SORT(GOOGLEFINANCE(A221,""price"",TODAY()-500,TODAY()),1,0),""select Col2 limit 200""))"),400.8457500000004)</f>
        <v>400.84575</v>
      </c>
      <c r="F221" s="32" t="str">
        <f t="shared" si="1"/>
        <v>In Bull Run</v>
      </c>
      <c r="G221" s="33">
        <f t="shared" si="2"/>
        <v>9.618225963</v>
      </c>
    </row>
    <row r="222">
      <c r="A222" s="37" t="s">
        <v>238</v>
      </c>
      <c r="B222" s="38">
        <f>IFERROR(__xludf.DUMMYFUNCTION("GOOGLEFINANCE(A222,""price"")"),418.6)</f>
        <v>418.6</v>
      </c>
      <c r="C222" s="39">
        <f>IFERROR(__xludf.DUMMYFUNCTION("AVERAGE(QUERY(SORT(GOOGLEFINANCE(A222,""price"",TODAY()-150,TODAY()),1,0),""select Col2 limit 50""))"),432.37899999999996)</f>
        <v>432.379</v>
      </c>
      <c r="D222" s="39">
        <f>IFERROR(__xludf.DUMMYFUNCTION("AVERAGE(QUERY(SORT(GOOGLEFINANCE(A222,""price"",TODAY()-300,TODAY()),1,0),""select Col2 limit 100""))"),430.9344999999999)</f>
        <v>430.9345</v>
      </c>
      <c r="E222" s="39">
        <f>IFERROR(__xludf.DUMMYFUNCTION("AVERAGE(QUERY(SORT(GOOGLEFINANCE(A222,""price"",TODAY()-500,TODAY()),1,0),""select Col2 limit 200""))"),415.20599999999985)</f>
        <v>415.206</v>
      </c>
      <c r="F222" s="32" t="str">
        <f t="shared" si="1"/>
        <v>Unconfirmed</v>
      </c>
      <c r="G222" s="33">
        <f t="shared" si="2"/>
        <v>0.8174255671</v>
      </c>
    </row>
    <row r="223">
      <c r="A223" s="37" t="s">
        <v>239</v>
      </c>
      <c r="B223" s="38">
        <f>IFERROR(__xludf.DUMMYFUNCTION("GOOGLEFINANCE(A223,""price"")"),205.95)</f>
        <v>205.95</v>
      </c>
      <c r="C223" s="39">
        <f>IFERROR(__xludf.DUMMYFUNCTION("AVERAGE(QUERY(SORT(GOOGLEFINANCE(A223,""price"",TODAY()-150,TODAY()),1,0),""select Col2 limit 50""))"),172.59619999999995)</f>
        <v>172.5962</v>
      </c>
      <c r="D223" s="39">
        <f>IFERROR(__xludf.DUMMYFUNCTION("AVERAGE(QUERY(SORT(GOOGLEFINANCE(A223,""price"",TODAY()-300,TODAY()),1,0),""select Col2 limit 100""))"),162.77800000000002)</f>
        <v>162.778</v>
      </c>
      <c r="E223" s="39">
        <f>IFERROR(__xludf.DUMMYFUNCTION("AVERAGE(QUERY(SORT(GOOGLEFINANCE(A223,""price"",TODAY()-500,TODAY()),1,0),""select Col2 limit 200""))"),146.93500000000003)</f>
        <v>146.935</v>
      </c>
      <c r="F223" s="32" t="str">
        <f t="shared" si="1"/>
        <v>Unconfirmed</v>
      </c>
      <c r="G223" s="33">
        <f t="shared" si="2"/>
        <v>40.1640181</v>
      </c>
    </row>
    <row r="224">
      <c r="A224" s="37" t="s">
        <v>240</v>
      </c>
      <c r="B224" s="38">
        <f>IFERROR(__xludf.DUMMYFUNCTION("GOOGLEFINANCE(A224,""price"")"),136.08)</f>
        <v>136.08</v>
      </c>
      <c r="C224" s="39">
        <f>IFERROR(__xludf.DUMMYFUNCTION("AVERAGE(QUERY(SORT(GOOGLEFINANCE(A224,""price"",TODAY()-150,TODAY()),1,0),""select Col2 limit 50""))"),121.6574)</f>
        <v>121.6574</v>
      </c>
      <c r="D224" s="39">
        <f>IFERROR(__xludf.DUMMYFUNCTION("AVERAGE(QUERY(SORT(GOOGLEFINANCE(A224,""price"",TODAY()-300,TODAY()),1,0),""select Col2 limit 100""))"),121.63370000000003)</f>
        <v>121.6337</v>
      </c>
      <c r="E224" s="39">
        <f>IFERROR(__xludf.DUMMYFUNCTION("AVERAGE(QUERY(SORT(GOOGLEFINANCE(A224,""price"",TODAY()-500,TODAY()),1,0),""select Col2 limit 200""))"),113.68219999999992)</f>
        <v>113.6822</v>
      </c>
      <c r="F224" s="32" t="str">
        <f t="shared" si="1"/>
        <v>Unconfirmed</v>
      </c>
      <c r="G224" s="33">
        <f t="shared" si="2"/>
        <v>19.70211695</v>
      </c>
    </row>
    <row r="225">
      <c r="A225" s="37" t="s">
        <v>241</v>
      </c>
      <c r="B225" s="38">
        <f>IFERROR(__xludf.DUMMYFUNCTION("GOOGLEFINANCE(A225,""price"")"),1593.1)</f>
        <v>1593.1</v>
      </c>
      <c r="C225" s="39">
        <f>IFERROR(__xludf.DUMMYFUNCTION("AVERAGE(QUERY(SORT(GOOGLEFINANCE(A225,""price"",TODAY()-150,TODAY()),1,0),""select Col2 limit 50""))"),1577.5399999999997)</f>
        <v>1577.54</v>
      </c>
      <c r="D225" s="39">
        <f>IFERROR(__xludf.DUMMYFUNCTION("AVERAGE(QUERY(SORT(GOOGLEFINANCE(A225,""price"",TODAY()-300,TODAY()),1,0),""select Col2 limit 100""))"),1549.5639999999996)</f>
        <v>1549.564</v>
      </c>
      <c r="E225" s="39">
        <f>IFERROR(__xludf.DUMMYFUNCTION("AVERAGE(QUERY(SORT(GOOGLEFINANCE(A225,""price"",TODAY()-500,TODAY()),1,0),""select Col2 limit 200""))"),1490.4879999999996)</f>
        <v>1490.488</v>
      </c>
      <c r="F225" s="32" t="str">
        <f t="shared" si="1"/>
        <v>In Bull Run</v>
      </c>
      <c r="G225" s="33">
        <f t="shared" si="2"/>
        <v>6.884456634</v>
      </c>
    </row>
    <row r="226">
      <c r="A226" s="37" t="s">
        <v>242</v>
      </c>
      <c r="B226" s="38">
        <f>IFERROR(__xludf.DUMMYFUNCTION("GOOGLEFINANCE(A226,""price"")"),1237.3)</f>
        <v>1237.3</v>
      </c>
      <c r="C226" s="39">
        <f>IFERROR(__xludf.DUMMYFUNCTION("AVERAGE(QUERY(SORT(GOOGLEFINANCE(A226,""price"",TODAY()-150,TODAY()),1,0),""select Col2 limit 50""))"),1209.1559999999997)</f>
        <v>1209.156</v>
      </c>
      <c r="D226" s="39">
        <f>IFERROR(__xludf.DUMMYFUNCTION("AVERAGE(QUERY(SORT(GOOGLEFINANCE(A226,""price"",TODAY()-300,TODAY()),1,0),""select Col2 limit 100""))"),1169.718)</f>
        <v>1169.718</v>
      </c>
      <c r="E226" s="39">
        <f>IFERROR(__xludf.DUMMYFUNCTION("AVERAGE(QUERY(SORT(GOOGLEFINANCE(A226,""price"",TODAY()-500,TODAY()),1,0),""select Col2 limit 200""))"),1097.6462500000002)</f>
        <v>1097.64625</v>
      </c>
      <c r="F226" s="32" t="str">
        <f t="shared" si="1"/>
        <v>Unconfirmed</v>
      </c>
      <c r="G226" s="33">
        <f t="shared" si="2"/>
        <v>12.72301983</v>
      </c>
    </row>
    <row r="227">
      <c r="A227" s="37" t="s">
        <v>243</v>
      </c>
      <c r="B227" s="38">
        <f>IFERROR(__xludf.DUMMYFUNCTION("GOOGLEFINANCE(A227,""price"")"),7357.5)</f>
        <v>7357.5</v>
      </c>
      <c r="C227" s="39">
        <f>IFERROR(__xludf.DUMMYFUNCTION("AVERAGE(QUERY(SORT(GOOGLEFINANCE(A227,""price"",TODAY()-150,TODAY()),1,0),""select Col2 limit 50""))"),7038.58)</f>
        <v>7038.58</v>
      </c>
      <c r="D227" s="39">
        <f>IFERROR(__xludf.DUMMYFUNCTION("AVERAGE(QUERY(SORT(GOOGLEFINANCE(A227,""price"",TODAY()-300,TODAY()),1,0),""select Col2 limit 100""))"),7267.785)</f>
        <v>7267.785</v>
      </c>
      <c r="E227" s="39">
        <f>IFERROR(__xludf.DUMMYFUNCTION("AVERAGE(QUERY(SORT(GOOGLEFINANCE(A227,""price"",TODAY()-500,TODAY()),1,0),""select Col2 limit 200""))"),6999.42)</f>
        <v>6999.42</v>
      </c>
      <c r="F227" s="32" t="str">
        <f t="shared" si="1"/>
        <v>In Bull Run</v>
      </c>
      <c r="G227" s="33">
        <f t="shared" si="2"/>
        <v>5.115852456</v>
      </c>
    </row>
    <row r="228">
      <c r="A228" s="37" t="s">
        <v>244</v>
      </c>
      <c r="B228" s="38">
        <f>IFERROR(__xludf.DUMMYFUNCTION("GOOGLEFINANCE(A228,""price"")"),14.24)</f>
        <v>14.24</v>
      </c>
      <c r="C228" s="39">
        <f>IFERROR(__xludf.DUMMYFUNCTION("AVERAGE(QUERY(SORT(GOOGLEFINANCE(A228,""price"",TODAY()-150,TODAY()),1,0),""select Col2 limit 50""))"),10.403199999999996)</f>
        <v>10.4032</v>
      </c>
      <c r="D228" s="39">
        <f>IFERROR(__xludf.DUMMYFUNCTION("AVERAGE(QUERY(SORT(GOOGLEFINANCE(A228,""price"",TODAY()-300,TODAY()),1,0),""select Col2 limit 100""))"),10.683999999999996)</f>
        <v>10.684</v>
      </c>
      <c r="E228" s="39">
        <f>IFERROR(__xludf.DUMMYFUNCTION("AVERAGE(QUERY(SORT(GOOGLEFINANCE(A228,""price"",TODAY()-500,TODAY()),1,0),""select Col2 limit 200""))"),9.757899999999998)</f>
        <v>9.7579</v>
      </c>
      <c r="F228" s="32" t="str">
        <f t="shared" si="1"/>
        <v>Unconfirmed</v>
      </c>
      <c r="G228" s="33">
        <f t="shared" si="2"/>
        <v>45.93303887</v>
      </c>
    </row>
    <row r="229">
      <c r="A229" s="37" t="s">
        <v>245</v>
      </c>
      <c r="B229" s="38">
        <f>IFERROR(__xludf.DUMMYFUNCTION("GOOGLEFINANCE(A229,""price"")"),216.5)</f>
        <v>216.5</v>
      </c>
      <c r="C229" s="39">
        <f>IFERROR(__xludf.DUMMYFUNCTION("AVERAGE(QUERY(SORT(GOOGLEFINANCE(A229,""price"",TODAY()-150,TODAY()),1,0),""select Col2 limit 50""))"),205.26200000000006)</f>
        <v>205.262</v>
      </c>
      <c r="D229" s="39">
        <f>IFERROR(__xludf.DUMMYFUNCTION("AVERAGE(QUERY(SORT(GOOGLEFINANCE(A229,""price"",TODAY()-300,TODAY()),1,0),""select Col2 limit 100""))"),199.82280000000003)</f>
        <v>199.8228</v>
      </c>
      <c r="E229" s="39">
        <f>IFERROR(__xludf.DUMMYFUNCTION("AVERAGE(QUERY(SORT(GOOGLEFINANCE(A229,""price"",TODAY()-500,TODAY()),1,0),""select Col2 limit 200""))"),184.31075)</f>
        <v>184.31075</v>
      </c>
      <c r="F229" s="32" t="str">
        <f t="shared" si="1"/>
        <v>Unconfirmed</v>
      </c>
      <c r="G229" s="33">
        <f t="shared" si="2"/>
        <v>17.46466226</v>
      </c>
    </row>
    <row r="230">
      <c r="A230" s="37" t="s">
        <v>246</v>
      </c>
      <c r="B230" s="38">
        <f>IFERROR(__xludf.DUMMYFUNCTION("GOOGLEFINANCE(A230,""price"")"),657.05)</f>
        <v>657.05</v>
      </c>
      <c r="C230" s="39">
        <f>IFERROR(__xludf.DUMMYFUNCTION("AVERAGE(QUERY(SORT(GOOGLEFINANCE(A230,""price"",TODAY()-150,TODAY()),1,0),""select Col2 limit 50""))"),584.3129999999999)</f>
        <v>584.313</v>
      </c>
      <c r="D230" s="39">
        <f>IFERROR(__xludf.DUMMYFUNCTION("AVERAGE(QUERY(SORT(GOOGLEFINANCE(A230,""price"",TODAY()-300,TODAY()),1,0),""select Col2 limit 100""))"),605.3579999999997)</f>
        <v>605.358</v>
      </c>
      <c r="E230" s="39">
        <f>IFERROR(__xludf.DUMMYFUNCTION("AVERAGE(QUERY(SORT(GOOGLEFINANCE(A230,""price"",TODAY()-500,TODAY()),1,0),""select Col2 limit 200""))"),538.8679999999995)</f>
        <v>538.868</v>
      </c>
      <c r="F230" s="32" t="str">
        <f t="shared" si="1"/>
        <v>Unconfirmed</v>
      </c>
      <c r="G230" s="33">
        <f t="shared" si="2"/>
        <v>21.93153054</v>
      </c>
    </row>
    <row r="231">
      <c r="A231" s="37" t="s">
        <v>247</v>
      </c>
      <c r="B231" s="38">
        <f>IFERROR(__xludf.DUMMYFUNCTION("GOOGLEFINANCE(A231,""price"")"),4466.5)</f>
        <v>4466.5</v>
      </c>
      <c r="C231" s="39">
        <f>IFERROR(__xludf.DUMMYFUNCTION("AVERAGE(QUERY(SORT(GOOGLEFINANCE(A231,""price"",TODAY()-150,TODAY()),1,0),""select Col2 limit 50""))"),4267.22)</f>
        <v>4267.22</v>
      </c>
      <c r="D231" s="39">
        <f>IFERROR(__xludf.DUMMYFUNCTION("AVERAGE(QUERY(SORT(GOOGLEFINANCE(A231,""price"",TODAY()-300,TODAY()),1,0),""select Col2 limit 100""))"),4175.216)</f>
        <v>4175.216</v>
      </c>
      <c r="E231" s="39">
        <f>IFERROR(__xludf.DUMMYFUNCTION("AVERAGE(QUERY(SORT(GOOGLEFINANCE(A231,""price"",TODAY()-500,TODAY()),1,0),""select Col2 limit 200""))"),3913.4425000000024)</f>
        <v>3913.4425</v>
      </c>
      <c r="F231" s="32" t="str">
        <f t="shared" si="1"/>
        <v>Unconfirmed</v>
      </c>
      <c r="G231" s="33">
        <f t="shared" si="2"/>
        <v>14.13225057</v>
      </c>
    </row>
    <row r="232">
      <c r="A232" s="37" t="s">
        <v>248</v>
      </c>
      <c r="B232" s="38">
        <f>IFERROR(__xludf.DUMMYFUNCTION("GOOGLEFINANCE(A232,""price"")"),303.5)</f>
        <v>303.5</v>
      </c>
      <c r="C232" s="39">
        <f>IFERROR(__xludf.DUMMYFUNCTION("AVERAGE(QUERY(SORT(GOOGLEFINANCE(A232,""price"",TODAY()-150,TODAY()),1,0),""select Col2 limit 50""))"),309.797)</f>
        <v>309.797</v>
      </c>
      <c r="D232" s="39">
        <f>IFERROR(__xludf.DUMMYFUNCTION("AVERAGE(QUERY(SORT(GOOGLEFINANCE(A232,""price"",TODAY()-300,TODAY()),1,0),""select Col2 limit 100""))"),340.92550000000017)</f>
        <v>340.9255</v>
      </c>
      <c r="E232" s="39">
        <f>IFERROR(__xludf.DUMMYFUNCTION("AVERAGE(QUERY(SORT(GOOGLEFINANCE(A232,""price"",TODAY()-500,TODAY()),1,0),""select Col2 limit 200""))"),321.09325)</f>
        <v>321.09325</v>
      </c>
      <c r="F232" s="32" t="str">
        <f t="shared" si="1"/>
        <v>In Bear Run</v>
      </c>
      <c r="G232" s="33">
        <f t="shared" si="2"/>
        <v>-5.479171549</v>
      </c>
    </row>
    <row r="233">
      <c r="A233" s="37" t="s">
        <v>249</v>
      </c>
      <c r="B233" s="38">
        <f>IFERROR(__xludf.DUMMYFUNCTION("GOOGLEFINANCE(A233,""price"")"),9605.5)</f>
        <v>9605.5</v>
      </c>
      <c r="C233" s="39">
        <f>IFERROR(__xludf.DUMMYFUNCTION("AVERAGE(QUERY(SORT(GOOGLEFINANCE(A233,""price"",TODAY()-150,TODAY()),1,0),""select Col2 limit 50""))"),8034.63)</f>
        <v>8034.63</v>
      </c>
      <c r="D233" s="39">
        <f>IFERROR(__xludf.DUMMYFUNCTION("AVERAGE(QUERY(SORT(GOOGLEFINANCE(A233,""price"",TODAY()-300,TODAY()),1,0),""select Col2 limit 100""))"),7851.46)</f>
        <v>7851.46</v>
      </c>
      <c r="E233" s="39">
        <f>IFERROR(__xludf.DUMMYFUNCTION("AVERAGE(QUERY(SORT(GOOGLEFINANCE(A233,""price"",TODAY()-500,TODAY()),1,0),""select Col2 limit 200""))"),7605.6975)</f>
        <v>7605.6975</v>
      </c>
      <c r="F233" s="32" t="str">
        <f t="shared" si="1"/>
        <v>Unconfirmed</v>
      </c>
      <c r="G233" s="33">
        <f t="shared" si="2"/>
        <v>26.29347933</v>
      </c>
    </row>
    <row r="234">
      <c r="A234" s="37" t="s">
        <v>250</v>
      </c>
      <c r="B234" s="38">
        <f>IFERROR(__xludf.DUMMYFUNCTION("GOOGLEFINANCE(A234,""price"")"),1914.8)</f>
        <v>1914.8</v>
      </c>
      <c r="C234" s="39">
        <f>IFERROR(__xludf.DUMMYFUNCTION("AVERAGE(QUERY(SORT(GOOGLEFINANCE(A234,""price"",TODAY()-150,TODAY()),1,0),""select Col2 limit 50""))"),1958.414)</f>
        <v>1958.414</v>
      </c>
      <c r="D234" s="39">
        <f>IFERROR(__xludf.DUMMYFUNCTION("AVERAGE(QUERY(SORT(GOOGLEFINANCE(A234,""price"",TODAY()-300,TODAY()),1,0),""select Col2 limit 100""))"),2017.2900000000009)</f>
        <v>2017.29</v>
      </c>
      <c r="E234" s="39">
        <f>IFERROR(__xludf.DUMMYFUNCTION("AVERAGE(QUERY(SORT(GOOGLEFINANCE(A234,""price"",TODAY()-500,TODAY()),1,0),""select Col2 limit 200""))"),1864.5839999999994)</f>
        <v>1864.584</v>
      </c>
      <c r="F234" s="32" t="str">
        <f t="shared" si="1"/>
        <v>Unconfirmed</v>
      </c>
      <c r="G234" s="33">
        <f t="shared" si="2"/>
        <v>2.69314764</v>
      </c>
    </row>
    <row r="235">
      <c r="A235" s="37" t="s">
        <v>251</v>
      </c>
      <c r="B235" s="38">
        <f>IFERROR(__xludf.DUMMYFUNCTION("GOOGLEFINANCE(A235,""price"")"),79.8)</f>
        <v>79.8</v>
      </c>
      <c r="C235" s="39">
        <f>IFERROR(__xludf.DUMMYFUNCTION("AVERAGE(QUERY(SORT(GOOGLEFINANCE(A235,""price"",TODAY()-150,TODAY()),1,0),""select Col2 limit 50""))"),73.1936)</f>
        <v>73.1936</v>
      </c>
      <c r="D235" s="39">
        <f>IFERROR(__xludf.DUMMYFUNCTION("AVERAGE(QUERY(SORT(GOOGLEFINANCE(A235,""price"",TODAY()-300,TODAY()),1,0),""select Col2 limit 100""))"),69.50410000000004)</f>
        <v>69.5041</v>
      </c>
      <c r="E235" s="39">
        <f>IFERROR(__xludf.DUMMYFUNCTION("AVERAGE(QUERY(SORT(GOOGLEFINANCE(A235,""price"",TODAY()-500,TODAY()),1,0),""select Col2 limit 200""))"),63.04680000000001)</f>
        <v>63.0468</v>
      </c>
      <c r="F235" s="32" t="str">
        <f t="shared" si="1"/>
        <v>Unconfirmed</v>
      </c>
      <c r="G235" s="33">
        <f t="shared" si="2"/>
        <v>26.57264128</v>
      </c>
    </row>
    <row r="236">
      <c r="A236" s="37" t="s">
        <v>252</v>
      </c>
      <c r="B236" s="38">
        <f>IFERROR(__xludf.DUMMYFUNCTION("GOOGLEFINANCE(A236,""price"")"),5513.5)</f>
        <v>5513.5</v>
      </c>
      <c r="C236" s="39">
        <f>IFERROR(__xludf.DUMMYFUNCTION("AVERAGE(QUERY(SORT(GOOGLEFINANCE(A236,""price"",TODAY()-150,TODAY()),1,0),""select Col2 limit 50""))"),5015.564)</f>
        <v>5015.564</v>
      </c>
      <c r="D236" s="39">
        <f>IFERROR(__xludf.DUMMYFUNCTION("AVERAGE(QUERY(SORT(GOOGLEFINANCE(A236,""price"",TODAY()-300,TODAY()),1,0),""select Col2 limit 100""))"),4697.902000000001)</f>
        <v>4697.902</v>
      </c>
      <c r="E236" s="39">
        <f>IFERROR(__xludf.DUMMYFUNCTION("AVERAGE(QUERY(SORT(GOOGLEFINANCE(A236,""price"",TODAY()-500,TODAY()),1,0),""select Col2 limit 200""))"),4403.3105000000005)</f>
        <v>4403.3105</v>
      </c>
      <c r="F236" s="32" t="str">
        <f t="shared" si="1"/>
        <v>Unconfirmed</v>
      </c>
      <c r="G236" s="33">
        <f t="shared" si="2"/>
        <v>25.21260992</v>
      </c>
    </row>
    <row r="237">
      <c r="A237" s="37" t="s">
        <v>253</v>
      </c>
      <c r="B237" s="38">
        <f>IFERROR(__xludf.DUMMYFUNCTION("GOOGLEFINANCE(A237,""price"")"),5419.0)</f>
        <v>5419</v>
      </c>
      <c r="C237" s="39">
        <f>IFERROR(__xludf.DUMMYFUNCTION("AVERAGE(QUERY(SORT(GOOGLEFINANCE(A237,""price"",TODAY()-150,TODAY()),1,0),""select Col2 limit 50""))"),4679.1140000000005)</f>
        <v>4679.114</v>
      </c>
      <c r="D237" s="39">
        <f>IFERROR(__xludf.DUMMYFUNCTION("AVERAGE(QUERY(SORT(GOOGLEFINANCE(A237,""price"",TODAY()-300,TODAY()),1,0),""select Col2 limit 100""))"),4576.814999999999)</f>
        <v>4576.815</v>
      </c>
      <c r="E237" s="39">
        <f>IFERROR(__xludf.DUMMYFUNCTION("AVERAGE(QUERY(SORT(GOOGLEFINANCE(A237,""price"",TODAY()-500,TODAY()),1,0),""select Col2 limit 200""))"),4324.660000000001)</f>
        <v>4324.66</v>
      </c>
      <c r="F237" s="32" t="str">
        <f t="shared" si="1"/>
        <v>Unconfirmed</v>
      </c>
      <c r="G237" s="33">
        <f t="shared" si="2"/>
        <v>25.30464823</v>
      </c>
    </row>
    <row r="238">
      <c r="A238" s="37" t="s">
        <v>254</v>
      </c>
      <c r="B238" s="38">
        <f>IFERROR(__xludf.DUMMYFUNCTION("GOOGLEFINANCE(A238,""price"")"),12923.0)</f>
        <v>12923</v>
      </c>
      <c r="C238" s="39">
        <f>IFERROR(__xludf.DUMMYFUNCTION("AVERAGE(QUERY(SORT(GOOGLEFINANCE(A238,""price"",TODAY()-150,TODAY()),1,0),""select Col2 limit 50""))"),11257.61)</f>
        <v>11257.61</v>
      </c>
      <c r="D238" s="39">
        <f>IFERROR(__xludf.DUMMYFUNCTION("AVERAGE(QUERY(SORT(GOOGLEFINANCE(A238,""price"",TODAY()-300,TODAY()),1,0),""select Col2 limit 100""))"),10089.81)</f>
        <v>10089.81</v>
      </c>
      <c r="E238" s="39">
        <f>IFERROR(__xludf.DUMMYFUNCTION("AVERAGE(QUERY(SORT(GOOGLEFINANCE(A238,""price"",TODAY()-500,TODAY()),1,0),""select Col2 limit 200""))"),9370.475)</f>
        <v>9370.475</v>
      </c>
      <c r="F238" s="32" t="str">
        <f t="shared" si="1"/>
        <v>Unconfirmed</v>
      </c>
      <c r="G238" s="33">
        <f t="shared" si="2"/>
        <v>37.91189881</v>
      </c>
    </row>
    <row r="239">
      <c r="A239" s="37" t="s">
        <v>255</v>
      </c>
      <c r="B239" s="38">
        <f>IFERROR(__xludf.DUMMYFUNCTION("GOOGLEFINANCE(A239,""price"")"),145.89)</f>
        <v>145.89</v>
      </c>
      <c r="C239" s="39">
        <f>IFERROR(__xludf.DUMMYFUNCTION("AVERAGE(QUERY(SORT(GOOGLEFINANCE(A239,""price"",TODAY()-150,TODAY()),1,0),""select Col2 limit 50""))"),144.84599999999998)</f>
        <v>144.846</v>
      </c>
      <c r="D239" s="39">
        <f>IFERROR(__xludf.DUMMYFUNCTION("AVERAGE(QUERY(SORT(GOOGLEFINANCE(A239,""price"",TODAY()-300,TODAY()),1,0),""select Col2 limit 100""))"),152.40969999999996)</f>
        <v>152.4097</v>
      </c>
      <c r="E239" s="39">
        <f>IFERROR(__xludf.DUMMYFUNCTION("AVERAGE(QUERY(SORT(GOOGLEFINANCE(A239,""price"",TODAY()-500,TODAY()),1,0),""select Col2 limit 200""))"),140.66275)</f>
        <v>140.66275</v>
      </c>
      <c r="F239" s="32" t="str">
        <f t="shared" si="1"/>
        <v>Unconfirmed</v>
      </c>
      <c r="G239" s="33">
        <f t="shared" si="2"/>
        <v>3.716157974</v>
      </c>
    </row>
    <row r="240">
      <c r="A240" s="37" t="s">
        <v>256</v>
      </c>
      <c r="B240" s="38">
        <f>IFERROR(__xludf.DUMMYFUNCTION("GOOGLEFINANCE(A240,""price"")"),1146.6)</f>
        <v>1146.6</v>
      </c>
      <c r="C240" s="39">
        <f>IFERROR(__xludf.DUMMYFUNCTION("AVERAGE(QUERY(SORT(GOOGLEFINANCE(A240,""price"",TODAY()-150,TODAY()),1,0),""select Col2 limit 50""))"),999.5090000000001)</f>
        <v>999.509</v>
      </c>
      <c r="D240" s="39">
        <f>IFERROR(__xludf.DUMMYFUNCTION("AVERAGE(QUERY(SORT(GOOGLEFINANCE(A240,""price"",TODAY()-300,TODAY()),1,0),""select Col2 limit 100""))"),966.7654999999994)</f>
        <v>966.7655</v>
      </c>
      <c r="E240" s="39">
        <f>IFERROR(__xludf.DUMMYFUNCTION("AVERAGE(QUERY(SORT(GOOGLEFINANCE(A240,""price"",TODAY()-500,TODAY()),1,0),""select Col2 limit 200""))"),869.30775)</f>
        <v>869.30775</v>
      </c>
      <c r="F240" s="32" t="str">
        <f t="shared" si="1"/>
        <v>Unconfirmed</v>
      </c>
      <c r="G240" s="33">
        <f t="shared" si="2"/>
        <v>31.89805336</v>
      </c>
    </row>
    <row r="241">
      <c r="A241" s="37" t="s">
        <v>257</v>
      </c>
      <c r="B241" s="38">
        <f>IFERROR(__xludf.DUMMYFUNCTION("GOOGLEFINANCE(A241,""price"")"),834.6)</f>
        <v>834.6</v>
      </c>
      <c r="C241" s="39">
        <f>IFERROR(__xludf.DUMMYFUNCTION("AVERAGE(QUERY(SORT(GOOGLEFINANCE(A241,""price"",TODAY()-150,TODAY()),1,0),""select Col2 limit 50""))"),878.462)</f>
        <v>878.462</v>
      </c>
      <c r="D241" s="39">
        <f>IFERROR(__xludf.DUMMYFUNCTION("AVERAGE(QUERY(SORT(GOOGLEFINANCE(A241,""price"",TODAY()-300,TODAY()),1,0),""select Col2 limit 100""))"),883.2409999999999)</f>
        <v>883.241</v>
      </c>
      <c r="E241" s="39">
        <f>IFERROR(__xludf.DUMMYFUNCTION("AVERAGE(QUERY(SORT(GOOGLEFINANCE(A241,""price"",TODAY()-500,TODAY()),1,0),""select Col2 limit 200""))"),821.7777500000002)</f>
        <v>821.77775</v>
      </c>
      <c r="F241" s="32" t="str">
        <f t="shared" si="1"/>
        <v>Unconfirmed</v>
      </c>
      <c r="G241" s="33">
        <f t="shared" si="2"/>
        <v>1.560306299</v>
      </c>
    </row>
    <row r="242">
      <c r="A242" s="37" t="s">
        <v>258</v>
      </c>
      <c r="B242" s="38">
        <f>IFERROR(__xludf.DUMMYFUNCTION("GOOGLEFINANCE(A242,""price"")"),289.8)</f>
        <v>289.8</v>
      </c>
      <c r="C242" s="39">
        <f>IFERROR(__xludf.DUMMYFUNCTION("AVERAGE(QUERY(SORT(GOOGLEFINANCE(A242,""price"",TODAY()-150,TODAY()),1,0),""select Col2 limit 50""))"),281.434)</f>
        <v>281.434</v>
      </c>
      <c r="D242" s="39">
        <f>IFERROR(__xludf.DUMMYFUNCTION("AVERAGE(QUERY(SORT(GOOGLEFINANCE(A242,""price"",TODAY()-300,TODAY()),1,0),""select Col2 limit 100""))"),280.18899999999996)</f>
        <v>280.189</v>
      </c>
      <c r="E242" s="39">
        <f>IFERROR(__xludf.DUMMYFUNCTION("AVERAGE(QUERY(SORT(GOOGLEFINANCE(A242,""price"",TODAY()-500,TODAY()),1,0),""select Col2 limit 200""))"),250.56525000000013)</f>
        <v>250.56525</v>
      </c>
      <c r="F242" s="32" t="str">
        <f t="shared" si="1"/>
        <v>Unconfirmed</v>
      </c>
      <c r="G242" s="33">
        <f t="shared" si="2"/>
        <v>15.65849614</v>
      </c>
    </row>
    <row r="243">
      <c r="A243" s="37" t="s">
        <v>259</v>
      </c>
      <c r="B243" s="38">
        <f>IFERROR(__xludf.DUMMYFUNCTION("GOOGLEFINANCE(A243,""price"")"),971.1)</f>
        <v>971.1</v>
      </c>
      <c r="C243" s="39">
        <f>IFERROR(__xludf.DUMMYFUNCTION("AVERAGE(QUERY(SORT(GOOGLEFINANCE(A243,""price"",TODAY()-150,TODAY()),1,0),""select Col2 limit 50""))"),1039.114)</f>
        <v>1039.114</v>
      </c>
      <c r="D243" s="39">
        <f>IFERROR(__xludf.DUMMYFUNCTION("AVERAGE(QUERY(SORT(GOOGLEFINANCE(A243,""price"",TODAY()-300,TODAY()),1,0),""select Col2 limit 100""))"),1065.8714999999995)</f>
        <v>1065.8715</v>
      </c>
      <c r="E243" s="39">
        <f>IFERROR(__xludf.DUMMYFUNCTION("AVERAGE(QUERY(SORT(GOOGLEFINANCE(A243,""price"",TODAY()-500,TODAY()),1,0),""select Col2 limit 200""))"),979.0117500000003)</f>
        <v>979.01175</v>
      </c>
      <c r="F243" s="32" t="str">
        <f t="shared" si="1"/>
        <v>In Bear Run</v>
      </c>
      <c r="G243" s="33">
        <f t="shared" si="2"/>
        <v>-0.8081363681</v>
      </c>
    </row>
    <row r="244">
      <c r="A244" s="37" t="s">
        <v>260</v>
      </c>
      <c r="B244" s="38">
        <f>IFERROR(__xludf.DUMMYFUNCTION("GOOGLEFINANCE(A244,""price"")"),168.95)</f>
        <v>168.95</v>
      </c>
      <c r="C244" s="39">
        <f>IFERROR(__xludf.DUMMYFUNCTION("AVERAGE(QUERY(SORT(GOOGLEFINANCE(A244,""price"",TODAY()-150,TODAY()),1,0),""select Col2 limit 50""))"),173.37619999999995)</f>
        <v>173.3762</v>
      </c>
      <c r="D244" s="39">
        <f>IFERROR(__xludf.DUMMYFUNCTION("AVERAGE(QUERY(SORT(GOOGLEFINANCE(A244,""price"",TODAY()-300,TODAY()),1,0),""select Col2 limit 100""))"),175.40030000000002)</f>
        <v>175.4003</v>
      </c>
      <c r="E244" s="39">
        <f>IFERROR(__xludf.DUMMYFUNCTION("AVERAGE(QUERY(SORT(GOOGLEFINANCE(A244,""price"",TODAY()-500,TODAY()),1,0),""select Col2 limit 200""))"),158.64985000000004)</f>
        <v>158.64985</v>
      </c>
      <c r="F244" s="32" t="str">
        <f t="shared" si="1"/>
        <v>Unconfirmed</v>
      </c>
      <c r="G244" s="33">
        <f t="shared" si="2"/>
        <v>6.492379287</v>
      </c>
    </row>
    <row r="245">
      <c r="A245" s="37" t="s">
        <v>261</v>
      </c>
      <c r="B245" s="38">
        <f>IFERROR(__xludf.DUMMYFUNCTION("GOOGLEFINANCE(A245,""price"")"),36905.0)</f>
        <v>36905</v>
      </c>
      <c r="C245" s="39">
        <f>IFERROR(__xludf.DUMMYFUNCTION("AVERAGE(QUERY(SORT(GOOGLEFINANCE(A245,""price"",TODAY()-150,TODAY()),1,0),""select Col2 limit 50""))"),29525.6)</f>
        <v>29525.6</v>
      </c>
      <c r="D245" s="39">
        <f>IFERROR(__xludf.DUMMYFUNCTION("AVERAGE(QUERY(SORT(GOOGLEFINANCE(A245,""price"",TODAY()-300,TODAY()),1,0),""select Col2 limit 100""))"),25009.33)</f>
        <v>25009.33</v>
      </c>
      <c r="E245" s="39">
        <f>IFERROR(__xludf.DUMMYFUNCTION("AVERAGE(QUERY(SORT(GOOGLEFINANCE(A245,""price"",TODAY()-500,TODAY()),1,0),""select Col2 limit 200""))"),22289.74)</f>
        <v>22289.74</v>
      </c>
      <c r="F245" s="32" t="str">
        <f t="shared" si="1"/>
        <v>Unconfirmed</v>
      </c>
      <c r="G245" s="33">
        <f t="shared" si="2"/>
        <v>65.56945034</v>
      </c>
    </row>
    <row r="246">
      <c r="A246" s="37" t="s">
        <v>262</v>
      </c>
      <c r="B246" s="38">
        <f>IFERROR(__xludf.DUMMYFUNCTION("GOOGLEFINANCE(A246,""price"")"),950.75)</f>
        <v>950.75</v>
      </c>
      <c r="C246" s="39">
        <f>IFERROR(__xludf.DUMMYFUNCTION("AVERAGE(QUERY(SORT(GOOGLEFINANCE(A246,""price"",TODAY()-150,TODAY()),1,0),""select Col2 limit 50""))"),969.5939999999998)</f>
        <v>969.594</v>
      </c>
      <c r="D246" s="39">
        <f>IFERROR(__xludf.DUMMYFUNCTION("AVERAGE(QUERY(SORT(GOOGLEFINANCE(A246,""price"",TODAY()-300,TODAY()),1,0),""select Col2 limit 100""))"),994.446)</f>
        <v>994.446</v>
      </c>
      <c r="E246" s="39">
        <f>IFERROR(__xludf.DUMMYFUNCTION("AVERAGE(QUERY(SORT(GOOGLEFINANCE(A246,""price"",TODAY()-500,TODAY()),1,0),""select Col2 limit 200""))"),853.0644999999998)</f>
        <v>853.0645</v>
      </c>
      <c r="F246" s="32" t="str">
        <f t="shared" si="1"/>
        <v>Unconfirmed</v>
      </c>
      <c r="G246" s="33">
        <f t="shared" si="2"/>
        <v>11.45112708</v>
      </c>
    </row>
    <row r="247">
      <c r="A247" s="37" t="s">
        <v>263</v>
      </c>
      <c r="B247" s="38">
        <f>IFERROR(__xludf.DUMMYFUNCTION("GOOGLEFINANCE(A247,""price"")"),160.6)</f>
        <v>160.6</v>
      </c>
      <c r="C247" s="39">
        <f>IFERROR(__xludf.DUMMYFUNCTION("AVERAGE(QUERY(SORT(GOOGLEFINANCE(A247,""price"",TODAY()-150,TODAY()),1,0),""select Col2 limit 50""))"),165.47459999999998)</f>
        <v>165.4746</v>
      </c>
      <c r="D247" s="39">
        <f>IFERROR(__xludf.DUMMYFUNCTION("AVERAGE(QUERY(SORT(GOOGLEFINANCE(A247,""price"",TODAY()-300,TODAY()),1,0),""select Col2 limit 100""))"),180.5698)</f>
        <v>180.5698</v>
      </c>
      <c r="E247" s="39">
        <f>IFERROR(__xludf.DUMMYFUNCTION("AVERAGE(QUERY(SORT(GOOGLEFINANCE(A247,""price"",TODAY()-500,TODAY()),1,0),""select Col2 limit 200""))"),161.12689999999984)</f>
        <v>161.1269</v>
      </c>
      <c r="F247" s="32" t="str">
        <f t="shared" si="1"/>
        <v>In Bear Run</v>
      </c>
      <c r="G247" s="33">
        <f t="shared" si="2"/>
        <v>-0.3270093324</v>
      </c>
    </row>
    <row r="248">
      <c r="A248" s="37" t="s">
        <v>264</v>
      </c>
      <c r="B248" s="38">
        <f>IFERROR(__xludf.DUMMYFUNCTION("GOOGLEFINANCE(A248,""price"")"),353.2)</f>
        <v>353.2</v>
      </c>
      <c r="C248" s="39">
        <f>IFERROR(__xludf.DUMMYFUNCTION("AVERAGE(QUERY(SORT(GOOGLEFINANCE(A248,""price"",TODAY()-150,TODAY()),1,0),""select Col2 limit 50""))"),571.7869999999999)</f>
        <v>571.787</v>
      </c>
      <c r="D248" s="39">
        <f>IFERROR(__xludf.DUMMYFUNCTION("AVERAGE(QUERY(SORT(GOOGLEFINANCE(A248,""price"",TODAY()-300,TODAY()),1,0),""select Col2 limit 100""))"),622.1615)</f>
        <v>622.1615</v>
      </c>
      <c r="E248" s="39">
        <f>IFERROR(__xludf.DUMMYFUNCTION("AVERAGE(QUERY(SORT(GOOGLEFINANCE(A248,""price"",TODAY()-500,TODAY()),1,0),""select Col2 limit 200""))"),553.0689999999998)</f>
        <v>553.069</v>
      </c>
      <c r="F248" s="32" t="str">
        <f t="shared" si="1"/>
        <v>Unconfirmed</v>
      </c>
      <c r="G248" s="33">
        <f t="shared" si="2"/>
        <v>-36.13816721</v>
      </c>
    </row>
    <row r="249">
      <c r="A249" s="37" t="s">
        <v>265</v>
      </c>
      <c r="B249" s="38">
        <f>IFERROR(__xludf.DUMMYFUNCTION("GOOGLEFINANCE(A249,""price"")"),5026.6)</f>
        <v>5026.6</v>
      </c>
      <c r="C249" s="39">
        <f>IFERROR(__xludf.DUMMYFUNCTION("AVERAGE(QUERY(SORT(GOOGLEFINANCE(A249,""price"",TODAY()-150,TODAY()),1,0),""select Col2 limit 50""))"),4159.178)</f>
        <v>4159.178</v>
      </c>
      <c r="D249" s="39">
        <f>IFERROR(__xludf.DUMMYFUNCTION("AVERAGE(QUERY(SORT(GOOGLEFINANCE(A249,""price"",TODAY()-300,TODAY()),1,0),""select Col2 limit 100""))"),3721.373000000001)</f>
        <v>3721.373</v>
      </c>
      <c r="E249" s="39">
        <f>IFERROR(__xludf.DUMMYFUNCTION("AVERAGE(QUERY(SORT(GOOGLEFINANCE(A249,""price"",TODAY()-500,TODAY()),1,0),""select Col2 limit 200""))"),3313.749500000001)</f>
        <v>3313.7495</v>
      </c>
      <c r="F249" s="32" t="str">
        <f t="shared" si="1"/>
        <v>Unconfirmed</v>
      </c>
      <c r="G249" s="33">
        <f t="shared" si="2"/>
        <v>51.68919678</v>
      </c>
    </row>
    <row r="250">
      <c r="A250" s="37" t="s">
        <v>266</v>
      </c>
      <c r="B250" s="38">
        <f>IFERROR(__xludf.DUMMYFUNCTION("GOOGLEFINANCE(A250,""price"")"),1934.3)</f>
        <v>1934.3</v>
      </c>
      <c r="C250" s="39">
        <f>IFERROR(__xludf.DUMMYFUNCTION("AVERAGE(QUERY(SORT(GOOGLEFINANCE(A250,""price"",TODAY()-150,TODAY()),1,0),""select Col2 limit 50""))"),1825.1820000000007)</f>
        <v>1825.182</v>
      </c>
      <c r="D250" s="39">
        <f>IFERROR(__xludf.DUMMYFUNCTION("AVERAGE(QUERY(SORT(GOOGLEFINANCE(A250,""price"",TODAY()-300,TODAY()),1,0),""select Col2 limit 100""))"),1710.7320000000002)</f>
        <v>1710.732</v>
      </c>
      <c r="E250" s="39">
        <f>IFERROR(__xludf.DUMMYFUNCTION("AVERAGE(QUERY(SORT(GOOGLEFINANCE(A250,""price"",TODAY()-500,TODAY()),1,0),""select Col2 limit 200""))"),1493.2600000000011)</f>
        <v>1493.26</v>
      </c>
      <c r="F250" s="32" t="str">
        <f t="shared" si="1"/>
        <v>Unconfirmed</v>
      </c>
      <c r="G250" s="33">
        <f t="shared" si="2"/>
        <v>29.53537897</v>
      </c>
    </row>
    <row r="251">
      <c r="A251" s="37" t="s">
        <v>267</v>
      </c>
      <c r="B251" s="38">
        <f>IFERROR(__xludf.DUMMYFUNCTION("GOOGLEFINANCE(A251,""price"")"),434.6)</f>
        <v>434.6</v>
      </c>
      <c r="C251" s="39">
        <f>IFERROR(__xludf.DUMMYFUNCTION("AVERAGE(QUERY(SORT(GOOGLEFINANCE(A251,""price"",TODAY()-150,TODAY()),1,0),""select Col2 limit 50""))"),404.9780000000001)</f>
        <v>404.978</v>
      </c>
      <c r="D251" s="39">
        <f>IFERROR(__xludf.DUMMYFUNCTION("AVERAGE(QUERY(SORT(GOOGLEFINANCE(A251,""price"",TODAY()-300,TODAY()),1,0),""select Col2 limit 100""))"),381.48800000000017)</f>
        <v>381.488</v>
      </c>
      <c r="E251" s="39">
        <f>IFERROR(__xludf.DUMMYFUNCTION("AVERAGE(QUERY(SORT(GOOGLEFINANCE(A251,""price"",TODAY()-500,TODAY()),1,0),""select Col2 limit 200""))"),305.27165000000036)</f>
        <v>305.27165</v>
      </c>
      <c r="F251" s="32" t="str">
        <f t="shared" si="1"/>
        <v>Unconfirmed</v>
      </c>
      <c r="G251" s="33">
        <f t="shared" si="2"/>
        <v>42.36500507</v>
      </c>
    </row>
    <row r="252">
      <c r="A252" s="37"/>
      <c r="B252" s="40"/>
      <c r="C252" s="41"/>
      <c r="D252" s="41"/>
      <c r="E252" s="41"/>
    </row>
    <row r="253">
      <c r="A253" s="37"/>
      <c r="B253" s="40"/>
      <c r="C253" s="41"/>
      <c r="D253" s="41"/>
      <c r="E253" s="41"/>
    </row>
    <row r="254">
      <c r="A254" s="37"/>
      <c r="B254" s="40"/>
      <c r="C254" s="41"/>
      <c r="D254" s="41"/>
      <c r="E254" s="41"/>
    </row>
    <row r="255">
      <c r="A255" s="37"/>
      <c r="B255" s="40"/>
      <c r="C255" s="41"/>
      <c r="D255" s="41"/>
      <c r="E255" s="41"/>
    </row>
    <row r="256">
      <c r="A256" s="37"/>
      <c r="B256" s="40"/>
      <c r="C256" s="41"/>
      <c r="D256" s="41"/>
      <c r="E256" s="41"/>
    </row>
    <row r="257">
      <c r="A257" s="37"/>
      <c r="B257" s="40"/>
      <c r="C257" s="41"/>
      <c r="D257" s="41"/>
      <c r="E257" s="41"/>
    </row>
    <row r="258">
      <c r="A258" s="37"/>
      <c r="B258" s="40"/>
      <c r="C258" s="41"/>
      <c r="D258" s="41"/>
      <c r="E258" s="41"/>
    </row>
    <row r="259">
      <c r="A259" s="37"/>
      <c r="B259" s="40"/>
      <c r="C259" s="41"/>
      <c r="D259" s="41"/>
      <c r="E259" s="41"/>
    </row>
    <row r="260">
      <c r="A260" s="37"/>
      <c r="B260" s="40"/>
      <c r="C260" s="41"/>
      <c r="D260" s="41"/>
      <c r="E260" s="41"/>
    </row>
    <row r="261">
      <c r="A261" s="37"/>
      <c r="B261" s="40"/>
      <c r="C261" s="41"/>
      <c r="D261" s="41"/>
      <c r="E261" s="41"/>
    </row>
    <row r="262">
      <c r="A262" s="37"/>
      <c r="B262" s="40"/>
      <c r="C262" s="41"/>
      <c r="D262" s="41"/>
      <c r="E262" s="41"/>
    </row>
    <row r="263">
      <c r="A263" s="37"/>
      <c r="B263" s="40"/>
      <c r="C263" s="41"/>
      <c r="D263" s="41"/>
      <c r="E263" s="41"/>
    </row>
    <row r="264">
      <c r="A264" s="37"/>
      <c r="B264" s="40"/>
      <c r="C264" s="41"/>
      <c r="D264" s="41"/>
      <c r="E264" s="41"/>
    </row>
    <row r="265">
      <c r="A265" s="37"/>
      <c r="B265" s="40"/>
      <c r="C265" s="41"/>
      <c r="D265" s="41"/>
      <c r="E265" s="41"/>
    </row>
    <row r="266">
      <c r="A266" s="37"/>
      <c r="B266" s="40"/>
      <c r="C266" s="41"/>
      <c r="D266" s="41"/>
      <c r="E266" s="41"/>
    </row>
    <row r="267">
      <c r="A267" s="37"/>
      <c r="B267" s="40"/>
      <c r="C267" s="41"/>
      <c r="D267" s="41"/>
      <c r="E267" s="41"/>
    </row>
    <row r="268">
      <c r="A268" s="37"/>
      <c r="B268" s="40"/>
      <c r="C268" s="41"/>
      <c r="D268" s="41"/>
      <c r="E268" s="41"/>
    </row>
    <row r="269">
      <c r="A269" s="37"/>
      <c r="B269" s="40"/>
      <c r="C269" s="41"/>
      <c r="D269" s="41"/>
      <c r="E269" s="41"/>
    </row>
    <row r="270">
      <c r="A270" s="37"/>
      <c r="B270" s="40"/>
      <c r="C270" s="41"/>
      <c r="D270" s="41"/>
      <c r="E270" s="41"/>
    </row>
    <row r="271">
      <c r="A271" s="37"/>
      <c r="B271" s="40"/>
      <c r="C271" s="41"/>
      <c r="D271" s="41"/>
      <c r="E271" s="41"/>
    </row>
    <row r="272">
      <c r="A272" s="37"/>
      <c r="B272" s="40"/>
      <c r="C272" s="41"/>
      <c r="D272" s="41"/>
      <c r="E272" s="41"/>
    </row>
    <row r="273">
      <c r="A273" s="37"/>
      <c r="B273" s="40"/>
      <c r="C273" s="41"/>
      <c r="D273" s="41"/>
      <c r="E273" s="41"/>
    </row>
    <row r="274">
      <c r="A274" s="37"/>
      <c r="B274" s="40"/>
      <c r="C274" s="41"/>
      <c r="D274" s="41"/>
      <c r="E274" s="41"/>
    </row>
    <row r="275">
      <c r="A275" s="37"/>
      <c r="B275" s="40"/>
      <c r="C275" s="41"/>
      <c r="D275" s="41"/>
      <c r="E275" s="41"/>
    </row>
    <row r="276">
      <c r="A276" s="37"/>
      <c r="B276" s="40"/>
      <c r="C276" s="41"/>
      <c r="D276" s="41"/>
      <c r="E276" s="41"/>
    </row>
    <row r="277">
      <c r="A277" s="37"/>
      <c r="B277" s="40"/>
      <c r="C277" s="41"/>
      <c r="D277" s="41"/>
      <c r="E277" s="41"/>
    </row>
    <row r="278">
      <c r="A278" s="37"/>
      <c r="B278" s="40"/>
      <c r="C278" s="41"/>
      <c r="D278" s="41"/>
      <c r="E278" s="41"/>
    </row>
    <row r="279">
      <c r="A279" s="37"/>
      <c r="B279" s="40"/>
      <c r="C279" s="41"/>
      <c r="D279" s="41"/>
      <c r="E279" s="41"/>
    </row>
    <row r="280">
      <c r="A280" s="37"/>
      <c r="B280" s="40"/>
      <c r="C280" s="41"/>
      <c r="D280" s="41"/>
      <c r="E280" s="41"/>
    </row>
    <row r="281">
      <c r="A281" s="37"/>
      <c r="B281" s="40"/>
      <c r="C281" s="41"/>
      <c r="D281" s="41"/>
      <c r="E281" s="41"/>
    </row>
    <row r="282">
      <c r="A282" s="37"/>
      <c r="B282" s="40"/>
      <c r="C282" s="41"/>
      <c r="D282" s="41"/>
      <c r="E282" s="41"/>
    </row>
    <row r="283">
      <c r="A283" s="37"/>
      <c r="B283" s="40"/>
      <c r="C283" s="41"/>
      <c r="D283" s="41"/>
      <c r="E283" s="41"/>
    </row>
    <row r="284">
      <c r="A284" s="37"/>
      <c r="B284" s="40"/>
      <c r="C284" s="41"/>
      <c r="D284" s="41"/>
      <c r="E284" s="41"/>
    </row>
    <row r="285">
      <c r="A285" s="37"/>
      <c r="B285" s="40"/>
      <c r="C285" s="41"/>
      <c r="D285" s="41"/>
      <c r="E285" s="41"/>
    </row>
    <row r="286">
      <c r="A286" s="37"/>
      <c r="B286" s="40"/>
      <c r="C286" s="41"/>
      <c r="D286" s="41"/>
      <c r="E286" s="41"/>
    </row>
    <row r="287">
      <c r="A287" s="37"/>
      <c r="B287" s="40"/>
      <c r="C287" s="41"/>
      <c r="D287" s="41"/>
      <c r="E287" s="41"/>
    </row>
    <row r="288">
      <c r="A288" s="37"/>
      <c r="B288" s="40"/>
      <c r="C288" s="41"/>
      <c r="D288" s="41"/>
      <c r="E288" s="41"/>
    </row>
    <row r="289">
      <c r="A289" s="37"/>
      <c r="B289" s="40"/>
      <c r="C289" s="41"/>
      <c r="D289" s="41"/>
      <c r="E289" s="41"/>
    </row>
    <row r="290">
      <c r="A290" s="37"/>
      <c r="B290" s="40"/>
      <c r="C290" s="41"/>
      <c r="D290" s="41"/>
      <c r="E290" s="41"/>
    </row>
    <row r="291">
      <c r="A291" s="37"/>
      <c r="B291" s="40"/>
      <c r="C291" s="41"/>
      <c r="D291" s="41"/>
      <c r="E291" s="41"/>
    </row>
    <row r="292">
      <c r="A292" s="37"/>
      <c r="B292" s="40"/>
      <c r="C292" s="41"/>
      <c r="D292" s="41"/>
      <c r="E292" s="41"/>
    </row>
    <row r="293">
      <c r="A293" s="37"/>
      <c r="B293" s="40"/>
      <c r="C293" s="41"/>
      <c r="D293" s="41"/>
      <c r="E293" s="41"/>
    </row>
    <row r="294">
      <c r="A294" s="37"/>
      <c r="B294" s="40"/>
      <c r="C294" s="41"/>
      <c r="D294" s="41"/>
      <c r="E294" s="41"/>
    </row>
    <row r="295">
      <c r="A295" s="37"/>
      <c r="B295" s="40"/>
      <c r="C295" s="41"/>
      <c r="D295" s="41"/>
      <c r="E295" s="41"/>
    </row>
    <row r="296">
      <c r="A296" s="37"/>
      <c r="B296" s="40"/>
      <c r="C296" s="41"/>
      <c r="D296" s="41"/>
      <c r="E296" s="41"/>
    </row>
    <row r="297">
      <c r="A297" s="37"/>
      <c r="B297" s="40"/>
      <c r="C297" s="41"/>
      <c r="D297" s="41"/>
      <c r="E297" s="41"/>
    </row>
    <row r="298">
      <c r="A298" s="37"/>
      <c r="B298" s="40"/>
      <c r="C298" s="41"/>
      <c r="D298" s="41"/>
      <c r="E298" s="41"/>
    </row>
    <row r="299">
      <c r="A299" s="37"/>
      <c r="B299" s="40"/>
      <c r="C299" s="41"/>
      <c r="D299" s="41"/>
      <c r="E299" s="41"/>
    </row>
    <row r="300">
      <c r="A300" s="37"/>
      <c r="B300" s="40"/>
      <c r="C300" s="41"/>
      <c r="D300" s="41"/>
      <c r="E300" s="41"/>
    </row>
    <row r="301">
      <c r="A301" s="37"/>
      <c r="B301" s="40"/>
      <c r="C301" s="41"/>
      <c r="D301" s="41"/>
      <c r="E301" s="41"/>
    </row>
    <row r="302">
      <c r="A302" s="37"/>
      <c r="B302" s="40"/>
      <c r="C302" s="41"/>
      <c r="D302" s="41"/>
      <c r="E302" s="41"/>
    </row>
    <row r="303">
      <c r="A303" s="37"/>
      <c r="B303" s="40"/>
      <c r="C303" s="41"/>
      <c r="D303" s="41"/>
      <c r="E303" s="41"/>
    </row>
    <row r="304">
      <c r="A304" s="37"/>
      <c r="B304" s="40"/>
      <c r="C304" s="41"/>
      <c r="D304" s="41"/>
      <c r="E304" s="41"/>
    </row>
    <row r="305">
      <c r="A305" s="37"/>
      <c r="B305" s="40"/>
      <c r="C305" s="41"/>
      <c r="D305" s="41"/>
      <c r="E305" s="41"/>
    </row>
    <row r="306">
      <c r="A306" s="37"/>
      <c r="B306" s="40"/>
      <c r="C306" s="41"/>
      <c r="D306" s="41"/>
      <c r="E306" s="41"/>
    </row>
    <row r="307">
      <c r="A307" s="37"/>
      <c r="B307" s="40"/>
      <c r="C307" s="41"/>
      <c r="D307" s="41"/>
      <c r="E307" s="41"/>
    </row>
    <row r="308">
      <c r="A308" s="37"/>
      <c r="B308" s="40"/>
      <c r="C308" s="41"/>
      <c r="D308" s="41"/>
      <c r="E308" s="41"/>
    </row>
    <row r="309">
      <c r="A309" s="37"/>
      <c r="B309" s="40"/>
      <c r="C309" s="41"/>
      <c r="D309" s="41"/>
      <c r="E309" s="41"/>
    </row>
    <row r="310">
      <c r="A310" s="37"/>
      <c r="B310" s="40"/>
      <c r="C310" s="41"/>
      <c r="D310" s="41"/>
      <c r="E310" s="41"/>
    </row>
    <row r="311">
      <c r="A311" s="37"/>
      <c r="B311" s="40"/>
      <c r="C311" s="41"/>
      <c r="D311" s="41"/>
      <c r="E311" s="41"/>
    </row>
    <row r="312">
      <c r="A312" s="37"/>
      <c r="B312" s="40"/>
      <c r="C312" s="41"/>
      <c r="D312" s="41"/>
      <c r="E312" s="41"/>
    </row>
    <row r="313">
      <c r="A313" s="37"/>
      <c r="B313" s="40"/>
      <c r="C313" s="41"/>
      <c r="D313" s="41"/>
      <c r="E313" s="41"/>
    </row>
    <row r="314">
      <c r="A314" s="37"/>
      <c r="B314" s="40"/>
      <c r="C314" s="41"/>
      <c r="D314" s="41"/>
      <c r="E314" s="41"/>
    </row>
    <row r="315">
      <c r="A315" s="37"/>
      <c r="B315" s="40"/>
      <c r="C315" s="41"/>
      <c r="D315" s="41"/>
      <c r="E315" s="41"/>
    </row>
    <row r="316">
      <c r="A316" s="37"/>
      <c r="B316" s="40"/>
      <c r="C316" s="41"/>
      <c r="D316" s="41"/>
      <c r="E316" s="41"/>
    </row>
    <row r="317">
      <c r="A317" s="37"/>
      <c r="B317" s="40"/>
      <c r="C317" s="41"/>
      <c r="D317" s="41"/>
      <c r="E317" s="41"/>
    </row>
    <row r="318">
      <c r="A318" s="37"/>
      <c r="B318" s="40"/>
      <c r="C318" s="41"/>
      <c r="D318" s="41"/>
      <c r="E318" s="41"/>
    </row>
    <row r="319">
      <c r="A319" s="37"/>
      <c r="B319" s="40"/>
      <c r="C319" s="41"/>
      <c r="D319" s="41"/>
      <c r="E319" s="41"/>
    </row>
    <row r="320">
      <c r="A320" s="37"/>
      <c r="B320" s="40"/>
      <c r="C320" s="41"/>
      <c r="D320" s="41"/>
      <c r="E320" s="41"/>
    </row>
    <row r="321">
      <c r="A321" s="37"/>
      <c r="B321" s="40"/>
      <c r="C321" s="41"/>
      <c r="D321" s="41"/>
      <c r="E321" s="41"/>
    </row>
    <row r="322">
      <c r="A322" s="37"/>
      <c r="B322" s="40"/>
      <c r="C322" s="41"/>
      <c r="D322" s="41"/>
      <c r="E322" s="41"/>
    </row>
    <row r="323">
      <c r="A323" s="37"/>
      <c r="B323" s="40"/>
      <c r="C323" s="41"/>
      <c r="D323" s="41"/>
      <c r="E323" s="41"/>
    </row>
    <row r="324">
      <c r="A324" s="37"/>
      <c r="B324" s="40"/>
      <c r="C324" s="41"/>
      <c r="D324" s="41"/>
      <c r="E324" s="41"/>
    </row>
    <row r="325">
      <c r="A325" s="37"/>
      <c r="B325" s="40"/>
      <c r="C325" s="41"/>
      <c r="D325" s="41"/>
      <c r="E325" s="41"/>
    </row>
    <row r="326">
      <c r="A326" s="37"/>
      <c r="B326" s="40"/>
      <c r="C326" s="41"/>
      <c r="D326" s="41"/>
      <c r="E326" s="41"/>
    </row>
    <row r="327">
      <c r="A327" s="37"/>
      <c r="B327" s="40"/>
      <c r="C327" s="41"/>
      <c r="D327" s="41"/>
      <c r="E327" s="41"/>
    </row>
    <row r="328">
      <c r="A328" s="37"/>
      <c r="B328" s="40"/>
      <c r="C328" s="41"/>
      <c r="D328" s="41"/>
      <c r="E328" s="41"/>
    </row>
    <row r="329">
      <c r="A329" s="37"/>
      <c r="B329" s="40"/>
      <c r="C329" s="41"/>
      <c r="D329" s="41"/>
      <c r="E329" s="41"/>
    </row>
    <row r="330">
      <c r="A330" s="37"/>
      <c r="B330" s="40"/>
      <c r="C330" s="41"/>
      <c r="D330" s="41"/>
      <c r="E330" s="41"/>
    </row>
    <row r="331">
      <c r="A331" s="37"/>
      <c r="B331" s="40"/>
      <c r="C331" s="41"/>
      <c r="D331" s="41"/>
      <c r="E331" s="41"/>
    </row>
    <row r="332">
      <c r="A332" s="37"/>
      <c r="B332" s="40"/>
      <c r="C332" s="41"/>
      <c r="D332" s="41"/>
      <c r="E332" s="41"/>
    </row>
    <row r="333">
      <c r="A333" s="37"/>
      <c r="B333" s="40"/>
      <c r="C333" s="41"/>
      <c r="D333" s="41"/>
      <c r="E333" s="41"/>
    </row>
    <row r="334">
      <c r="A334" s="37"/>
      <c r="B334" s="40"/>
      <c r="C334" s="41"/>
      <c r="D334" s="41"/>
      <c r="E334" s="41"/>
    </row>
    <row r="335">
      <c r="A335" s="37"/>
      <c r="B335" s="40"/>
      <c r="C335" s="41"/>
      <c r="D335" s="41"/>
      <c r="E335" s="41"/>
    </row>
    <row r="336">
      <c r="A336" s="37"/>
      <c r="B336" s="40"/>
      <c r="C336" s="41"/>
      <c r="D336" s="41"/>
      <c r="E336" s="41"/>
    </row>
    <row r="337">
      <c r="A337" s="37"/>
      <c r="B337" s="40"/>
      <c r="C337" s="41"/>
      <c r="D337" s="41"/>
      <c r="E337" s="41"/>
    </row>
    <row r="338">
      <c r="A338" s="37"/>
      <c r="B338" s="40"/>
      <c r="C338" s="41"/>
      <c r="D338" s="41"/>
      <c r="E338" s="41"/>
    </row>
    <row r="339">
      <c r="A339" s="37"/>
      <c r="B339" s="40"/>
      <c r="C339" s="41"/>
      <c r="D339" s="41"/>
      <c r="E339" s="41"/>
    </row>
    <row r="340">
      <c r="A340" s="37"/>
      <c r="B340" s="40"/>
      <c r="C340" s="41"/>
      <c r="D340" s="41"/>
      <c r="E340" s="41"/>
    </row>
    <row r="341">
      <c r="A341" s="37"/>
      <c r="B341" s="40"/>
      <c r="C341" s="41"/>
      <c r="D341" s="41"/>
      <c r="E341" s="41"/>
    </row>
    <row r="342">
      <c r="A342" s="37"/>
      <c r="B342" s="40"/>
      <c r="C342" s="41"/>
      <c r="D342" s="41"/>
      <c r="E342" s="41"/>
    </row>
    <row r="343">
      <c r="A343" s="37"/>
      <c r="B343" s="40"/>
      <c r="C343" s="41"/>
      <c r="D343" s="41"/>
      <c r="E343" s="41"/>
    </row>
    <row r="344">
      <c r="A344" s="37"/>
      <c r="B344" s="40"/>
      <c r="C344" s="41"/>
      <c r="D344" s="41"/>
      <c r="E344" s="41"/>
    </row>
    <row r="345">
      <c r="A345" s="37"/>
      <c r="B345" s="40"/>
      <c r="C345" s="41"/>
      <c r="D345" s="41"/>
      <c r="E345" s="41"/>
    </row>
    <row r="346">
      <c r="A346" s="37"/>
      <c r="B346" s="40"/>
      <c r="C346" s="41"/>
      <c r="D346" s="41"/>
      <c r="E346" s="41"/>
    </row>
    <row r="347">
      <c r="A347" s="37"/>
      <c r="B347" s="40"/>
      <c r="C347" s="41"/>
      <c r="D347" s="41"/>
      <c r="E347" s="41"/>
    </row>
    <row r="348">
      <c r="A348" s="37"/>
      <c r="B348" s="40"/>
      <c r="C348" s="41"/>
      <c r="D348" s="41"/>
      <c r="E348" s="41"/>
    </row>
    <row r="349">
      <c r="A349" s="37"/>
      <c r="B349" s="40"/>
      <c r="C349" s="41"/>
      <c r="D349" s="41"/>
      <c r="E349" s="41"/>
    </row>
    <row r="350">
      <c r="A350" s="37"/>
      <c r="B350" s="40"/>
      <c r="C350" s="41"/>
      <c r="D350" s="41"/>
      <c r="E350" s="41"/>
    </row>
    <row r="351">
      <c r="A351" s="37"/>
      <c r="B351" s="40"/>
      <c r="C351" s="41"/>
      <c r="D351" s="41"/>
      <c r="E351" s="41"/>
    </row>
    <row r="352">
      <c r="A352" s="37"/>
      <c r="B352" s="40"/>
      <c r="C352" s="41"/>
      <c r="D352" s="41"/>
      <c r="E352" s="41"/>
    </row>
    <row r="353">
      <c r="A353" s="37"/>
      <c r="B353" s="40"/>
      <c r="C353" s="41"/>
      <c r="D353" s="41"/>
      <c r="E353" s="41"/>
    </row>
    <row r="354">
      <c r="A354" s="37"/>
      <c r="B354" s="40"/>
      <c r="C354" s="41"/>
      <c r="D354" s="41"/>
      <c r="E354" s="41"/>
    </row>
    <row r="355">
      <c r="A355" s="37"/>
      <c r="B355" s="40"/>
      <c r="C355" s="41"/>
      <c r="D355" s="41"/>
      <c r="E355" s="41"/>
    </row>
    <row r="356">
      <c r="A356" s="37"/>
      <c r="B356" s="40"/>
      <c r="C356" s="41"/>
      <c r="D356" s="41"/>
      <c r="E356" s="41"/>
    </row>
    <row r="357">
      <c r="A357" s="37"/>
      <c r="B357" s="40"/>
      <c r="C357" s="41"/>
      <c r="D357" s="41"/>
      <c r="E357" s="41"/>
    </row>
    <row r="358">
      <c r="A358" s="37"/>
      <c r="B358" s="40"/>
      <c r="C358" s="41"/>
      <c r="D358" s="41"/>
      <c r="E358" s="41"/>
    </row>
    <row r="359">
      <c r="A359" s="37"/>
      <c r="B359" s="40"/>
      <c r="C359" s="41"/>
      <c r="D359" s="41"/>
      <c r="E359" s="41"/>
    </row>
    <row r="360">
      <c r="A360" s="37"/>
      <c r="B360" s="40"/>
      <c r="C360" s="41"/>
      <c r="D360" s="41"/>
      <c r="E360" s="41"/>
    </row>
    <row r="361">
      <c r="A361" s="37"/>
      <c r="B361" s="40"/>
      <c r="C361" s="41"/>
      <c r="D361" s="41"/>
      <c r="E361" s="41"/>
    </row>
    <row r="362">
      <c r="A362" s="37"/>
      <c r="B362" s="40"/>
      <c r="C362" s="41"/>
      <c r="D362" s="41"/>
      <c r="E362" s="41"/>
    </row>
    <row r="363">
      <c r="A363" s="37"/>
      <c r="B363" s="40"/>
      <c r="C363" s="41"/>
      <c r="D363" s="41"/>
      <c r="E363" s="41"/>
    </row>
    <row r="364">
      <c r="A364" s="37"/>
      <c r="B364" s="40"/>
      <c r="C364" s="41"/>
      <c r="D364" s="41"/>
      <c r="E364" s="41"/>
    </row>
    <row r="365">
      <c r="A365" s="37"/>
      <c r="B365" s="40"/>
      <c r="C365" s="41"/>
      <c r="D365" s="41"/>
      <c r="E365" s="41"/>
    </row>
    <row r="366">
      <c r="A366" s="37"/>
      <c r="B366" s="40"/>
      <c r="C366" s="41"/>
      <c r="D366" s="41"/>
      <c r="E366" s="41"/>
    </row>
    <row r="367">
      <c r="A367" s="37"/>
      <c r="B367" s="40"/>
      <c r="C367" s="41"/>
      <c r="D367" s="41"/>
      <c r="E367" s="41"/>
    </row>
    <row r="368">
      <c r="A368" s="37"/>
      <c r="B368" s="40"/>
      <c r="C368" s="41"/>
      <c r="D368" s="41"/>
      <c r="E368" s="41"/>
    </row>
    <row r="369">
      <c r="A369" s="37"/>
      <c r="B369" s="40"/>
      <c r="C369" s="41"/>
      <c r="D369" s="41"/>
      <c r="E369" s="41"/>
    </row>
    <row r="370">
      <c r="A370" s="37"/>
      <c r="B370" s="40"/>
      <c r="C370" s="41"/>
      <c r="D370" s="41"/>
      <c r="E370" s="41"/>
    </row>
    <row r="371">
      <c r="A371" s="37"/>
      <c r="B371" s="40"/>
      <c r="C371" s="41"/>
      <c r="D371" s="41"/>
      <c r="E371" s="41"/>
    </row>
    <row r="372">
      <c r="A372" s="37"/>
      <c r="B372" s="40"/>
      <c r="C372" s="41"/>
      <c r="D372" s="41"/>
      <c r="E372" s="41"/>
    </row>
    <row r="373">
      <c r="A373" s="37"/>
      <c r="B373" s="40"/>
      <c r="C373" s="41"/>
      <c r="D373" s="41"/>
      <c r="E373" s="41"/>
    </row>
    <row r="374">
      <c r="A374" s="37"/>
      <c r="B374" s="40"/>
      <c r="C374" s="41"/>
      <c r="D374" s="41"/>
      <c r="E374" s="41"/>
    </row>
    <row r="375">
      <c r="A375" s="37"/>
      <c r="B375" s="40"/>
      <c r="C375" s="41"/>
      <c r="D375" s="41"/>
      <c r="E375" s="41"/>
    </row>
    <row r="376">
      <c r="A376" s="37"/>
      <c r="B376" s="40"/>
      <c r="C376" s="41"/>
      <c r="D376" s="41"/>
      <c r="E376" s="41"/>
    </row>
    <row r="377">
      <c r="A377" s="37"/>
      <c r="B377" s="40"/>
      <c r="C377" s="41"/>
      <c r="D377" s="41"/>
      <c r="E377" s="41"/>
    </row>
    <row r="378">
      <c r="A378" s="37"/>
      <c r="B378" s="40"/>
      <c r="C378" s="41"/>
      <c r="D378" s="41"/>
      <c r="E378" s="41"/>
    </row>
    <row r="379">
      <c r="A379" s="37"/>
      <c r="B379" s="40"/>
      <c r="C379" s="41"/>
      <c r="D379" s="41"/>
      <c r="E379" s="41"/>
    </row>
    <row r="380">
      <c r="A380" s="37"/>
      <c r="B380" s="40"/>
      <c r="C380" s="41"/>
      <c r="D380" s="41"/>
      <c r="E380" s="41"/>
    </row>
    <row r="381">
      <c r="A381" s="37"/>
      <c r="B381" s="40"/>
      <c r="C381" s="41"/>
      <c r="D381" s="41"/>
      <c r="E381" s="41"/>
    </row>
    <row r="382">
      <c r="A382" s="37"/>
      <c r="B382" s="40"/>
      <c r="C382" s="41"/>
      <c r="D382" s="41"/>
      <c r="E382" s="41"/>
    </row>
    <row r="383">
      <c r="A383" s="37"/>
      <c r="B383" s="40"/>
      <c r="C383" s="41"/>
      <c r="D383" s="41"/>
      <c r="E383" s="41"/>
    </row>
    <row r="384">
      <c r="A384" s="37"/>
      <c r="B384" s="40"/>
      <c r="C384" s="41"/>
      <c r="D384" s="41"/>
      <c r="E384" s="41"/>
    </row>
    <row r="385">
      <c r="A385" s="37"/>
      <c r="B385" s="40"/>
      <c r="C385" s="41"/>
      <c r="D385" s="41"/>
      <c r="E385" s="41"/>
    </row>
    <row r="386">
      <c r="A386" s="37"/>
      <c r="B386" s="40"/>
      <c r="C386" s="41"/>
      <c r="D386" s="41"/>
      <c r="E386" s="41"/>
    </row>
    <row r="387">
      <c r="A387" s="37"/>
      <c r="B387" s="40"/>
      <c r="C387" s="41"/>
      <c r="D387" s="41"/>
      <c r="E387" s="41"/>
    </row>
    <row r="388">
      <c r="A388" s="37"/>
      <c r="B388" s="40"/>
      <c r="C388" s="41"/>
      <c r="D388" s="41"/>
      <c r="E388" s="41"/>
    </row>
    <row r="389">
      <c r="A389" s="37"/>
      <c r="B389" s="40"/>
      <c r="C389" s="41"/>
      <c r="D389" s="41"/>
      <c r="E389" s="41"/>
    </row>
    <row r="390">
      <c r="A390" s="37"/>
      <c r="B390" s="40"/>
      <c r="C390" s="41"/>
      <c r="D390" s="41"/>
      <c r="E390" s="41"/>
    </row>
    <row r="391">
      <c r="A391" s="37"/>
      <c r="B391" s="40"/>
      <c r="C391" s="41"/>
      <c r="D391" s="41"/>
      <c r="E391" s="41"/>
    </row>
    <row r="392">
      <c r="A392" s="37"/>
      <c r="B392" s="40"/>
      <c r="C392" s="41"/>
      <c r="D392" s="41"/>
      <c r="E392" s="41"/>
    </row>
    <row r="393">
      <c r="A393" s="37"/>
      <c r="B393" s="40"/>
      <c r="C393" s="41"/>
      <c r="D393" s="41"/>
      <c r="E393" s="41"/>
    </row>
    <row r="394">
      <c r="A394" s="37"/>
      <c r="B394" s="40"/>
      <c r="C394" s="41"/>
      <c r="D394" s="41"/>
      <c r="E394" s="41"/>
    </row>
    <row r="395">
      <c r="A395" s="37"/>
      <c r="B395" s="40"/>
      <c r="C395" s="41"/>
      <c r="D395" s="41"/>
      <c r="E395" s="41"/>
    </row>
    <row r="396">
      <c r="A396" s="37"/>
      <c r="B396" s="40"/>
      <c r="C396" s="41"/>
      <c r="D396" s="41"/>
      <c r="E396" s="41"/>
    </row>
    <row r="397">
      <c r="A397" s="37"/>
      <c r="B397" s="40"/>
      <c r="C397" s="41"/>
      <c r="D397" s="41"/>
      <c r="E397" s="41"/>
    </row>
    <row r="398">
      <c r="A398" s="37"/>
      <c r="B398" s="40"/>
      <c r="C398" s="41"/>
      <c r="D398" s="41"/>
      <c r="E398" s="41"/>
    </row>
    <row r="399">
      <c r="A399" s="37"/>
      <c r="B399" s="40"/>
      <c r="C399" s="41"/>
      <c r="D399" s="41"/>
      <c r="E399" s="41"/>
    </row>
    <row r="400">
      <c r="A400" s="37"/>
      <c r="B400" s="40"/>
      <c r="C400" s="41"/>
      <c r="D400" s="41"/>
      <c r="E400" s="41"/>
    </row>
    <row r="401">
      <c r="A401" s="37"/>
      <c r="B401" s="40"/>
      <c r="C401" s="41"/>
      <c r="D401" s="41"/>
      <c r="E401" s="41"/>
    </row>
    <row r="402">
      <c r="A402" s="37"/>
      <c r="B402" s="40"/>
      <c r="C402" s="41"/>
      <c r="D402" s="41"/>
      <c r="E402" s="41"/>
    </row>
    <row r="403">
      <c r="A403" s="37"/>
      <c r="B403" s="40"/>
      <c r="C403" s="41"/>
      <c r="D403" s="41"/>
      <c r="E403" s="41"/>
    </row>
    <row r="404">
      <c r="A404" s="37"/>
      <c r="B404" s="40"/>
      <c r="C404" s="41"/>
      <c r="D404" s="41"/>
      <c r="E404" s="41"/>
    </row>
    <row r="405">
      <c r="A405" s="37"/>
      <c r="B405" s="40"/>
      <c r="C405" s="41"/>
      <c r="D405" s="41"/>
      <c r="E405" s="41"/>
    </row>
    <row r="406">
      <c r="A406" s="37"/>
      <c r="B406" s="40"/>
      <c r="C406" s="41"/>
      <c r="D406" s="41"/>
      <c r="E406" s="41"/>
    </row>
    <row r="407">
      <c r="A407" s="37"/>
      <c r="B407" s="40"/>
      <c r="C407" s="41"/>
      <c r="D407" s="41"/>
      <c r="E407" s="41"/>
    </row>
    <row r="408">
      <c r="A408" s="37"/>
      <c r="B408" s="40"/>
      <c r="C408" s="41"/>
      <c r="D408" s="41"/>
      <c r="E408" s="41"/>
    </row>
    <row r="409">
      <c r="A409" s="37"/>
      <c r="B409" s="40"/>
      <c r="C409" s="41"/>
      <c r="D409" s="41"/>
      <c r="E409" s="41"/>
    </row>
    <row r="410">
      <c r="A410" s="37"/>
      <c r="B410" s="40"/>
      <c r="C410" s="41"/>
      <c r="D410" s="41"/>
      <c r="E410" s="41"/>
    </row>
    <row r="411">
      <c r="A411" s="37"/>
      <c r="B411" s="40"/>
      <c r="C411" s="41"/>
      <c r="D411" s="41"/>
      <c r="E411" s="41"/>
    </row>
    <row r="412">
      <c r="A412" s="37"/>
      <c r="B412" s="40"/>
      <c r="C412" s="41"/>
      <c r="D412" s="41"/>
      <c r="E412" s="41"/>
    </row>
    <row r="413">
      <c r="A413" s="37"/>
      <c r="B413" s="40"/>
      <c r="C413" s="41"/>
      <c r="D413" s="41"/>
      <c r="E413" s="41"/>
    </row>
    <row r="414">
      <c r="A414" s="37"/>
      <c r="B414" s="40"/>
      <c r="C414" s="41"/>
      <c r="D414" s="41"/>
      <c r="E414" s="41"/>
    </row>
    <row r="415">
      <c r="A415" s="37"/>
      <c r="B415" s="40"/>
      <c r="C415" s="41"/>
      <c r="D415" s="41"/>
      <c r="E415" s="41"/>
    </row>
    <row r="416">
      <c r="A416" s="37"/>
      <c r="B416" s="40"/>
      <c r="C416" s="41"/>
      <c r="D416" s="41"/>
      <c r="E416" s="41"/>
    </row>
    <row r="417">
      <c r="A417" s="37"/>
      <c r="B417" s="40"/>
      <c r="C417" s="41"/>
      <c r="D417" s="41"/>
      <c r="E417" s="41"/>
    </row>
    <row r="418">
      <c r="A418" s="37"/>
      <c r="B418" s="40"/>
      <c r="C418" s="41"/>
      <c r="D418" s="41"/>
      <c r="E418" s="41"/>
    </row>
    <row r="419">
      <c r="A419" s="37"/>
      <c r="B419" s="40"/>
      <c r="C419" s="41"/>
      <c r="D419" s="41"/>
      <c r="E419" s="41"/>
    </row>
    <row r="420">
      <c r="A420" s="37"/>
      <c r="B420" s="40"/>
      <c r="C420" s="41"/>
      <c r="D420" s="41"/>
      <c r="E420" s="41"/>
    </row>
    <row r="421">
      <c r="A421" s="37"/>
      <c r="B421" s="40"/>
      <c r="C421" s="41"/>
      <c r="D421" s="41"/>
      <c r="E421" s="41"/>
    </row>
    <row r="422">
      <c r="A422" s="37"/>
      <c r="B422" s="40"/>
      <c r="C422" s="41"/>
      <c r="D422" s="41"/>
      <c r="E422" s="41"/>
    </row>
    <row r="423">
      <c r="A423" s="37"/>
      <c r="B423" s="40"/>
      <c r="C423" s="41"/>
      <c r="D423" s="41"/>
      <c r="E423" s="41"/>
    </row>
    <row r="424">
      <c r="A424" s="37"/>
      <c r="B424" s="40"/>
      <c r="C424" s="41"/>
      <c r="D424" s="41"/>
      <c r="E424" s="41"/>
    </row>
    <row r="425">
      <c r="A425" s="37"/>
      <c r="B425" s="40"/>
      <c r="C425" s="41"/>
      <c r="D425" s="41"/>
      <c r="E425" s="41"/>
    </row>
    <row r="426">
      <c r="A426" s="37"/>
      <c r="B426" s="40"/>
      <c r="C426" s="41"/>
      <c r="D426" s="41"/>
      <c r="E426" s="41"/>
    </row>
    <row r="427">
      <c r="A427" s="37"/>
      <c r="B427" s="40"/>
      <c r="C427" s="41"/>
      <c r="D427" s="41"/>
      <c r="E427" s="41"/>
    </row>
    <row r="428">
      <c r="A428" s="37"/>
      <c r="B428" s="40"/>
      <c r="C428" s="41"/>
      <c r="D428" s="41"/>
      <c r="E428" s="41"/>
    </row>
    <row r="429">
      <c r="A429" s="37"/>
      <c r="B429" s="40"/>
      <c r="C429" s="41"/>
      <c r="D429" s="41"/>
      <c r="E429" s="41"/>
    </row>
    <row r="430">
      <c r="A430" s="37"/>
      <c r="B430" s="40"/>
      <c r="C430" s="41"/>
      <c r="D430" s="41"/>
      <c r="E430" s="41"/>
    </row>
    <row r="431">
      <c r="A431" s="37"/>
      <c r="B431" s="40"/>
      <c r="C431" s="41"/>
      <c r="D431" s="41"/>
      <c r="E431" s="41"/>
    </row>
    <row r="432">
      <c r="A432" s="37"/>
      <c r="B432" s="40"/>
      <c r="C432" s="41"/>
      <c r="D432" s="41"/>
      <c r="E432" s="41"/>
    </row>
    <row r="433">
      <c r="A433" s="37"/>
      <c r="B433" s="40"/>
      <c r="C433" s="41"/>
      <c r="D433" s="41"/>
      <c r="E433" s="41"/>
    </row>
    <row r="434">
      <c r="A434" s="37"/>
      <c r="B434" s="40"/>
      <c r="C434" s="41"/>
      <c r="D434" s="41"/>
      <c r="E434" s="41"/>
    </row>
    <row r="435">
      <c r="A435" s="37"/>
      <c r="B435" s="40"/>
      <c r="C435" s="41"/>
      <c r="D435" s="41"/>
      <c r="E435" s="41"/>
    </row>
    <row r="436">
      <c r="A436" s="37"/>
      <c r="B436" s="40"/>
      <c r="C436" s="41"/>
      <c r="D436" s="41"/>
      <c r="E436" s="41"/>
    </row>
    <row r="437">
      <c r="A437" s="37"/>
      <c r="B437" s="40"/>
      <c r="C437" s="41"/>
      <c r="D437" s="41"/>
      <c r="E437" s="41"/>
    </row>
    <row r="438">
      <c r="A438" s="37"/>
      <c r="B438" s="40"/>
      <c r="C438" s="41"/>
      <c r="D438" s="41"/>
      <c r="E438" s="41"/>
    </row>
    <row r="439">
      <c r="A439" s="37"/>
      <c r="B439" s="40"/>
      <c r="C439" s="41"/>
      <c r="D439" s="41"/>
      <c r="E439" s="41"/>
    </row>
    <row r="440">
      <c r="A440" s="37"/>
      <c r="B440" s="40"/>
      <c r="C440" s="41"/>
      <c r="D440" s="41"/>
      <c r="E440" s="41"/>
    </row>
    <row r="441">
      <c r="A441" s="37"/>
      <c r="B441" s="40"/>
      <c r="C441" s="41"/>
      <c r="D441" s="41"/>
      <c r="E441" s="41"/>
    </row>
    <row r="442">
      <c r="A442" s="37"/>
      <c r="B442" s="40"/>
      <c r="C442" s="41"/>
      <c r="D442" s="41"/>
      <c r="E442" s="41"/>
    </row>
    <row r="443">
      <c r="A443" s="37"/>
      <c r="B443" s="40"/>
      <c r="C443" s="41"/>
      <c r="D443" s="41"/>
      <c r="E443" s="41"/>
    </row>
    <row r="444">
      <c r="A444" s="37"/>
      <c r="B444" s="40"/>
      <c r="C444" s="41"/>
      <c r="D444" s="41"/>
      <c r="E444" s="41"/>
    </row>
    <row r="445">
      <c r="A445" s="37"/>
      <c r="B445" s="40"/>
      <c r="C445" s="41"/>
      <c r="D445" s="41"/>
      <c r="E445" s="41"/>
    </row>
    <row r="446">
      <c r="A446" s="37"/>
      <c r="B446" s="40"/>
      <c r="C446" s="41"/>
      <c r="D446" s="41"/>
      <c r="E446" s="41"/>
    </row>
    <row r="447">
      <c r="A447" s="37"/>
      <c r="B447" s="40"/>
      <c r="C447" s="41"/>
      <c r="D447" s="41"/>
      <c r="E447" s="41"/>
    </row>
    <row r="448">
      <c r="A448" s="37"/>
      <c r="B448" s="40"/>
      <c r="C448" s="41"/>
      <c r="D448" s="41"/>
      <c r="E448" s="41"/>
    </row>
    <row r="449">
      <c r="A449" s="37"/>
      <c r="B449" s="40"/>
      <c r="C449" s="41"/>
      <c r="D449" s="41"/>
      <c r="E449" s="41"/>
    </row>
    <row r="450">
      <c r="A450" s="37"/>
      <c r="B450" s="40"/>
      <c r="C450" s="41"/>
      <c r="D450" s="41"/>
      <c r="E450" s="41"/>
    </row>
    <row r="451">
      <c r="A451" s="37"/>
      <c r="B451" s="40"/>
      <c r="C451" s="41"/>
      <c r="D451" s="41"/>
      <c r="E451" s="41"/>
    </row>
    <row r="452">
      <c r="A452" s="37"/>
      <c r="B452" s="40"/>
      <c r="C452" s="41"/>
      <c r="D452" s="41"/>
      <c r="E452" s="41"/>
    </row>
    <row r="453">
      <c r="A453" s="37"/>
      <c r="B453" s="40"/>
      <c r="C453" s="41"/>
      <c r="D453" s="41"/>
      <c r="E453" s="41"/>
    </row>
    <row r="454">
      <c r="A454" s="37"/>
      <c r="B454" s="40"/>
      <c r="C454" s="41"/>
      <c r="D454" s="41"/>
      <c r="E454" s="41"/>
    </row>
    <row r="455">
      <c r="A455" s="37"/>
      <c r="B455" s="40"/>
      <c r="C455" s="41"/>
      <c r="D455" s="41"/>
      <c r="E455" s="41"/>
    </row>
    <row r="456">
      <c r="A456" s="37"/>
      <c r="B456" s="40"/>
      <c r="C456" s="41"/>
      <c r="D456" s="41"/>
      <c r="E456" s="41"/>
    </row>
    <row r="457">
      <c r="A457" s="37"/>
      <c r="B457" s="40"/>
      <c r="C457" s="41"/>
      <c r="D457" s="41"/>
      <c r="E457" s="41"/>
    </row>
    <row r="458">
      <c r="A458" s="37"/>
      <c r="B458" s="40"/>
      <c r="C458" s="41"/>
      <c r="D458" s="41"/>
      <c r="E458" s="41"/>
    </row>
    <row r="459">
      <c r="A459" s="37"/>
      <c r="B459" s="40"/>
      <c r="C459" s="41"/>
      <c r="D459" s="41"/>
      <c r="E459" s="41"/>
    </row>
    <row r="460">
      <c r="A460" s="37"/>
      <c r="B460" s="40"/>
      <c r="C460" s="41"/>
      <c r="D460" s="41"/>
      <c r="E460" s="41"/>
    </row>
    <row r="461">
      <c r="A461" s="37"/>
      <c r="B461" s="40"/>
      <c r="C461" s="41"/>
      <c r="D461" s="41"/>
      <c r="E461" s="41"/>
    </row>
    <row r="462">
      <c r="A462" s="37"/>
      <c r="B462" s="40"/>
      <c r="C462" s="41"/>
      <c r="D462" s="41"/>
      <c r="E462" s="41"/>
    </row>
    <row r="463">
      <c r="A463" s="37"/>
      <c r="B463" s="40"/>
      <c r="C463" s="41"/>
      <c r="D463" s="41"/>
      <c r="E463" s="41"/>
    </row>
    <row r="464">
      <c r="A464" s="37"/>
      <c r="B464" s="40"/>
      <c r="C464" s="41"/>
      <c r="D464" s="41"/>
      <c r="E464" s="41"/>
    </row>
    <row r="465">
      <c r="A465" s="37"/>
      <c r="B465" s="40"/>
      <c r="C465" s="41"/>
      <c r="D465" s="41"/>
      <c r="E465" s="41"/>
    </row>
    <row r="466">
      <c r="A466" s="37"/>
      <c r="B466" s="40"/>
      <c r="C466" s="41"/>
      <c r="D466" s="41"/>
      <c r="E466" s="41"/>
    </row>
    <row r="467">
      <c r="A467" s="37"/>
      <c r="B467" s="40"/>
      <c r="C467" s="41"/>
      <c r="D467" s="41"/>
      <c r="E467" s="41"/>
    </row>
    <row r="468">
      <c r="A468" s="37"/>
      <c r="B468" s="40"/>
      <c r="C468" s="41"/>
      <c r="D468" s="41"/>
      <c r="E468" s="41"/>
    </row>
    <row r="469">
      <c r="A469" s="37"/>
      <c r="B469" s="40"/>
      <c r="C469" s="41"/>
      <c r="D469" s="41"/>
      <c r="E469" s="41"/>
    </row>
    <row r="470">
      <c r="A470" s="37"/>
      <c r="B470" s="40"/>
      <c r="C470" s="41"/>
      <c r="D470" s="41"/>
      <c r="E470" s="41"/>
    </row>
    <row r="471">
      <c r="A471" s="37"/>
      <c r="B471" s="40"/>
      <c r="C471" s="41"/>
      <c r="D471" s="41"/>
      <c r="E471" s="41"/>
    </row>
    <row r="472">
      <c r="A472" s="37"/>
      <c r="B472" s="40"/>
      <c r="C472" s="41"/>
      <c r="D472" s="41"/>
      <c r="E472" s="41"/>
    </row>
    <row r="473">
      <c r="A473" s="37"/>
      <c r="B473" s="40"/>
      <c r="C473" s="41"/>
      <c r="D473" s="41"/>
      <c r="E473" s="41"/>
    </row>
    <row r="474">
      <c r="A474" s="37"/>
      <c r="B474" s="40"/>
      <c r="C474" s="41"/>
      <c r="D474" s="41"/>
      <c r="E474" s="41"/>
    </row>
    <row r="475">
      <c r="A475" s="37"/>
      <c r="B475" s="40"/>
      <c r="C475" s="41"/>
      <c r="D475" s="41"/>
      <c r="E475" s="41"/>
    </row>
    <row r="476">
      <c r="A476" s="37"/>
      <c r="B476" s="40"/>
      <c r="C476" s="41"/>
      <c r="D476" s="41"/>
      <c r="E476" s="41"/>
    </row>
    <row r="477">
      <c r="A477" s="37"/>
      <c r="B477" s="40"/>
      <c r="C477" s="41"/>
      <c r="D477" s="41"/>
      <c r="E477" s="41"/>
    </row>
    <row r="478">
      <c r="A478" s="37"/>
      <c r="B478" s="40"/>
      <c r="C478" s="41"/>
      <c r="D478" s="41"/>
      <c r="E478" s="41"/>
    </row>
    <row r="479">
      <c r="A479" s="37"/>
      <c r="B479" s="40"/>
      <c r="C479" s="41"/>
      <c r="D479" s="41"/>
      <c r="E479" s="41"/>
    </row>
    <row r="480">
      <c r="A480" s="37"/>
      <c r="B480" s="40"/>
      <c r="C480" s="41"/>
      <c r="D480" s="41"/>
      <c r="E480" s="41"/>
    </row>
    <row r="481">
      <c r="A481" s="37"/>
      <c r="B481" s="40"/>
      <c r="C481" s="41"/>
      <c r="D481" s="41"/>
      <c r="E481" s="41"/>
    </row>
    <row r="482">
      <c r="A482" s="37"/>
      <c r="B482" s="40"/>
      <c r="C482" s="41"/>
      <c r="D482" s="41"/>
      <c r="E482" s="41"/>
    </row>
    <row r="483">
      <c r="A483" s="37"/>
      <c r="B483" s="40"/>
      <c r="C483" s="41"/>
      <c r="D483" s="41"/>
      <c r="E483" s="41"/>
    </row>
    <row r="484">
      <c r="A484" s="37"/>
      <c r="B484" s="40"/>
      <c r="C484" s="41"/>
      <c r="D484" s="41"/>
      <c r="E484" s="41"/>
    </row>
    <row r="485">
      <c r="A485" s="37"/>
      <c r="B485" s="40"/>
      <c r="C485" s="41"/>
      <c r="D485" s="41"/>
      <c r="E485" s="41"/>
    </row>
    <row r="486">
      <c r="A486" s="37"/>
      <c r="B486" s="40"/>
      <c r="C486" s="41"/>
      <c r="D486" s="41"/>
      <c r="E486" s="41"/>
    </row>
    <row r="487">
      <c r="A487" s="37"/>
      <c r="B487" s="40"/>
      <c r="C487" s="41"/>
      <c r="D487" s="41"/>
      <c r="E487" s="41"/>
    </row>
    <row r="488">
      <c r="A488" s="37"/>
      <c r="B488" s="40"/>
      <c r="C488" s="41"/>
      <c r="D488" s="41"/>
      <c r="E488" s="41"/>
    </row>
    <row r="489">
      <c r="A489" s="37"/>
      <c r="B489" s="40"/>
      <c r="C489" s="41"/>
      <c r="D489" s="41"/>
      <c r="E489" s="41"/>
    </row>
    <row r="490">
      <c r="A490" s="37"/>
      <c r="B490" s="40"/>
      <c r="C490" s="41"/>
      <c r="D490" s="41"/>
      <c r="E490" s="41"/>
    </row>
    <row r="491">
      <c r="A491" s="37"/>
      <c r="B491" s="40"/>
      <c r="C491" s="41"/>
      <c r="D491" s="41"/>
      <c r="E491" s="41"/>
    </row>
    <row r="492">
      <c r="A492" s="37"/>
      <c r="B492" s="40"/>
      <c r="C492" s="41"/>
      <c r="D492" s="41"/>
      <c r="E492" s="41"/>
    </row>
    <row r="493">
      <c r="A493" s="37"/>
      <c r="B493" s="40"/>
      <c r="C493" s="41"/>
      <c r="D493" s="41"/>
      <c r="E493" s="41"/>
    </row>
    <row r="494">
      <c r="A494" s="37"/>
      <c r="B494" s="40"/>
      <c r="C494" s="41"/>
      <c r="D494" s="41"/>
      <c r="E494" s="41"/>
    </row>
    <row r="495">
      <c r="A495" s="37"/>
      <c r="B495" s="40"/>
      <c r="C495" s="41"/>
      <c r="D495" s="41"/>
      <c r="E495" s="41"/>
    </row>
    <row r="496">
      <c r="A496" s="37"/>
      <c r="B496" s="40"/>
      <c r="C496" s="41"/>
      <c r="D496" s="41"/>
      <c r="E496" s="41"/>
    </row>
    <row r="497">
      <c r="A497" s="37"/>
      <c r="B497" s="40"/>
      <c r="C497" s="41"/>
      <c r="D497" s="41"/>
      <c r="E497" s="41"/>
    </row>
    <row r="498">
      <c r="A498" s="37"/>
      <c r="B498" s="40"/>
      <c r="C498" s="41"/>
      <c r="D498" s="41"/>
      <c r="E498" s="41"/>
    </row>
    <row r="499">
      <c r="A499" s="37"/>
      <c r="B499" s="40"/>
      <c r="C499" s="41"/>
      <c r="D499" s="41"/>
      <c r="E499" s="41"/>
    </row>
    <row r="500">
      <c r="A500" s="37"/>
      <c r="B500" s="40"/>
      <c r="C500" s="41"/>
      <c r="D500" s="41"/>
      <c r="E500" s="41"/>
    </row>
    <row r="501">
      <c r="A501" s="37"/>
      <c r="B501" s="40"/>
      <c r="C501" s="41"/>
      <c r="D501" s="41"/>
      <c r="E501" s="41"/>
    </row>
    <row r="502">
      <c r="A502" s="37"/>
      <c r="B502" s="40"/>
      <c r="C502" s="41"/>
      <c r="D502" s="41"/>
      <c r="E502" s="41"/>
    </row>
    <row r="503">
      <c r="A503" s="37"/>
      <c r="B503" s="40"/>
      <c r="C503" s="41"/>
      <c r="D503" s="41"/>
      <c r="E503" s="41"/>
    </row>
    <row r="504">
      <c r="A504" s="37"/>
      <c r="B504" s="40"/>
      <c r="C504" s="41"/>
      <c r="D504" s="41"/>
      <c r="E504" s="41"/>
    </row>
    <row r="505">
      <c r="A505" s="37"/>
      <c r="B505" s="40"/>
      <c r="C505" s="41"/>
      <c r="D505" s="41"/>
      <c r="E505" s="41"/>
    </row>
    <row r="506">
      <c r="A506" s="37"/>
      <c r="B506" s="40"/>
      <c r="C506" s="41"/>
      <c r="D506" s="41"/>
      <c r="E506" s="41"/>
    </row>
    <row r="507">
      <c r="A507" s="37"/>
      <c r="B507" s="40"/>
      <c r="C507" s="41"/>
      <c r="D507" s="41"/>
      <c r="E507" s="41"/>
    </row>
    <row r="508">
      <c r="A508" s="37"/>
      <c r="B508" s="40"/>
      <c r="C508" s="41"/>
      <c r="D508" s="41"/>
      <c r="E508" s="41"/>
    </row>
    <row r="509">
      <c r="A509" s="37"/>
      <c r="B509" s="40"/>
      <c r="C509" s="41"/>
      <c r="D509" s="41"/>
      <c r="E509" s="41"/>
    </row>
    <row r="510">
      <c r="A510" s="37"/>
      <c r="B510" s="40"/>
      <c r="C510" s="41"/>
      <c r="D510" s="41"/>
      <c r="E510" s="41"/>
    </row>
    <row r="511">
      <c r="A511" s="37"/>
      <c r="B511" s="40"/>
      <c r="C511" s="41"/>
      <c r="D511" s="41"/>
      <c r="E511" s="41"/>
    </row>
    <row r="512">
      <c r="A512" s="37"/>
      <c r="B512" s="40"/>
      <c r="C512" s="41"/>
      <c r="D512" s="41"/>
      <c r="E512" s="41"/>
    </row>
    <row r="513">
      <c r="A513" s="37"/>
      <c r="B513" s="40"/>
      <c r="C513" s="41"/>
      <c r="D513" s="41"/>
      <c r="E513" s="41"/>
    </row>
    <row r="514">
      <c r="A514" s="37"/>
      <c r="B514" s="40"/>
      <c r="C514" s="41"/>
      <c r="D514" s="41"/>
      <c r="E514" s="41"/>
    </row>
    <row r="515">
      <c r="A515" s="37"/>
      <c r="B515" s="40"/>
      <c r="C515" s="41"/>
      <c r="D515" s="41"/>
      <c r="E515" s="41"/>
    </row>
    <row r="516">
      <c r="A516" s="37"/>
      <c r="B516" s="40"/>
      <c r="C516" s="41"/>
      <c r="D516" s="41"/>
      <c r="E516" s="41"/>
    </row>
    <row r="517">
      <c r="A517" s="37"/>
      <c r="B517" s="40"/>
      <c r="C517" s="41"/>
      <c r="D517" s="41"/>
      <c r="E517" s="41"/>
    </row>
    <row r="518">
      <c r="A518" s="37"/>
      <c r="B518" s="40"/>
      <c r="C518" s="41"/>
      <c r="D518" s="41"/>
      <c r="E518" s="41"/>
    </row>
    <row r="519">
      <c r="A519" s="37"/>
      <c r="B519" s="40"/>
      <c r="C519" s="41"/>
      <c r="D519" s="41"/>
      <c r="E519" s="41"/>
    </row>
    <row r="520">
      <c r="A520" s="37"/>
      <c r="B520" s="40"/>
      <c r="C520" s="41"/>
      <c r="D520" s="41"/>
      <c r="E520" s="41"/>
    </row>
    <row r="521">
      <c r="A521" s="37"/>
      <c r="B521" s="40"/>
      <c r="C521" s="41"/>
      <c r="D521" s="41"/>
      <c r="E521" s="41"/>
    </row>
    <row r="522">
      <c r="A522" s="37"/>
      <c r="B522" s="40"/>
      <c r="C522" s="41"/>
      <c r="D522" s="41"/>
      <c r="E522" s="41"/>
    </row>
    <row r="523">
      <c r="A523" s="37"/>
      <c r="B523" s="40"/>
      <c r="C523" s="41"/>
      <c r="D523" s="41"/>
      <c r="E523" s="41"/>
    </row>
    <row r="524">
      <c r="A524" s="37"/>
      <c r="B524" s="40"/>
      <c r="C524" s="41"/>
      <c r="D524" s="41"/>
      <c r="E524" s="41"/>
    </row>
    <row r="525">
      <c r="A525" s="37"/>
      <c r="B525" s="40"/>
      <c r="C525" s="41"/>
      <c r="D525" s="41"/>
      <c r="E525" s="41"/>
    </row>
    <row r="526">
      <c r="A526" s="37"/>
      <c r="B526" s="40"/>
      <c r="C526" s="41"/>
      <c r="D526" s="41"/>
      <c r="E526" s="41"/>
    </row>
    <row r="527">
      <c r="A527" s="37"/>
      <c r="B527" s="40"/>
      <c r="C527" s="41"/>
      <c r="D527" s="41"/>
      <c r="E527" s="41"/>
    </row>
    <row r="528">
      <c r="A528" s="37"/>
      <c r="B528" s="40"/>
      <c r="C528" s="41"/>
      <c r="D528" s="41"/>
      <c r="E528" s="41"/>
    </row>
    <row r="529">
      <c r="A529" s="37"/>
      <c r="B529" s="40"/>
      <c r="C529" s="41"/>
      <c r="D529" s="41"/>
      <c r="E529" s="41"/>
    </row>
    <row r="530">
      <c r="A530" s="37"/>
      <c r="B530" s="40"/>
      <c r="C530" s="41"/>
      <c r="D530" s="41"/>
      <c r="E530" s="41"/>
    </row>
    <row r="531">
      <c r="A531" s="37"/>
      <c r="B531" s="40"/>
      <c r="C531" s="41"/>
      <c r="D531" s="41"/>
      <c r="E531" s="41"/>
    </row>
    <row r="532">
      <c r="A532" s="37"/>
      <c r="B532" s="40"/>
      <c r="C532" s="41"/>
      <c r="D532" s="41"/>
      <c r="E532" s="41"/>
    </row>
    <row r="533">
      <c r="A533" s="37"/>
      <c r="B533" s="40"/>
      <c r="C533" s="41"/>
      <c r="D533" s="41"/>
      <c r="E533" s="41"/>
    </row>
    <row r="534">
      <c r="A534" s="37"/>
      <c r="B534" s="40"/>
      <c r="C534" s="41"/>
      <c r="D534" s="41"/>
      <c r="E534" s="41"/>
    </row>
    <row r="535">
      <c r="A535" s="37"/>
      <c r="B535" s="40"/>
      <c r="C535" s="41"/>
      <c r="D535" s="41"/>
      <c r="E535" s="41"/>
    </row>
    <row r="536">
      <c r="A536" s="37"/>
      <c r="B536" s="40"/>
      <c r="C536" s="41"/>
      <c r="D536" s="41"/>
      <c r="E536" s="41"/>
    </row>
    <row r="537">
      <c r="A537" s="37"/>
      <c r="B537" s="40"/>
      <c r="C537" s="41"/>
      <c r="D537" s="41"/>
      <c r="E537" s="41"/>
    </row>
    <row r="538">
      <c r="A538" s="37"/>
      <c r="B538" s="40"/>
      <c r="C538" s="41"/>
      <c r="D538" s="41"/>
      <c r="E538" s="41"/>
    </row>
    <row r="539">
      <c r="A539" s="37"/>
      <c r="B539" s="40"/>
      <c r="C539" s="41"/>
      <c r="D539" s="41"/>
      <c r="E539" s="41"/>
    </row>
    <row r="540">
      <c r="A540" s="37"/>
      <c r="B540" s="40"/>
      <c r="C540" s="41"/>
      <c r="D540" s="41"/>
      <c r="E540" s="41"/>
    </row>
    <row r="541">
      <c r="A541" s="37"/>
      <c r="B541" s="40"/>
      <c r="C541" s="41"/>
      <c r="D541" s="41"/>
      <c r="E541" s="41"/>
    </row>
    <row r="542">
      <c r="A542" s="37"/>
      <c r="B542" s="40"/>
      <c r="C542" s="41"/>
      <c r="D542" s="41"/>
      <c r="E542" s="41"/>
    </row>
    <row r="543">
      <c r="A543" s="37"/>
      <c r="B543" s="40"/>
      <c r="C543" s="41"/>
      <c r="D543" s="41"/>
      <c r="E543" s="41"/>
    </row>
    <row r="544">
      <c r="A544" s="37"/>
      <c r="B544" s="40"/>
      <c r="C544" s="41"/>
      <c r="D544" s="41"/>
      <c r="E544" s="41"/>
    </row>
    <row r="545">
      <c r="A545" s="37"/>
      <c r="B545" s="40"/>
      <c r="C545" s="41"/>
      <c r="D545" s="41"/>
      <c r="E545" s="41"/>
    </row>
    <row r="546">
      <c r="A546" s="37"/>
      <c r="B546" s="40"/>
      <c r="C546" s="41"/>
      <c r="D546" s="41"/>
      <c r="E546" s="41"/>
    </row>
    <row r="547">
      <c r="A547" s="37"/>
      <c r="B547" s="40"/>
      <c r="C547" s="41"/>
      <c r="D547" s="41"/>
      <c r="E547" s="41"/>
    </row>
    <row r="548">
      <c r="A548" s="37"/>
      <c r="B548" s="40"/>
      <c r="C548" s="41"/>
      <c r="D548" s="41"/>
      <c r="E548" s="41"/>
    </row>
    <row r="549">
      <c r="A549" s="37"/>
      <c r="B549" s="40"/>
      <c r="C549" s="41"/>
      <c r="D549" s="41"/>
      <c r="E549" s="41"/>
    </row>
    <row r="550">
      <c r="A550" s="37"/>
      <c r="B550" s="40"/>
      <c r="C550" s="41"/>
      <c r="D550" s="41"/>
      <c r="E550" s="41"/>
    </row>
    <row r="551">
      <c r="A551" s="37"/>
      <c r="B551" s="40"/>
      <c r="C551" s="41"/>
      <c r="D551" s="41"/>
      <c r="E551" s="41"/>
    </row>
    <row r="552">
      <c r="A552" s="37"/>
      <c r="B552" s="40"/>
      <c r="C552" s="41"/>
      <c r="D552" s="41"/>
      <c r="E552" s="41"/>
    </row>
    <row r="553">
      <c r="A553" s="37"/>
      <c r="B553" s="40"/>
      <c r="C553" s="41"/>
      <c r="D553" s="41"/>
      <c r="E553" s="41"/>
    </row>
    <row r="554">
      <c r="A554" s="37"/>
      <c r="B554" s="40"/>
      <c r="C554" s="41"/>
      <c r="D554" s="41"/>
      <c r="E554" s="41"/>
    </row>
    <row r="555">
      <c r="A555" s="37"/>
      <c r="B555" s="40"/>
      <c r="C555" s="41"/>
      <c r="D555" s="41"/>
      <c r="E555" s="41"/>
    </row>
    <row r="556">
      <c r="A556" s="37"/>
      <c r="B556" s="40"/>
      <c r="C556" s="41"/>
      <c r="D556" s="41"/>
      <c r="E556" s="41"/>
    </row>
    <row r="557">
      <c r="A557" s="37"/>
      <c r="B557" s="40"/>
      <c r="C557" s="41"/>
      <c r="D557" s="41"/>
      <c r="E557" s="41"/>
    </row>
    <row r="558">
      <c r="A558" s="37"/>
      <c r="B558" s="40"/>
      <c r="C558" s="41"/>
      <c r="D558" s="41"/>
      <c r="E558" s="41"/>
    </row>
    <row r="559">
      <c r="A559" s="37"/>
      <c r="B559" s="40"/>
      <c r="C559" s="41"/>
      <c r="D559" s="41"/>
      <c r="E559" s="41"/>
    </row>
    <row r="560">
      <c r="A560" s="37"/>
      <c r="B560" s="40"/>
      <c r="C560" s="41"/>
      <c r="D560" s="41"/>
      <c r="E560" s="41"/>
    </row>
    <row r="561">
      <c r="A561" s="37"/>
      <c r="B561" s="40"/>
      <c r="C561" s="41"/>
      <c r="D561" s="41"/>
      <c r="E561" s="41"/>
    </row>
    <row r="562">
      <c r="A562" s="37"/>
      <c r="B562" s="40"/>
      <c r="C562" s="41"/>
      <c r="D562" s="41"/>
      <c r="E562" s="41"/>
    </row>
    <row r="563">
      <c r="A563" s="37"/>
      <c r="B563" s="40"/>
      <c r="C563" s="41"/>
      <c r="D563" s="41"/>
      <c r="E563" s="41"/>
    </row>
    <row r="564">
      <c r="A564" s="37"/>
      <c r="B564" s="40"/>
      <c r="C564" s="41"/>
      <c r="D564" s="41"/>
      <c r="E564" s="41"/>
    </row>
    <row r="565">
      <c r="A565" s="37"/>
      <c r="B565" s="40"/>
      <c r="C565" s="41"/>
      <c r="D565" s="41"/>
      <c r="E565" s="41"/>
    </row>
    <row r="566">
      <c r="A566" s="37"/>
      <c r="B566" s="40"/>
      <c r="C566" s="41"/>
      <c r="D566" s="41"/>
      <c r="E566" s="41"/>
    </row>
    <row r="567">
      <c r="A567" s="37"/>
      <c r="B567" s="40"/>
      <c r="C567" s="41"/>
      <c r="D567" s="41"/>
      <c r="E567" s="41"/>
    </row>
    <row r="568">
      <c r="A568" s="37"/>
      <c r="B568" s="40"/>
      <c r="C568" s="41"/>
      <c r="D568" s="41"/>
      <c r="E568" s="41"/>
    </row>
    <row r="569">
      <c r="A569" s="37"/>
      <c r="B569" s="40"/>
      <c r="C569" s="41"/>
      <c r="D569" s="41"/>
      <c r="E569" s="41"/>
    </row>
    <row r="570">
      <c r="A570" s="37"/>
      <c r="B570" s="40"/>
      <c r="C570" s="41"/>
      <c r="D570" s="41"/>
      <c r="E570" s="41"/>
    </row>
    <row r="571">
      <c r="A571" s="37"/>
      <c r="B571" s="40"/>
      <c r="C571" s="41"/>
      <c r="D571" s="41"/>
      <c r="E571" s="41"/>
    </row>
    <row r="572">
      <c r="A572" s="37"/>
      <c r="B572" s="40"/>
      <c r="C572" s="41"/>
      <c r="D572" s="41"/>
      <c r="E572" s="41"/>
    </row>
    <row r="573">
      <c r="A573" s="37"/>
      <c r="B573" s="40"/>
      <c r="C573" s="41"/>
      <c r="D573" s="41"/>
      <c r="E573" s="41"/>
    </row>
    <row r="574">
      <c r="A574" s="37"/>
      <c r="B574" s="40"/>
      <c r="C574" s="41"/>
      <c r="D574" s="41"/>
      <c r="E574" s="41"/>
    </row>
    <row r="575">
      <c r="A575" s="37"/>
      <c r="B575" s="40"/>
      <c r="C575" s="41"/>
      <c r="D575" s="41"/>
      <c r="E575" s="41"/>
    </row>
    <row r="576">
      <c r="A576" s="37"/>
      <c r="B576" s="40"/>
      <c r="C576" s="41"/>
      <c r="D576" s="41"/>
      <c r="E576" s="41"/>
    </row>
    <row r="577">
      <c r="A577" s="37"/>
      <c r="B577" s="40"/>
      <c r="C577" s="41"/>
      <c r="D577" s="41"/>
      <c r="E577" s="41"/>
    </row>
    <row r="578">
      <c r="A578" s="37"/>
      <c r="B578" s="40"/>
      <c r="C578" s="41"/>
      <c r="D578" s="41"/>
      <c r="E578" s="41"/>
    </row>
    <row r="579">
      <c r="A579" s="37"/>
      <c r="B579" s="40"/>
      <c r="C579" s="41"/>
      <c r="D579" s="41"/>
      <c r="E579" s="41"/>
    </row>
    <row r="580">
      <c r="A580" s="37"/>
      <c r="B580" s="40"/>
      <c r="C580" s="41"/>
      <c r="D580" s="41"/>
      <c r="E580" s="41"/>
    </row>
    <row r="581">
      <c r="A581" s="37"/>
      <c r="B581" s="40"/>
      <c r="C581" s="41"/>
      <c r="D581" s="41"/>
      <c r="E581" s="41"/>
    </row>
    <row r="582">
      <c r="A582" s="37"/>
      <c r="B582" s="40"/>
      <c r="C582" s="41"/>
      <c r="D582" s="41"/>
      <c r="E582" s="41"/>
    </row>
    <row r="583">
      <c r="A583" s="37"/>
      <c r="B583" s="40"/>
      <c r="C583" s="41"/>
      <c r="D583" s="41"/>
      <c r="E583" s="41"/>
    </row>
    <row r="584">
      <c r="A584" s="37"/>
      <c r="B584" s="40"/>
      <c r="C584" s="41"/>
      <c r="D584" s="41"/>
      <c r="E584" s="41"/>
    </row>
    <row r="585">
      <c r="A585" s="37"/>
      <c r="B585" s="40"/>
      <c r="C585" s="41"/>
      <c r="D585" s="41"/>
      <c r="E585" s="41"/>
    </row>
    <row r="586">
      <c r="A586" s="37"/>
      <c r="B586" s="40"/>
      <c r="C586" s="41"/>
      <c r="D586" s="41"/>
      <c r="E586" s="41"/>
    </row>
    <row r="587">
      <c r="A587" s="37"/>
      <c r="B587" s="40"/>
      <c r="C587" s="41"/>
      <c r="D587" s="41"/>
      <c r="E587" s="41"/>
    </row>
    <row r="588">
      <c r="A588" s="37"/>
      <c r="B588" s="40"/>
      <c r="C588" s="41"/>
      <c r="D588" s="41"/>
      <c r="E588" s="41"/>
    </row>
    <row r="589">
      <c r="A589" s="37"/>
      <c r="B589" s="40"/>
      <c r="C589" s="41"/>
      <c r="D589" s="41"/>
      <c r="E589" s="41"/>
    </row>
    <row r="590">
      <c r="A590" s="37"/>
      <c r="B590" s="40"/>
      <c r="C590" s="41"/>
      <c r="D590" s="41"/>
      <c r="E590" s="41"/>
    </row>
    <row r="591">
      <c r="A591" s="37"/>
      <c r="B591" s="40"/>
      <c r="C591" s="41"/>
      <c r="D591" s="41"/>
      <c r="E591" s="41"/>
    </row>
    <row r="592">
      <c r="A592" s="37"/>
      <c r="B592" s="40"/>
      <c r="C592" s="41"/>
      <c r="D592" s="41"/>
      <c r="E592" s="41"/>
    </row>
    <row r="593">
      <c r="A593" s="37"/>
      <c r="B593" s="40"/>
      <c r="C593" s="41"/>
      <c r="D593" s="41"/>
      <c r="E593" s="41"/>
    </row>
    <row r="594">
      <c r="A594" s="37"/>
      <c r="B594" s="40"/>
      <c r="C594" s="41"/>
      <c r="D594" s="41"/>
      <c r="E594" s="41"/>
    </row>
    <row r="595">
      <c r="A595" s="37"/>
      <c r="B595" s="40"/>
      <c r="C595" s="41"/>
      <c r="D595" s="41"/>
      <c r="E595" s="41"/>
    </row>
    <row r="596">
      <c r="A596" s="37"/>
      <c r="B596" s="40"/>
      <c r="C596" s="41"/>
      <c r="D596" s="41"/>
      <c r="E596" s="41"/>
    </row>
    <row r="597">
      <c r="A597" s="37"/>
      <c r="B597" s="40"/>
      <c r="C597" s="41"/>
      <c r="D597" s="41"/>
      <c r="E597" s="41"/>
    </row>
    <row r="598">
      <c r="A598" s="37"/>
      <c r="B598" s="40"/>
      <c r="C598" s="41"/>
      <c r="D598" s="41"/>
      <c r="E598" s="41"/>
    </row>
    <row r="599">
      <c r="A599" s="37"/>
      <c r="B599" s="40"/>
      <c r="C599" s="41"/>
      <c r="D599" s="41"/>
      <c r="E599" s="41"/>
    </row>
    <row r="600">
      <c r="A600" s="37"/>
      <c r="B600" s="40"/>
      <c r="C600" s="41"/>
      <c r="D600" s="41"/>
      <c r="E600" s="41"/>
    </row>
    <row r="601">
      <c r="A601" s="37"/>
      <c r="B601" s="40"/>
      <c r="C601" s="41"/>
      <c r="D601" s="41"/>
      <c r="E601" s="41"/>
    </row>
    <row r="602">
      <c r="A602" s="37"/>
      <c r="B602" s="40"/>
      <c r="C602" s="41"/>
      <c r="D602" s="41"/>
      <c r="E602" s="41"/>
    </row>
    <row r="603">
      <c r="A603" s="37"/>
      <c r="B603" s="40"/>
      <c r="C603" s="41"/>
      <c r="D603" s="41"/>
      <c r="E603" s="41"/>
    </row>
    <row r="604">
      <c r="A604" s="37"/>
      <c r="B604" s="40"/>
      <c r="C604" s="41"/>
      <c r="D604" s="41"/>
      <c r="E604" s="41"/>
    </row>
    <row r="605">
      <c r="A605" s="37"/>
      <c r="B605" s="40"/>
      <c r="C605" s="41"/>
      <c r="D605" s="41"/>
      <c r="E605" s="41"/>
    </row>
    <row r="606">
      <c r="A606" s="37"/>
      <c r="B606" s="40"/>
      <c r="C606" s="41"/>
      <c r="D606" s="41"/>
      <c r="E606" s="41"/>
    </row>
    <row r="607">
      <c r="A607" s="37"/>
      <c r="B607" s="40"/>
      <c r="C607" s="41"/>
      <c r="D607" s="41"/>
      <c r="E607" s="41"/>
    </row>
    <row r="608">
      <c r="A608" s="37"/>
      <c r="B608" s="40"/>
      <c r="C608" s="41"/>
      <c r="D608" s="41"/>
      <c r="E608" s="41"/>
    </row>
    <row r="609">
      <c r="A609" s="37"/>
      <c r="B609" s="40"/>
      <c r="C609" s="41"/>
      <c r="D609" s="41"/>
      <c r="E609" s="41"/>
    </row>
    <row r="610">
      <c r="A610" s="37"/>
      <c r="B610" s="40"/>
      <c r="C610" s="41"/>
      <c r="D610" s="41"/>
      <c r="E610" s="41"/>
    </row>
    <row r="611">
      <c r="A611" s="37"/>
      <c r="B611" s="40"/>
      <c r="C611" s="41"/>
      <c r="D611" s="41"/>
      <c r="E611" s="41"/>
    </row>
    <row r="612">
      <c r="A612" s="37"/>
      <c r="B612" s="40"/>
      <c r="C612" s="41"/>
      <c r="D612" s="41"/>
      <c r="E612" s="41"/>
    </row>
    <row r="613">
      <c r="A613" s="37"/>
      <c r="B613" s="40"/>
      <c r="C613" s="41"/>
      <c r="D613" s="41"/>
      <c r="E613" s="41"/>
    </row>
    <row r="614">
      <c r="A614" s="37"/>
      <c r="B614" s="40"/>
      <c r="C614" s="41"/>
      <c r="D614" s="41"/>
      <c r="E614" s="41"/>
    </row>
    <row r="615">
      <c r="A615" s="37"/>
      <c r="B615" s="40"/>
      <c r="C615" s="41"/>
      <c r="D615" s="41"/>
      <c r="E615" s="41"/>
    </row>
    <row r="616">
      <c r="A616" s="37"/>
      <c r="B616" s="40"/>
      <c r="C616" s="41"/>
      <c r="D616" s="41"/>
      <c r="E616" s="41"/>
    </row>
    <row r="617">
      <c r="A617" s="37"/>
      <c r="B617" s="40"/>
      <c r="C617" s="41"/>
      <c r="D617" s="41"/>
      <c r="E617" s="41"/>
    </row>
    <row r="618">
      <c r="A618" s="37"/>
      <c r="B618" s="40"/>
      <c r="C618" s="41"/>
      <c r="D618" s="41"/>
      <c r="E618" s="41"/>
    </row>
    <row r="619">
      <c r="A619" s="37"/>
      <c r="B619" s="40"/>
      <c r="C619" s="41"/>
      <c r="D619" s="41"/>
      <c r="E619" s="41"/>
    </row>
    <row r="620">
      <c r="A620" s="37"/>
      <c r="B620" s="40"/>
      <c r="C620" s="41"/>
      <c r="D620" s="41"/>
      <c r="E620" s="41"/>
    </row>
    <row r="621">
      <c r="A621" s="37"/>
      <c r="B621" s="40"/>
      <c r="C621" s="41"/>
      <c r="D621" s="41"/>
      <c r="E621" s="41"/>
    </row>
    <row r="622">
      <c r="A622" s="37"/>
      <c r="B622" s="40"/>
      <c r="C622" s="41"/>
      <c r="D622" s="41"/>
      <c r="E622" s="41"/>
    </row>
    <row r="623">
      <c r="A623" s="37"/>
      <c r="B623" s="40"/>
      <c r="C623" s="41"/>
      <c r="D623" s="41"/>
      <c r="E623" s="41"/>
    </row>
    <row r="624">
      <c r="A624" s="37"/>
      <c r="B624" s="40"/>
      <c r="C624" s="41"/>
      <c r="D624" s="41"/>
      <c r="E624" s="41"/>
    </row>
    <row r="625">
      <c r="A625" s="37"/>
      <c r="B625" s="40"/>
      <c r="C625" s="41"/>
      <c r="D625" s="41"/>
      <c r="E625" s="41"/>
    </row>
    <row r="626">
      <c r="A626" s="37"/>
      <c r="B626" s="40"/>
      <c r="C626" s="41"/>
      <c r="D626" s="41"/>
      <c r="E626" s="41"/>
    </row>
    <row r="627">
      <c r="A627" s="37"/>
      <c r="B627" s="40"/>
      <c r="C627" s="41"/>
      <c r="D627" s="41"/>
      <c r="E627" s="41"/>
    </row>
    <row r="628">
      <c r="A628" s="37"/>
      <c r="B628" s="40"/>
      <c r="C628" s="41"/>
      <c r="D628" s="41"/>
      <c r="E628" s="41"/>
    </row>
    <row r="629">
      <c r="A629" s="37"/>
      <c r="B629" s="40"/>
      <c r="C629" s="41"/>
      <c r="D629" s="41"/>
      <c r="E629" s="41"/>
    </row>
    <row r="630">
      <c r="A630" s="37"/>
      <c r="B630" s="40"/>
      <c r="C630" s="41"/>
      <c r="D630" s="41"/>
      <c r="E630" s="41"/>
    </row>
    <row r="631">
      <c r="A631" s="37"/>
      <c r="B631" s="40"/>
      <c r="C631" s="41"/>
      <c r="D631" s="41"/>
      <c r="E631" s="41"/>
    </row>
    <row r="632">
      <c r="A632" s="37"/>
      <c r="B632" s="40"/>
      <c r="C632" s="41"/>
      <c r="D632" s="41"/>
      <c r="E632" s="41"/>
    </row>
    <row r="633">
      <c r="A633" s="37"/>
      <c r="B633" s="40"/>
      <c r="C633" s="41"/>
      <c r="D633" s="41"/>
      <c r="E633" s="41"/>
    </row>
    <row r="634">
      <c r="A634" s="37"/>
      <c r="B634" s="40"/>
      <c r="C634" s="41"/>
      <c r="D634" s="41"/>
      <c r="E634" s="41"/>
    </row>
    <row r="635">
      <c r="A635" s="37"/>
      <c r="B635" s="40"/>
      <c r="C635" s="41"/>
      <c r="D635" s="41"/>
      <c r="E635" s="41"/>
    </row>
    <row r="636">
      <c r="A636" s="37"/>
      <c r="B636" s="40"/>
      <c r="C636" s="41"/>
      <c r="D636" s="41"/>
      <c r="E636" s="41"/>
    </row>
    <row r="637">
      <c r="A637" s="37"/>
      <c r="B637" s="40"/>
      <c r="C637" s="41"/>
      <c r="D637" s="41"/>
      <c r="E637" s="41"/>
    </row>
    <row r="638">
      <c r="A638" s="37"/>
      <c r="B638" s="40"/>
      <c r="C638" s="41"/>
      <c r="D638" s="41"/>
      <c r="E638" s="41"/>
    </row>
    <row r="639">
      <c r="A639" s="37"/>
      <c r="B639" s="40"/>
      <c r="C639" s="41"/>
      <c r="D639" s="41"/>
      <c r="E639" s="41"/>
    </row>
    <row r="640">
      <c r="A640" s="37"/>
      <c r="B640" s="40"/>
      <c r="C640" s="41"/>
      <c r="D640" s="41"/>
      <c r="E640" s="41"/>
    </row>
    <row r="641">
      <c r="A641" s="37"/>
      <c r="B641" s="40"/>
      <c r="C641" s="41"/>
      <c r="D641" s="41"/>
      <c r="E641" s="41"/>
    </row>
    <row r="642">
      <c r="A642" s="37"/>
      <c r="B642" s="40"/>
      <c r="C642" s="41"/>
      <c r="D642" s="41"/>
      <c r="E642" s="41"/>
    </row>
    <row r="643">
      <c r="A643" s="37"/>
      <c r="B643" s="40"/>
      <c r="C643" s="41"/>
      <c r="D643" s="41"/>
      <c r="E643" s="41"/>
    </row>
    <row r="644">
      <c r="A644" s="37"/>
      <c r="B644" s="40"/>
      <c r="C644" s="41"/>
      <c r="D644" s="41"/>
      <c r="E644" s="41"/>
    </row>
    <row r="645">
      <c r="A645" s="37"/>
      <c r="B645" s="40"/>
      <c r="C645" s="41"/>
      <c r="D645" s="41"/>
      <c r="E645" s="41"/>
    </row>
    <row r="646">
      <c r="A646" s="37"/>
      <c r="B646" s="40"/>
      <c r="C646" s="41"/>
      <c r="D646" s="41"/>
      <c r="E646" s="41"/>
    </row>
    <row r="647">
      <c r="A647" s="37"/>
      <c r="B647" s="40"/>
      <c r="C647" s="41"/>
      <c r="D647" s="41"/>
      <c r="E647" s="41"/>
    </row>
    <row r="648">
      <c r="A648" s="37"/>
      <c r="B648" s="40"/>
      <c r="C648" s="41"/>
      <c r="D648" s="41"/>
      <c r="E648" s="41"/>
    </row>
    <row r="649">
      <c r="A649" s="37"/>
      <c r="B649" s="40"/>
      <c r="C649" s="41"/>
      <c r="D649" s="41"/>
      <c r="E649" s="41"/>
    </row>
    <row r="650">
      <c r="A650" s="37"/>
      <c r="B650" s="40"/>
      <c r="C650" s="41"/>
      <c r="D650" s="41"/>
      <c r="E650" s="41"/>
    </row>
    <row r="651">
      <c r="A651" s="37"/>
      <c r="B651" s="40"/>
      <c r="C651" s="41"/>
      <c r="D651" s="41"/>
      <c r="E651" s="41"/>
    </row>
    <row r="652">
      <c r="A652" s="37"/>
      <c r="B652" s="40"/>
      <c r="C652" s="41"/>
      <c r="D652" s="41"/>
      <c r="E652" s="41"/>
    </row>
    <row r="653">
      <c r="A653" s="37"/>
      <c r="B653" s="40"/>
      <c r="C653" s="41"/>
      <c r="D653" s="41"/>
      <c r="E653" s="41"/>
    </row>
    <row r="654">
      <c r="A654" s="37"/>
      <c r="B654" s="40"/>
      <c r="C654" s="41"/>
      <c r="D654" s="41"/>
      <c r="E654" s="41"/>
    </row>
    <row r="655">
      <c r="A655" s="37"/>
      <c r="B655" s="40"/>
      <c r="C655" s="41"/>
      <c r="D655" s="41"/>
      <c r="E655" s="41"/>
    </row>
    <row r="656">
      <c r="A656" s="37"/>
      <c r="B656" s="40"/>
      <c r="C656" s="41"/>
      <c r="D656" s="41"/>
      <c r="E656" s="41"/>
    </row>
    <row r="657">
      <c r="A657" s="37"/>
      <c r="B657" s="40"/>
      <c r="C657" s="41"/>
      <c r="D657" s="41"/>
      <c r="E657" s="41"/>
    </row>
    <row r="658">
      <c r="A658" s="37"/>
      <c r="B658" s="40"/>
      <c r="C658" s="41"/>
      <c r="D658" s="41"/>
      <c r="E658" s="41"/>
    </row>
    <row r="659">
      <c r="A659" s="37"/>
      <c r="B659" s="40"/>
      <c r="C659" s="41"/>
      <c r="D659" s="41"/>
      <c r="E659" s="41"/>
    </row>
    <row r="660">
      <c r="A660" s="37"/>
      <c r="B660" s="40"/>
      <c r="C660" s="41"/>
      <c r="D660" s="41"/>
      <c r="E660" s="41"/>
    </row>
    <row r="661">
      <c r="A661" s="37"/>
      <c r="B661" s="40"/>
      <c r="C661" s="41"/>
      <c r="D661" s="41"/>
      <c r="E661" s="41"/>
    </row>
    <row r="662">
      <c r="A662" s="37"/>
      <c r="B662" s="40"/>
      <c r="C662" s="41"/>
      <c r="D662" s="41"/>
      <c r="E662" s="41"/>
    </row>
    <row r="663">
      <c r="A663" s="37"/>
      <c r="B663" s="40"/>
      <c r="C663" s="41"/>
      <c r="D663" s="41"/>
      <c r="E663" s="41"/>
    </row>
    <row r="664">
      <c r="A664" s="37"/>
      <c r="B664" s="40"/>
      <c r="C664" s="41"/>
      <c r="D664" s="41"/>
      <c r="E664" s="41"/>
    </row>
    <row r="665">
      <c r="A665" s="37"/>
      <c r="B665" s="40"/>
      <c r="C665" s="41"/>
      <c r="D665" s="41"/>
      <c r="E665" s="41"/>
    </row>
    <row r="666">
      <c r="A666" s="37"/>
      <c r="B666" s="40"/>
      <c r="C666" s="41"/>
      <c r="D666" s="41"/>
      <c r="E666" s="41"/>
    </row>
    <row r="667">
      <c r="A667" s="37"/>
      <c r="B667" s="40"/>
      <c r="C667" s="41"/>
      <c r="D667" s="41"/>
      <c r="E667" s="41"/>
    </row>
    <row r="668">
      <c r="A668" s="37"/>
      <c r="B668" s="40"/>
      <c r="C668" s="41"/>
      <c r="D668" s="41"/>
      <c r="E668" s="41"/>
    </row>
    <row r="669">
      <c r="A669" s="37"/>
      <c r="B669" s="40"/>
      <c r="C669" s="41"/>
      <c r="D669" s="41"/>
      <c r="E669" s="41"/>
    </row>
    <row r="670">
      <c r="A670" s="37"/>
      <c r="B670" s="40"/>
      <c r="C670" s="41"/>
      <c r="D670" s="41"/>
      <c r="E670" s="41"/>
    </row>
    <row r="671">
      <c r="A671" s="37"/>
      <c r="B671" s="40"/>
      <c r="C671" s="41"/>
      <c r="D671" s="41"/>
      <c r="E671" s="41"/>
    </row>
    <row r="672">
      <c r="A672" s="37"/>
      <c r="B672" s="40"/>
      <c r="C672" s="41"/>
      <c r="D672" s="41"/>
      <c r="E672" s="41"/>
    </row>
    <row r="673">
      <c r="A673" s="37"/>
      <c r="B673" s="40"/>
      <c r="C673" s="41"/>
      <c r="D673" s="41"/>
      <c r="E673" s="41"/>
    </row>
    <row r="674">
      <c r="A674" s="37"/>
      <c r="B674" s="40"/>
      <c r="C674" s="41"/>
      <c r="D674" s="41"/>
      <c r="E674" s="41"/>
    </row>
    <row r="675">
      <c r="A675" s="37"/>
      <c r="B675" s="40"/>
      <c r="C675" s="41"/>
      <c r="D675" s="41"/>
      <c r="E675" s="41"/>
    </row>
    <row r="676">
      <c r="A676" s="37"/>
      <c r="B676" s="40"/>
      <c r="C676" s="41"/>
      <c r="D676" s="41"/>
      <c r="E676" s="41"/>
    </row>
    <row r="677">
      <c r="A677" s="37"/>
      <c r="B677" s="40"/>
      <c r="C677" s="41"/>
      <c r="D677" s="41"/>
      <c r="E677" s="41"/>
    </row>
    <row r="678">
      <c r="A678" s="37"/>
      <c r="B678" s="40"/>
      <c r="C678" s="41"/>
      <c r="D678" s="41"/>
      <c r="E678" s="41"/>
    </row>
    <row r="679">
      <c r="A679" s="37"/>
      <c r="B679" s="40"/>
      <c r="C679" s="41"/>
      <c r="D679" s="41"/>
      <c r="E679" s="41"/>
    </row>
    <row r="680">
      <c r="A680" s="37"/>
      <c r="B680" s="40"/>
      <c r="C680" s="41"/>
      <c r="D680" s="41"/>
      <c r="E680" s="41"/>
    </row>
    <row r="681">
      <c r="A681" s="37"/>
      <c r="B681" s="40"/>
      <c r="C681" s="41"/>
      <c r="D681" s="41"/>
      <c r="E681" s="41"/>
    </row>
    <row r="682">
      <c r="A682" s="37"/>
      <c r="B682" s="40"/>
      <c r="C682" s="41"/>
      <c r="D682" s="41"/>
      <c r="E682" s="41"/>
    </row>
    <row r="683">
      <c r="A683" s="37"/>
      <c r="B683" s="40"/>
      <c r="C683" s="41"/>
      <c r="D683" s="41"/>
      <c r="E683" s="41"/>
    </row>
    <row r="684">
      <c r="A684" s="37"/>
      <c r="B684" s="40"/>
      <c r="C684" s="41"/>
      <c r="D684" s="41"/>
      <c r="E684" s="41"/>
    </row>
    <row r="685">
      <c r="A685" s="37"/>
      <c r="B685" s="40"/>
      <c r="C685" s="41"/>
      <c r="D685" s="41"/>
      <c r="E685" s="41"/>
    </row>
    <row r="686">
      <c r="A686" s="37"/>
      <c r="B686" s="40"/>
      <c r="C686" s="41"/>
      <c r="D686" s="41"/>
      <c r="E686" s="41"/>
    </row>
    <row r="687">
      <c r="A687" s="37"/>
      <c r="B687" s="40"/>
      <c r="C687" s="41"/>
      <c r="D687" s="41"/>
      <c r="E687" s="41"/>
    </row>
    <row r="688">
      <c r="A688" s="37"/>
      <c r="B688" s="40"/>
      <c r="C688" s="41"/>
      <c r="D688" s="41"/>
      <c r="E688" s="41"/>
    </row>
    <row r="689">
      <c r="A689" s="37"/>
      <c r="B689" s="40"/>
      <c r="C689" s="41"/>
      <c r="D689" s="41"/>
      <c r="E689" s="41"/>
    </row>
    <row r="690">
      <c r="A690" s="37"/>
      <c r="B690" s="40"/>
      <c r="C690" s="41"/>
      <c r="D690" s="41"/>
      <c r="E690" s="41"/>
    </row>
    <row r="691">
      <c r="A691" s="37"/>
      <c r="B691" s="40"/>
      <c r="C691" s="41"/>
      <c r="D691" s="41"/>
      <c r="E691" s="41"/>
    </row>
    <row r="692">
      <c r="A692" s="37"/>
      <c r="B692" s="40"/>
      <c r="C692" s="41"/>
      <c r="D692" s="41"/>
      <c r="E692" s="41"/>
    </row>
    <row r="693">
      <c r="A693" s="37"/>
      <c r="B693" s="40"/>
      <c r="C693" s="41"/>
      <c r="D693" s="41"/>
      <c r="E693" s="41"/>
    </row>
    <row r="694">
      <c r="A694" s="37"/>
      <c r="B694" s="40"/>
      <c r="C694" s="41"/>
      <c r="D694" s="41"/>
      <c r="E694" s="41"/>
    </row>
    <row r="695">
      <c r="A695" s="37"/>
      <c r="B695" s="40"/>
      <c r="C695" s="41"/>
      <c r="D695" s="41"/>
      <c r="E695" s="41"/>
    </row>
    <row r="696">
      <c r="A696" s="37"/>
      <c r="B696" s="40"/>
      <c r="C696" s="41"/>
      <c r="D696" s="41"/>
      <c r="E696" s="41"/>
    </row>
    <row r="697">
      <c r="A697" s="37"/>
      <c r="B697" s="40"/>
      <c r="C697" s="41"/>
      <c r="D697" s="41"/>
      <c r="E697" s="41"/>
    </row>
    <row r="698">
      <c r="A698" s="37"/>
      <c r="B698" s="40"/>
      <c r="C698" s="41"/>
      <c r="D698" s="41"/>
      <c r="E698" s="41"/>
    </row>
    <row r="699">
      <c r="A699" s="37"/>
      <c r="B699" s="40"/>
      <c r="C699" s="41"/>
      <c r="D699" s="41"/>
      <c r="E699" s="41"/>
    </row>
    <row r="700">
      <c r="A700" s="37"/>
      <c r="B700" s="40"/>
      <c r="C700" s="41"/>
      <c r="D700" s="41"/>
      <c r="E700" s="41"/>
    </row>
    <row r="701">
      <c r="A701" s="37"/>
      <c r="B701" s="40"/>
      <c r="C701" s="41"/>
      <c r="D701" s="41"/>
      <c r="E701" s="41"/>
    </row>
    <row r="702">
      <c r="A702" s="37"/>
      <c r="B702" s="40"/>
      <c r="C702" s="41"/>
      <c r="D702" s="41"/>
      <c r="E702" s="41"/>
    </row>
    <row r="703">
      <c r="A703" s="37"/>
      <c r="B703" s="40"/>
      <c r="C703" s="41"/>
      <c r="D703" s="41"/>
      <c r="E703" s="41"/>
    </row>
    <row r="704">
      <c r="A704" s="37"/>
      <c r="B704" s="40"/>
      <c r="C704" s="41"/>
      <c r="D704" s="41"/>
      <c r="E704" s="41"/>
    </row>
    <row r="705">
      <c r="A705" s="37"/>
      <c r="B705" s="40"/>
      <c r="C705" s="41"/>
      <c r="D705" s="41"/>
      <c r="E705" s="41"/>
    </row>
    <row r="706">
      <c r="A706" s="37"/>
      <c r="B706" s="40"/>
      <c r="C706" s="41"/>
      <c r="D706" s="41"/>
      <c r="E706" s="41"/>
    </row>
    <row r="707">
      <c r="A707" s="37"/>
      <c r="B707" s="40"/>
      <c r="C707" s="41"/>
      <c r="D707" s="41"/>
      <c r="E707" s="41"/>
    </row>
    <row r="708">
      <c r="A708" s="37"/>
      <c r="B708" s="40"/>
      <c r="C708" s="41"/>
      <c r="D708" s="41"/>
      <c r="E708" s="41"/>
    </row>
    <row r="709">
      <c r="A709" s="37"/>
      <c r="B709" s="40"/>
      <c r="C709" s="41"/>
      <c r="D709" s="41"/>
      <c r="E709" s="41"/>
    </row>
    <row r="710">
      <c r="A710" s="37"/>
      <c r="B710" s="40"/>
      <c r="C710" s="41"/>
      <c r="D710" s="41"/>
      <c r="E710" s="41"/>
    </row>
    <row r="711">
      <c r="A711" s="37"/>
      <c r="B711" s="40"/>
      <c r="C711" s="41"/>
      <c r="D711" s="41"/>
      <c r="E711" s="41"/>
    </row>
    <row r="712">
      <c r="A712" s="37"/>
      <c r="B712" s="40"/>
      <c r="C712" s="41"/>
      <c r="D712" s="41"/>
      <c r="E712" s="41"/>
    </row>
    <row r="713">
      <c r="A713" s="37"/>
      <c r="B713" s="40"/>
      <c r="C713" s="41"/>
      <c r="D713" s="41"/>
      <c r="E713" s="41"/>
    </row>
    <row r="714">
      <c r="A714" s="37"/>
      <c r="B714" s="40"/>
      <c r="C714" s="41"/>
      <c r="D714" s="41"/>
      <c r="E714" s="41"/>
    </row>
    <row r="715">
      <c r="A715" s="37"/>
      <c r="B715" s="40"/>
      <c r="C715" s="41"/>
      <c r="D715" s="41"/>
      <c r="E715" s="41"/>
    </row>
    <row r="716">
      <c r="A716" s="37"/>
      <c r="B716" s="40"/>
      <c r="C716" s="41"/>
      <c r="D716" s="41"/>
      <c r="E716" s="41"/>
    </row>
    <row r="717">
      <c r="A717" s="37"/>
      <c r="B717" s="40"/>
      <c r="C717" s="41"/>
      <c r="D717" s="41"/>
      <c r="E717" s="41"/>
    </row>
    <row r="718">
      <c r="A718" s="37"/>
      <c r="B718" s="40"/>
      <c r="C718" s="41"/>
      <c r="D718" s="41"/>
      <c r="E718" s="41"/>
    </row>
    <row r="719">
      <c r="A719" s="37"/>
      <c r="B719" s="40"/>
      <c r="C719" s="41"/>
      <c r="D719" s="41"/>
      <c r="E719" s="41"/>
    </row>
    <row r="720">
      <c r="A720" s="37"/>
      <c r="B720" s="40"/>
      <c r="C720" s="41"/>
      <c r="D720" s="41"/>
      <c r="E720" s="41"/>
    </row>
    <row r="721">
      <c r="A721" s="37"/>
      <c r="B721" s="40"/>
      <c r="C721" s="41"/>
      <c r="D721" s="41"/>
      <c r="E721" s="41"/>
    </row>
    <row r="722">
      <c r="A722" s="37"/>
      <c r="B722" s="40"/>
      <c r="C722" s="41"/>
      <c r="D722" s="41"/>
      <c r="E722" s="41"/>
    </row>
    <row r="723">
      <c r="A723" s="37"/>
      <c r="B723" s="40"/>
      <c r="C723" s="41"/>
      <c r="D723" s="41"/>
      <c r="E723" s="41"/>
    </row>
    <row r="724">
      <c r="A724" s="37"/>
      <c r="B724" s="40"/>
      <c r="C724" s="41"/>
      <c r="D724" s="41"/>
      <c r="E724" s="41"/>
    </row>
    <row r="725">
      <c r="A725" s="37"/>
      <c r="B725" s="40"/>
      <c r="C725" s="41"/>
      <c r="D725" s="41"/>
      <c r="E725" s="41"/>
    </row>
    <row r="726">
      <c r="A726" s="37"/>
      <c r="B726" s="40"/>
      <c r="C726" s="41"/>
      <c r="D726" s="41"/>
      <c r="E726" s="41"/>
    </row>
    <row r="727">
      <c r="A727" s="37"/>
      <c r="B727" s="40"/>
      <c r="C727" s="41"/>
      <c r="D727" s="41"/>
      <c r="E727" s="41"/>
    </row>
    <row r="728">
      <c r="A728" s="37"/>
      <c r="B728" s="40"/>
      <c r="C728" s="41"/>
      <c r="D728" s="41"/>
      <c r="E728" s="41"/>
    </row>
    <row r="729">
      <c r="A729" s="37"/>
      <c r="B729" s="40"/>
      <c r="C729" s="41"/>
      <c r="D729" s="41"/>
      <c r="E729" s="41"/>
    </row>
    <row r="730">
      <c r="A730" s="37"/>
      <c r="B730" s="40"/>
      <c r="C730" s="41"/>
      <c r="D730" s="41"/>
      <c r="E730" s="41"/>
    </row>
    <row r="731">
      <c r="A731" s="37"/>
      <c r="B731" s="40"/>
      <c r="C731" s="41"/>
      <c r="D731" s="41"/>
      <c r="E731" s="41"/>
    </row>
    <row r="732">
      <c r="A732" s="37"/>
      <c r="B732" s="40"/>
      <c r="C732" s="41"/>
      <c r="D732" s="41"/>
      <c r="E732" s="41"/>
    </row>
    <row r="733">
      <c r="A733" s="37"/>
      <c r="B733" s="40"/>
      <c r="C733" s="41"/>
      <c r="D733" s="41"/>
      <c r="E733" s="41"/>
    </row>
    <row r="734">
      <c r="A734" s="37"/>
      <c r="B734" s="40"/>
      <c r="C734" s="41"/>
      <c r="D734" s="41"/>
      <c r="E734" s="41"/>
    </row>
    <row r="735">
      <c r="A735" s="37"/>
      <c r="B735" s="40"/>
      <c r="C735" s="41"/>
      <c r="D735" s="41"/>
      <c r="E735" s="41"/>
    </row>
    <row r="736">
      <c r="A736" s="37"/>
      <c r="B736" s="40"/>
      <c r="C736" s="41"/>
      <c r="D736" s="41"/>
      <c r="E736" s="41"/>
    </row>
    <row r="737">
      <c r="A737" s="37"/>
      <c r="B737" s="40"/>
      <c r="C737" s="41"/>
      <c r="D737" s="41"/>
      <c r="E737" s="41"/>
    </row>
    <row r="738">
      <c r="A738" s="37"/>
      <c r="B738" s="40"/>
      <c r="C738" s="41"/>
      <c r="D738" s="41"/>
      <c r="E738" s="41"/>
    </row>
    <row r="739">
      <c r="A739" s="37"/>
      <c r="B739" s="40"/>
      <c r="C739" s="41"/>
      <c r="D739" s="41"/>
      <c r="E739" s="41"/>
    </row>
    <row r="740">
      <c r="A740" s="37"/>
      <c r="B740" s="40"/>
      <c r="C740" s="41"/>
      <c r="D740" s="41"/>
      <c r="E740" s="41"/>
    </row>
    <row r="741">
      <c r="A741" s="37"/>
      <c r="B741" s="40"/>
      <c r="C741" s="41"/>
      <c r="D741" s="41"/>
      <c r="E741" s="41"/>
    </row>
    <row r="742">
      <c r="A742" s="37"/>
      <c r="B742" s="40"/>
      <c r="C742" s="41"/>
      <c r="D742" s="41"/>
      <c r="E742" s="41"/>
    </row>
    <row r="743">
      <c r="A743" s="37"/>
      <c r="B743" s="40"/>
      <c r="C743" s="41"/>
      <c r="D743" s="41"/>
      <c r="E743" s="41"/>
    </row>
    <row r="744">
      <c r="A744" s="37"/>
      <c r="B744" s="40"/>
      <c r="C744" s="41"/>
      <c r="D744" s="41"/>
      <c r="E744" s="41"/>
    </row>
    <row r="745">
      <c r="A745" s="37"/>
      <c r="B745" s="40"/>
      <c r="C745" s="41"/>
      <c r="D745" s="41"/>
      <c r="E745" s="41"/>
    </row>
    <row r="746">
      <c r="A746" s="37"/>
      <c r="B746" s="40"/>
      <c r="C746" s="41"/>
      <c r="D746" s="41"/>
      <c r="E746" s="41"/>
    </row>
    <row r="747">
      <c r="A747" s="37"/>
      <c r="B747" s="40"/>
      <c r="C747" s="41"/>
      <c r="D747" s="41"/>
      <c r="E747" s="41"/>
    </row>
    <row r="748">
      <c r="A748" s="37"/>
      <c r="B748" s="40"/>
      <c r="C748" s="41"/>
      <c r="D748" s="41"/>
      <c r="E748" s="41"/>
    </row>
    <row r="749">
      <c r="A749" s="37"/>
      <c r="B749" s="40"/>
      <c r="C749" s="41"/>
      <c r="D749" s="41"/>
      <c r="E749" s="41"/>
    </row>
    <row r="750">
      <c r="A750" s="37"/>
      <c r="B750" s="40"/>
      <c r="C750" s="41"/>
      <c r="D750" s="41"/>
      <c r="E750" s="41"/>
    </row>
    <row r="751">
      <c r="A751" s="37"/>
      <c r="B751" s="40"/>
      <c r="C751" s="41"/>
      <c r="D751" s="41"/>
      <c r="E751" s="41"/>
    </row>
    <row r="752">
      <c r="A752" s="37"/>
      <c r="B752" s="40"/>
      <c r="C752" s="41"/>
      <c r="D752" s="41"/>
      <c r="E752" s="41"/>
    </row>
    <row r="753">
      <c r="A753" s="37"/>
      <c r="B753" s="40"/>
      <c r="C753" s="41"/>
      <c r="D753" s="41"/>
      <c r="E753" s="41"/>
    </row>
    <row r="754">
      <c r="A754" s="37"/>
      <c r="B754" s="40"/>
      <c r="C754" s="41"/>
      <c r="D754" s="41"/>
      <c r="E754" s="41"/>
    </row>
    <row r="755">
      <c r="A755" s="37"/>
      <c r="B755" s="40"/>
      <c r="C755" s="41"/>
      <c r="D755" s="41"/>
      <c r="E755" s="41"/>
    </row>
    <row r="756">
      <c r="A756" s="37"/>
      <c r="B756" s="40"/>
      <c r="C756" s="41"/>
      <c r="D756" s="41"/>
      <c r="E756" s="41"/>
    </row>
    <row r="757">
      <c r="A757" s="37"/>
      <c r="B757" s="40"/>
      <c r="C757" s="41"/>
      <c r="D757" s="41"/>
      <c r="E757" s="41"/>
    </row>
    <row r="758">
      <c r="A758" s="37"/>
      <c r="B758" s="40"/>
      <c r="C758" s="41"/>
      <c r="D758" s="41"/>
      <c r="E758" s="41"/>
    </row>
    <row r="759">
      <c r="A759" s="37"/>
      <c r="B759" s="40"/>
      <c r="C759" s="41"/>
      <c r="D759" s="41"/>
      <c r="E759" s="41"/>
    </row>
    <row r="760">
      <c r="A760" s="37"/>
      <c r="B760" s="40"/>
      <c r="C760" s="41"/>
      <c r="D760" s="41"/>
      <c r="E760" s="41"/>
    </row>
    <row r="761">
      <c r="A761" s="37"/>
      <c r="B761" s="40"/>
      <c r="C761" s="41"/>
      <c r="D761" s="41"/>
      <c r="E761" s="41"/>
    </row>
    <row r="762">
      <c r="A762" s="37"/>
      <c r="B762" s="40"/>
      <c r="C762" s="41"/>
      <c r="D762" s="41"/>
      <c r="E762" s="41"/>
    </row>
    <row r="763">
      <c r="A763" s="37"/>
      <c r="B763" s="40"/>
      <c r="C763" s="41"/>
      <c r="D763" s="41"/>
      <c r="E763" s="41"/>
    </row>
    <row r="764">
      <c r="A764" s="37"/>
      <c r="B764" s="40"/>
      <c r="C764" s="41"/>
      <c r="D764" s="41"/>
      <c r="E764" s="41"/>
    </row>
    <row r="765">
      <c r="A765" s="37"/>
      <c r="B765" s="40"/>
      <c r="C765" s="41"/>
      <c r="D765" s="41"/>
      <c r="E765" s="41"/>
    </row>
    <row r="766">
      <c r="A766" s="37"/>
      <c r="B766" s="40"/>
      <c r="C766" s="41"/>
      <c r="D766" s="41"/>
      <c r="E766" s="41"/>
    </row>
    <row r="767">
      <c r="A767" s="37"/>
      <c r="B767" s="40"/>
      <c r="C767" s="41"/>
      <c r="D767" s="41"/>
      <c r="E767" s="41"/>
    </row>
    <row r="768">
      <c r="A768" s="37"/>
      <c r="B768" s="40"/>
      <c r="C768" s="41"/>
      <c r="D768" s="41"/>
      <c r="E768" s="41"/>
    </row>
    <row r="769">
      <c r="A769" s="37"/>
      <c r="B769" s="40"/>
      <c r="C769" s="41"/>
      <c r="D769" s="41"/>
      <c r="E769" s="41"/>
    </row>
    <row r="770">
      <c r="A770" s="37"/>
      <c r="B770" s="40"/>
      <c r="C770" s="41"/>
      <c r="D770" s="41"/>
      <c r="E770" s="41"/>
    </row>
    <row r="771">
      <c r="A771" s="37"/>
      <c r="B771" s="40"/>
      <c r="C771" s="41"/>
      <c r="D771" s="41"/>
      <c r="E771" s="41"/>
    </row>
    <row r="772">
      <c r="A772" s="37"/>
      <c r="B772" s="40"/>
      <c r="C772" s="41"/>
      <c r="D772" s="41"/>
      <c r="E772" s="41"/>
    </row>
    <row r="773">
      <c r="A773" s="37"/>
      <c r="B773" s="40"/>
      <c r="C773" s="41"/>
      <c r="D773" s="41"/>
      <c r="E773" s="41"/>
    </row>
    <row r="774">
      <c r="A774" s="37"/>
      <c r="B774" s="40"/>
      <c r="C774" s="41"/>
      <c r="D774" s="41"/>
      <c r="E774" s="41"/>
    </row>
    <row r="775">
      <c r="A775" s="37"/>
      <c r="B775" s="40"/>
      <c r="C775" s="41"/>
      <c r="D775" s="41"/>
      <c r="E775" s="41"/>
    </row>
    <row r="776">
      <c r="A776" s="37"/>
      <c r="B776" s="40"/>
      <c r="C776" s="41"/>
      <c r="D776" s="41"/>
      <c r="E776" s="41"/>
    </row>
    <row r="777">
      <c r="A777" s="37"/>
      <c r="B777" s="40"/>
      <c r="C777" s="41"/>
      <c r="D777" s="41"/>
      <c r="E777" s="41"/>
    </row>
    <row r="778">
      <c r="A778" s="37"/>
      <c r="B778" s="40"/>
      <c r="C778" s="41"/>
      <c r="D778" s="41"/>
      <c r="E778" s="41"/>
    </row>
    <row r="779">
      <c r="A779" s="37"/>
      <c r="B779" s="40"/>
      <c r="C779" s="41"/>
      <c r="D779" s="41"/>
      <c r="E779" s="41"/>
    </row>
    <row r="780">
      <c r="A780" s="37"/>
      <c r="B780" s="40"/>
      <c r="C780" s="41"/>
      <c r="D780" s="41"/>
      <c r="E780" s="41"/>
    </row>
    <row r="781">
      <c r="A781" s="37"/>
      <c r="B781" s="40"/>
      <c r="C781" s="41"/>
      <c r="D781" s="41"/>
      <c r="E781" s="41"/>
    </row>
    <row r="782">
      <c r="A782" s="37"/>
      <c r="B782" s="40"/>
      <c r="C782" s="41"/>
      <c r="D782" s="41"/>
      <c r="E782" s="41"/>
    </row>
    <row r="783">
      <c r="A783" s="37"/>
      <c r="B783" s="40"/>
      <c r="C783" s="41"/>
      <c r="D783" s="41"/>
      <c r="E783" s="41"/>
    </row>
    <row r="784">
      <c r="A784" s="37"/>
      <c r="B784" s="40"/>
      <c r="C784" s="41"/>
      <c r="D784" s="41"/>
      <c r="E784" s="41"/>
    </row>
    <row r="785">
      <c r="A785" s="37"/>
      <c r="B785" s="40"/>
      <c r="C785" s="41"/>
      <c r="D785" s="41"/>
      <c r="E785" s="41"/>
    </row>
    <row r="786">
      <c r="A786" s="37"/>
      <c r="B786" s="40"/>
      <c r="C786" s="41"/>
      <c r="D786" s="41"/>
      <c r="E786" s="41"/>
    </row>
    <row r="787">
      <c r="A787" s="37"/>
      <c r="B787" s="40"/>
      <c r="C787" s="41"/>
      <c r="D787" s="41"/>
      <c r="E787" s="41"/>
    </row>
    <row r="788">
      <c r="A788" s="37"/>
      <c r="B788" s="40"/>
      <c r="C788" s="41"/>
      <c r="D788" s="41"/>
      <c r="E788" s="41"/>
    </row>
    <row r="789">
      <c r="A789" s="37"/>
      <c r="B789" s="40"/>
      <c r="C789" s="41"/>
      <c r="D789" s="41"/>
      <c r="E789" s="41"/>
    </row>
    <row r="790">
      <c r="A790" s="37"/>
      <c r="B790" s="40"/>
      <c r="C790" s="41"/>
      <c r="D790" s="41"/>
      <c r="E790" s="41"/>
    </row>
    <row r="791">
      <c r="A791" s="37"/>
      <c r="B791" s="40"/>
      <c r="C791" s="41"/>
      <c r="D791" s="41"/>
      <c r="E791" s="41"/>
    </row>
    <row r="792">
      <c r="A792" s="37"/>
      <c r="B792" s="40"/>
      <c r="C792" s="41"/>
      <c r="D792" s="41"/>
      <c r="E792" s="41"/>
    </row>
    <row r="793">
      <c r="A793" s="37"/>
      <c r="B793" s="40"/>
      <c r="C793" s="41"/>
      <c r="D793" s="41"/>
      <c r="E793" s="41"/>
    </row>
    <row r="794">
      <c r="A794" s="37"/>
      <c r="B794" s="40"/>
      <c r="C794" s="41"/>
      <c r="D794" s="41"/>
      <c r="E794" s="41"/>
    </row>
    <row r="795">
      <c r="A795" s="37"/>
      <c r="B795" s="40"/>
      <c r="C795" s="41"/>
      <c r="D795" s="41"/>
      <c r="E795" s="41"/>
    </row>
    <row r="796">
      <c r="A796" s="37"/>
      <c r="B796" s="40"/>
      <c r="C796" s="41"/>
      <c r="D796" s="41"/>
      <c r="E796" s="41"/>
    </row>
    <row r="797">
      <c r="A797" s="37"/>
      <c r="B797" s="40"/>
      <c r="C797" s="41"/>
      <c r="D797" s="41"/>
      <c r="E797" s="41"/>
    </row>
    <row r="798">
      <c r="A798" s="37"/>
      <c r="B798" s="40"/>
      <c r="C798" s="41"/>
      <c r="D798" s="41"/>
      <c r="E798" s="41"/>
    </row>
  </sheetData>
  <conditionalFormatting sqref="F1:I798">
    <cfRule type="containsText" dxfId="0" priority="1" operator="containsText" text="Bear">
      <formula>NOT(ISERROR(SEARCH(("Bear"),(F1))))</formula>
    </cfRule>
  </conditionalFormatting>
  <conditionalFormatting sqref="F1:I798">
    <cfRule type="containsText" dxfId="1" priority="2" operator="containsText" text="Bull">
      <formula>NOT(ISERROR(SEARCH(("Bull"),(F1))))</formula>
    </cfRule>
  </conditionalFormatting>
  <drawing r:id="rId1"/>
</worksheet>
</file>