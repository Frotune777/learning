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rvas Box" sheetId="1" r:id="rId5"/>
    <sheet state="visible" name="RDX Indicator" sheetId="2" r:id="rId6"/>
    <sheet state="hidden" name="Thursday Darvas Box" sheetId="3" r:id="rId7"/>
    <sheet state="visible" name="Double Dhamaka" sheetId="4" r:id="rId8"/>
    <sheet state="visible" name="Bottom Out Hunting" sheetId="5" r:id="rId9"/>
    <sheet state="visible" name="Super BO Stocks" sheetId="6" r:id="rId10"/>
    <sheet state="visible" name="Other Files" sheetId="7" r:id="rId11"/>
    <sheet state="hidden" name="ETF data" sheetId="8" r:id="rId12"/>
  </sheets>
  <definedNames/>
  <calcPr/>
</workbook>
</file>

<file path=xl/sharedStrings.xml><?xml version="1.0" encoding="utf-8"?>
<sst xmlns="http://schemas.openxmlformats.org/spreadsheetml/2006/main" count="219" uniqueCount="150">
  <si>
    <t>Last Updated on :</t>
  </si>
  <si>
    <t>DB</t>
  </si>
  <si>
    <t>Please subscribe my channel &amp; watch informative videos on</t>
  </si>
  <si>
    <t>data study, basic excel &amp; share market.</t>
  </si>
  <si>
    <t>आप भी ऐसी फाईल्स बना सकते हो, इसके लिये नीचे दिये लिंक पर क्लिक करके विडिओ देख कर कोशिश करें ।</t>
  </si>
  <si>
    <t>https://www.youtube.com/playlist?list=PL3Xt6LmTMVXm2aphMzJfUKCfuvanF8i9h</t>
  </si>
  <si>
    <t>दोस्तो,</t>
  </si>
  <si>
    <t>अगर आप का कोई सुझाव हो तो जरूर लिखे जिससे यह फाईल इस्तीमाल करने मे आसनी होगी.</t>
  </si>
  <si>
    <t>आपके सुझाव ndpotade@gmail.com पर मेल लिखे</t>
  </si>
  <si>
    <t>Nitin Potade</t>
  </si>
  <si>
    <t xml:space="preserve">Please watch the video on Darvas Box method by </t>
  </si>
  <si>
    <t>Shri Mahesh Chandra Kaushik ji on his youtube channel</t>
  </si>
  <si>
    <t xml:space="preserve">If Current Price is greater HIGH Price of Darvas Box </t>
  </si>
  <si>
    <t>then it will be shown in Blue &amp; White</t>
  </si>
  <si>
    <t xml:space="preserve">If Current Price is lesser than LOW Price of Darvas Box </t>
  </si>
  <si>
    <t>then it will be shown in Red &amp; White</t>
  </si>
  <si>
    <t>FOR PERSONAL USE ONLY, PLEASE RE-CHECK.</t>
  </si>
  <si>
    <t>ONLY FOR STUDY PURPOSES...</t>
  </si>
  <si>
    <t>CHART</t>
  </si>
  <si>
    <t>Watch the video to know more about the screener...</t>
  </si>
  <si>
    <t>https://youtu.be/XxG9OfadYAk</t>
  </si>
  <si>
    <t>Colour Code</t>
  </si>
  <si>
    <t>1 )</t>
  </si>
  <si>
    <t>Symbol in Green is near to Day High &amp;</t>
  </si>
  <si>
    <t>Symbol in Red are near to Day Low</t>
  </si>
  <si>
    <t>2 )</t>
  </si>
  <si>
    <t>Rank In Green mean Rank is increased compare to yesterday's Rank</t>
  </si>
  <si>
    <t>Rank in Red mean Rank is decreased compare to yesterday's Rank.</t>
  </si>
  <si>
    <t>Rank in Yellow mean no change in ranking compare to yesterday.</t>
  </si>
  <si>
    <t>Rank in Blue mean Today's new addition.</t>
  </si>
  <si>
    <t>3)</t>
  </si>
  <si>
    <t>Sr No. will be shown in Green if Today's High is above Swing High on Daily timeframe</t>
  </si>
  <si>
    <t>Sr No. will be shown in Red if Today's Low is below Swing low on Daily timeframe</t>
  </si>
  <si>
    <t>Thanks for co-operation. All Is Well...</t>
  </si>
  <si>
    <t>If you have any suggestion to make good use of this scanner,</t>
  </si>
  <si>
    <t>then please write to me on ndpotade@gmail.com</t>
  </si>
  <si>
    <t>आपके सुझाव 9869239959 पर व्हाट्सअँप करें या ndpotade@gmail.com पर मेल लिखे</t>
  </si>
  <si>
    <t>Please watch the video. Link as below..</t>
  </si>
  <si>
    <t>https://youtu.be/0pC7TzTGbb4</t>
  </si>
  <si>
    <t xml:space="preserve">WEEKLY DARVAS BOX DATA FOR THE PERIOD </t>
  </si>
  <si>
    <t>Only for educational purposes... Take your own trading decisions.</t>
  </si>
  <si>
    <t>CUR.PRICE</t>
  </si>
  <si>
    <t>https://youtu.be/tFhMeF4Xgtg</t>
  </si>
  <si>
    <t>Watch the video :-</t>
  </si>
  <si>
    <t>https://youtu.be/RfhMTxQb4uQ</t>
  </si>
  <si>
    <t>Colour Code :-</t>
  </si>
  <si>
    <t>आपके सुझाव + ndpotade@gmail.com पर मेल लिखे</t>
  </si>
  <si>
    <t>STOCKS BOUNCED FROM 52 WEEK'S LOW</t>
  </si>
  <si>
    <t xml:space="preserve">Last updated on: </t>
  </si>
  <si>
    <t xml:space="preserve">Click on the link and watch the video by Shri Mahesh </t>
  </si>
  <si>
    <t>Kaushik Sir to know more about the method.</t>
  </si>
  <si>
    <t>https://youtu.be/XzsihlnyW4o</t>
  </si>
  <si>
    <t>Please re-check</t>
  </si>
  <si>
    <t>STOCKS ABOVE ALL S M A OTHER THAN S M A 200 OF NIFTY 200</t>
  </si>
  <si>
    <t xml:space="preserve">Last updated on : </t>
  </si>
  <si>
    <t>Instructions :-</t>
  </si>
  <si>
    <t>DIFF%</t>
  </si>
  <si>
    <t xml:space="preserve">You may find a change in the list of stocks in </t>
  </si>
  <si>
    <t>https://in.tradingview.com/chart/?symbol=NSE:SASTASUNDR</t>
  </si>
  <si>
    <t>trading hours. ( 9.15 a.m. to 3.30 p.m.)</t>
  </si>
  <si>
    <t>I have selected stocks where difference between</t>
  </si>
  <si>
    <t>current price &amp; day high should be less than 5%.</t>
  </si>
  <si>
    <t>so if difference increases, the stock will disappear.</t>
  </si>
  <si>
    <t>ट्रेडिंग समय में आप को स्टॉक के नाम में बदलाव होते दिखाई देगा.</t>
  </si>
  <si>
    <t>अगर स्टॉक के क्लोज प्राईज और हाय प्राईज के बीच का अंतर</t>
  </si>
  <si>
    <t>५ प्रतिशत से ज्यादा होगा तो वह स्टॉक स्टॉक दिखाई नहीं देगा</t>
  </si>
  <si>
    <t xml:space="preserve">दोस्तो इस बात का ध्यान रखे कि यदी किसी स्टॉक मे कॉर्पोरेट ऍक्शन </t>
  </si>
  <si>
    <t xml:space="preserve">के प्राईस कोई बदलावं आय होगा तो वो स्टॉक कि SMA VALUE </t>
  </si>
  <si>
    <t xml:space="preserve">If stock is from NIFTY 50 stocks, then it will shown in dark blue. </t>
  </si>
  <si>
    <t xml:space="preserve">अलग से calculate करके फिर एक बार CHART check करें </t>
  </si>
  <si>
    <t>Click on the link and watch the video by Shri Mahesh Kaushik Sir to know more about the method.</t>
  </si>
  <si>
    <t xml:space="preserve">Corporate Action याने Rights/Bonus और Split etc. </t>
  </si>
  <si>
    <t>https://youtu.be/x4lgNgktJ64</t>
  </si>
  <si>
    <t>Example : M&amp;MFIN</t>
  </si>
  <si>
    <t>If you have any suggestions on the file, please write to me at</t>
  </si>
  <si>
    <t>ndpotade@gmail.com</t>
  </si>
  <si>
    <t>Please subscribe my YouTube Channel by clicking on "Subscribe" button</t>
  </si>
  <si>
    <t>SUBSCRIBE</t>
  </si>
  <si>
    <t>No.</t>
  </si>
  <si>
    <t>Files &amp; Links</t>
  </si>
  <si>
    <t>Watch video to know more above the file. Youtube Link</t>
  </si>
  <si>
    <t>https://t.me/nitinpotade</t>
  </si>
  <si>
    <t>Useful for Intraday Traders</t>
  </si>
  <si>
    <t>Real Time Intraday Opportunities</t>
  </si>
  <si>
    <t>https://youtu.be/OUCVE2X95IY</t>
  </si>
  <si>
    <t>View access to everyone</t>
  </si>
  <si>
    <t>https://docs.google.com/spreadsheets/d/1tisrGEMhzklYADWO5t3MzARPHPglPspcwZXjZKJ2k0A/edit?usp=sharing</t>
  </si>
  <si>
    <t>Useful for Intraday traders</t>
  </si>
  <si>
    <t>NPs RT Open=Low &amp; Open=High Finder</t>
  </si>
  <si>
    <t>https://youtu.be/QNzPLu2Mwlg</t>
  </si>
  <si>
    <t>https://docs.google.com/spreadsheets/d/1oHvf2hy-6dQ79EHfy3_6FF1fCY7WwdXyZVQZlWE0ZMo/edit?usp=sharing</t>
  </si>
  <si>
    <t>Useful for Intraday &amp; Swing  traders</t>
  </si>
  <si>
    <t>5 Star Intraday Stocks</t>
  </si>
  <si>
    <t>https://youtu.be/HWnaxi90jc4</t>
  </si>
  <si>
    <t>https://docs.google.com/spreadsheets/d/1mvz7CvqK8h6HAEteYZ87jkUKNUAxyYBvwoOzSscXqyc/edit?usp=sharing</t>
  </si>
  <si>
    <t>Intraday BreakOut Opportunities</t>
  </si>
  <si>
    <t>Wait for video</t>
  </si>
  <si>
    <t>https://docs.google.com/spreadsheets/d/1SPe7sq7KIM11Qsi53xK9qgTxbN0c2cp1zr3xgfJ12TU/edit?usp=sharing</t>
  </si>
  <si>
    <t>Useful for Short Term Investors</t>
  </si>
  <si>
    <t>Price volume Study for Long Term Investment</t>
  </si>
  <si>
    <t>https://youtu.be/MLnqvqLuB64</t>
  </si>
  <si>
    <t>https://docs.google.com/spreadsheets/d/1w1y-pgOOlIyD1-kOvDS8IE0QcbWdApWGSe5da3SVEXU/edit?usp=sharing</t>
  </si>
  <si>
    <t>Useful for Long Term traders</t>
  </si>
  <si>
    <t>BreakOut Stocks with Price &amp; Volume</t>
  </si>
  <si>
    <t>https://youtu.be/at6NApb7LmQ</t>
  </si>
  <si>
    <t>Useful for  Swing traders</t>
  </si>
  <si>
    <t>Darvas Box Method</t>
  </si>
  <si>
    <t>https://youtu.be/_2ig9XLllKs</t>
  </si>
  <si>
    <t>https://docs.google.com/spreadsheets/d/1I3ktby3qA_EAbcHIZxEVsMomy5Y5qkXO9ppEweNfJXQ/edit?usp=sharing</t>
  </si>
  <si>
    <t>Short Term Bullish Stocks</t>
  </si>
  <si>
    <t>https://youtu.be/Dx6ybhD9_Yg</t>
  </si>
  <si>
    <t>https://docs.google.com/spreadsheets/d/1_eJOGkPHrYSNmF10NPwKxX7y1_JgEJ8GsZtUoRcQtUM/edit?usp=sharing</t>
  </si>
  <si>
    <t>Useful for  Swing / Short term traders</t>
  </si>
  <si>
    <t>Super Break Out Stocks</t>
  </si>
  <si>
    <t>https://youtu.be/vsbCLjI5UHk</t>
  </si>
  <si>
    <t>Useful for Option Traders</t>
  </si>
  <si>
    <t>Self Study MTM PL Calculator v.01</t>
  </si>
  <si>
    <t>https://youtu.be/Zjspx34LZMM</t>
  </si>
  <si>
    <t>https://docs.google.com/spreadsheets/d/1P9rJK_Z89JiTLutDhmwQ3pcLqdBHDch7l0SOlQLCgUY/edit?usp=sharing</t>
  </si>
  <si>
    <t>Useful for Hedging strategy builder</t>
  </si>
  <si>
    <t>Max Open Interest Study</t>
  </si>
  <si>
    <t>https://youtu.be/TZQOlHKbtyQ</t>
  </si>
  <si>
    <t>https://docs.google.com/spreadsheets/d/1YXzesxCHa9kIs3q0A80qNiuMwSCIJIFd1fpxDvsBwjs/edit?usp=sharing</t>
  </si>
  <si>
    <t>Useful Playlist of Youtube Videos</t>
  </si>
  <si>
    <t>Share Market Data Study (Excel &amp; Googlesheet)</t>
  </si>
  <si>
    <t>Videos on Long Term Investment</t>
  </si>
  <si>
    <t>https://www.youtube.com/playlist?list=PL3Xt6LmTMVXk3ZGLUX8KIYYsjQLf5OYln</t>
  </si>
  <si>
    <t>Videos on Option Trading</t>
  </si>
  <si>
    <t>https://www.youtube.com/playlist?list=PL3Xt6LmTMVXl4mO1d8Qde0Gnnm-thycR7</t>
  </si>
  <si>
    <t>Videos on Systematic Withdrawal &amp; Investment Plan ( SWIP )</t>
  </si>
  <si>
    <t>https://www.youtube.com/playlist?list=PL3Xt6LmTMVXmn5pX9WF91kCWZfq1btGui</t>
  </si>
  <si>
    <t>Videos on Intraday Trading Techniques</t>
  </si>
  <si>
    <t>https://www.youtube.com/playlist?list=PL3Xt6LmTMVXnje5OaNs27Ii-WpLtLNZ4c</t>
  </si>
  <si>
    <t>Watch videos on ETF trading by Mahesh Chandra Kaushik ji</t>
  </si>
  <si>
    <t>SYMBOL</t>
  </si>
  <si>
    <t>OPEN</t>
  </si>
  <si>
    <t>HIGH</t>
  </si>
  <si>
    <t>LOW</t>
  </si>
  <si>
    <t>CLOSE</t>
  </si>
  <si>
    <t>VOLUME</t>
  </si>
  <si>
    <t>% CHG</t>
  </si>
  <si>
    <t>C.M.P.</t>
  </si>
  <si>
    <t>CPSEETF</t>
  </si>
  <si>
    <t>NIFTYBEES</t>
  </si>
  <si>
    <t>BANKBEES</t>
  </si>
  <si>
    <t>ICICIB22</t>
  </si>
  <si>
    <t>NETFMID150</t>
  </si>
  <si>
    <t>JUNIORBEES</t>
  </si>
  <si>
    <t>SBIETFQLTY</t>
  </si>
  <si>
    <t>ICICI500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</si>
</sst>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/d/yyyy h:mm:ss"/>
    <numFmt numFmtId="166" formatCode="dd/MM/yyyy"/>
    <numFmt numFmtId="167" formatCode="hh&quot;:&quot;mm"/>
    <numFmt numFmtId="168" formatCode="hh:mm"/>
  </numFmts>
  <fonts count="73">
    <font>
      <sz val="10.0"/>
      <color rgb="FF000000"/>
      <name val="Arial"/>
      <scheme val="minor"/>
    </font>
    <font>
      <color rgb="FF000000"/>
      <name val="Arial"/>
      <scheme val="minor"/>
    </font>
    <font>
      <b/>
      <sz val="14.0"/>
      <color rgb="FFFFFFFF"/>
      <name val="Times New Roman"/>
    </font>
    <font>
      <b/>
      <u/>
      <sz val="14.0"/>
      <color rgb="FFFFFFFF"/>
      <name val="Times New Roman"/>
    </font>
    <font>
      <b/>
      <sz val="12.0"/>
      <color theme="1"/>
      <name val="Arial"/>
    </font>
    <font>
      <color rgb="FFFFFFFF"/>
      <name val="Arial"/>
      <scheme val="minor"/>
    </font>
    <font>
      <b/>
      <sz val="12.0"/>
      <color rgb="FFFF0000"/>
      <name val="Times New Roman"/>
    </font>
    <font>
      <b/>
      <sz val="12.0"/>
      <color rgb="FF000000"/>
      <name val="Arial"/>
    </font>
    <font>
      <b/>
      <sz val="12.0"/>
      <color theme="1"/>
      <name val="Times New Roman"/>
    </font>
    <font>
      <b/>
      <u/>
      <sz val="12.0"/>
      <color rgb="FFFF0000"/>
      <name val="Times New Roman"/>
    </font>
    <font>
      <b/>
      <color theme="1"/>
      <name val="Times New Roman"/>
    </font>
    <font>
      <b/>
      <sz val="10.0"/>
      <color theme="1"/>
      <name val="Arial"/>
      <scheme val="minor"/>
    </font>
    <font>
      <b/>
      <u/>
      <sz val="12.0"/>
      <color rgb="FFFF0000"/>
    </font>
    <font>
      <b/>
      <color theme="1"/>
      <name val="Arial"/>
      <scheme val="minor"/>
    </font>
    <font>
      <b/>
      <color rgb="FF000000"/>
      <name val="Roboto"/>
    </font>
    <font>
      <b/>
      <u/>
      <sz val="12.0"/>
      <color rgb="FFFFFFFF"/>
      <name val="Arial"/>
    </font>
    <font>
      <b/>
      <sz val="12.0"/>
      <color rgb="FFFFFFFF"/>
      <name val="Times New Roman"/>
    </font>
    <font>
      <sz val="11.0"/>
      <color rgb="FFFFFFFF"/>
      <name val="Inconsolata"/>
    </font>
    <font>
      <color theme="1"/>
      <name val="Arial"/>
      <scheme val="minor"/>
    </font>
    <font>
      <b/>
      <color theme="1"/>
      <name val="Arial"/>
    </font>
    <font/>
    <font>
      <b/>
      <sz val="12.0"/>
      <color theme="1"/>
      <name val="Arial"/>
      <scheme val="minor"/>
    </font>
    <font>
      <b/>
      <u/>
      <sz val="14.0"/>
      <color rgb="FFFF0000"/>
    </font>
    <font>
      <b/>
      <sz val="14.0"/>
      <color rgb="FFFF0000"/>
      <name val="Inconsolata"/>
    </font>
    <font>
      <b/>
      <u/>
      <sz val="11.0"/>
      <color rgb="FFFFFFFF"/>
      <name val="Times New Roman"/>
    </font>
    <font>
      <b/>
      <u/>
      <sz val="11.0"/>
      <color rgb="FF000000"/>
      <name val="Arial"/>
    </font>
    <font>
      <b/>
      <sz val="14.0"/>
      <color rgb="FFFFFFFF"/>
      <name val="Arial"/>
      <scheme val="minor"/>
    </font>
    <font>
      <b/>
      <sz val="14.0"/>
      <color theme="1"/>
      <name val="Times New Roman"/>
    </font>
    <font>
      <b/>
      <u/>
      <sz val="14.0"/>
      <color rgb="FF0000FF"/>
      <name val="Times New Roman"/>
    </font>
    <font>
      <color theme="1"/>
      <name val="Arial"/>
    </font>
    <font>
      <sz val="11.0"/>
      <color rgb="FF000000"/>
      <name val="Inconsolata"/>
    </font>
    <font>
      <b/>
      <u/>
      <sz val="11.0"/>
      <color rgb="FF1155CC"/>
      <name val="Arial"/>
    </font>
    <font>
      <b/>
      <u/>
      <sz val="12.0"/>
      <color rgb="FFFFFFFF"/>
      <name val="Arial"/>
    </font>
    <font>
      <b/>
      <u/>
      <sz val="14.0"/>
      <color rgb="FFFF0000"/>
      <name val="Arial"/>
    </font>
    <font>
      <b/>
      <sz val="12.0"/>
      <color rgb="FF000000"/>
      <name val="&quot;Times New Roman&quot;"/>
    </font>
    <font>
      <b/>
      <sz val="12.0"/>
      <color rgb="FFFFFFFF"/>
      <name val="&quot;Times New Roman&quot;"/>
    </font>
    <font>
      <color rgb="FFFFFFFF"/>
      <name val="Arial"/>
    </font>
    <font>
      <sz val="9.0"/>
      <color rgb="FF000000"/>
      <name val="&quot;Google Sans Mono&quot;"/>
    </font>
    <font>
      <b/>
      <u/>
      <color rgb="FF0000FF"/>
      <name val="Arial"/>
    </font>
    <font>
      <b/>
      <color rgb="FFFFFFFF"/>
      <name val="Arial"/>
    </font>
    <font>
      <b/>
      <color theme="1"/>
      <name val="&quot;Times New Roman&quot;"/>
    </font>
    <font>
      <b/>
      <u/>
      <sz val="11.0"/>
      <color rgb="FF000000"/>
      <name val="Arial"/>
    </font>
    <font>
      <b/>
      <u/>
      <sz val="12.0"/>
      <color rgb="FFFF0000"/>
      <name val="Arial"/>
    </font>
    <font>
      <b/>
      <u/>
      <sz val="11.0"/>
      <color rgb="FFFFFFFF"/>
      <name val="Arial"/>
    </font>
    <font>
      <b/>
      <sz val="12.0"/>
      <color rgb="FFFF0000"/>
      <name val="Arial"/>
      <scheme val="minor"/>
    </font>
    <font>
      <b/>
      <u/>
      <sz val="12.0"/>
      <color rgb="FF0000FF"/>
    </font>
    <font>
      <b/>
      <sz val="10.0"/>
      <color rgb="FFFF0000"/>
      <name val="Arial"/>
      <scheme val="minor"/>
    </font>
    <font>
      <b/>
      <u/>
      <sz val="10.0"/>
      <color rgb="FF0000FF"/>
    </font>
    <font>
      <b/>
      <u/>
      <sz val="14.0"/>
      <color rgb="FFFFFFFF"/>
      <name val="Arial"/>
    </font>
    <font>
      <b/>
      <u/>
      <sz val="12.0"/>
      <color rgb="FF0000FF"/>
    </font>
    <font>
      <b/>
      <u/>
      <sz val="12.0"/>
      <color rgb="FF0000FF"/>
    </font>
    <font>
      <b/>
      <u/>
      <sz val="12.0"/>
      <color rgb="FF0000FF"/>
    </font>
    <font>
      <b/>
      <color rgb="FFFF0000"/>
      <name val="Arial"/>
      <scheme val="minor"/>
    </font>
    <font>
      <b/>
      <u/>
      <sz val="14.0"/>
      <color rgb="FF0000FF"/>
    </font>
    <font>
      <b/>
      <sz val="14.0"/>
      <color rgb="FF0000FF"/>
      <name val="Arial"/>
      <scheme val="minor"/>
    </font>
    <font>
      <b/>
      <sz val="12.0"/>
      <color rgb="FF980000"/>
      <name val="Arial"/>
      <scheme val="minor"/>
    </font>
    <font>
      <u/>
      <sz val="18.0"/>
      <color theme="1"/>
      <name val="Impact"/>
    </font>
    <font>
      <u/>
      <sz val="18.0"/>
      <color theme="1"/>
      <name val="Impact"/>
    </font>
    <font>
      <b/>
      <sz val="14.0"/>
      <color rgb="FFFFFFFF"/>
      <name val="Arial"/>
    </font>
    <font>
      <b/>
      <u/>
      <sz val="14.0"/>
      <color rgb="FFFFFFFF"/>
      <name val="Arial"/>
    </font>
    <font>
      <b/>
      <sz val="12.0"/>
      <color rgb="FFFFFFFF"/>
      <name val="Arial"/>
    </font>
    <font>
      <b/>
      <u/>
      <sz val="14.0"/>
      <color rgb="FFFFFFFF"/>
      <name val="Arial"/>
    </font>
    <font>
      <b/>
      <u/>
      <sz val="12.0"/>
      <color rgb="FF000000"/>
      <name val="Arial"/>
    </font>
    <font>
      <b/>
      <u/>
      <color rgb="FF1155CC"/>
      <name val="Arial"/>
    </font>
    <font>
      <b/>
      <u/>
      <sz val="12.0"/>
      <color rgb="FF000000"/>
      <name val="Arial"/>
    </font>
    <font>
      <b/>
      <sz val="14.0"/>
      <color theme="1"/>
      <name val="Arial"/>
      <scheme val="minor"/>
    </font>
    <font>
      <b/>
      <u/>
      <sz val="12.0"/>
      <color rgb="FF0000FF"/>
      <name val="Arial"/>
    </font>
    <font>
      <b/>
      <sz val="24.0"/>
      <color rgb="FF0000FF"/>
      <name val="Arial"/>
      <scheme val="minor"/>
    </font>
    <font>
      <b/>
      <sz val="14.0"/>
      <color rgb="FFFF0000"/>
      <name val="Arial"/>
      <scheme val="minor"/>
    </font>
    <font>
      <b/>
      <sz val="12.0"/>
      <color rgb="FF000000"/>
      <name val="Times New Roman"/>
    </font>
    <font>
      <sz val="11.0"/>
      <color rgb="FF188038"/>
      <name val="Monospace"/>
    </font>
    <font>
      <b/>
      <sz val="11.0"/>
      <color rgb="FF000000"/>
      <name val="Inconsolata"/>
    </font>
    <font>
      <b/>
      <u/>
      <sz val="12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4F4F4"/>
        <bgColor rgb="FFF4F4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/>
    </xf>
    <xf borderId="0" fillId="2" fontId="2" numFmtId="0" xfId="0" applyAlignment="1" applyFont="1">
      <alignment horizontal="center" readingOrder="0" vertical="center"/>
    </xf>
    <xf borderId="0" fillId="2" fontId="2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4" fontId="6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 readingOrder="0"/>
    </xf>
    <xf borderId="0" fillId="5" fontId="7" numFmtId="165" xfId="0" applyAlignment="1" applyFill="1" applyFont="1" applyNumberFormat="1">
      <alignment horizontal="left"/>
    </xf>
    <xf borderId="0" fillId="0" fontId="1" numFmtId="0" xfId="0" applyFont="1"/>
    <xf borderId="1" fillId="0" fontId="8" numFmtId="0" xfId="0" applyAlignment="1" applyBorder="1" applyFont="1">
      <alignment horizontal="center"/>
    </xf>
    <xf borderId="1" fillId="0" fontId="8" numFmtId="2" xfId="0" applyBorder="1" applyFont="1" applyNumberFormat="1"/>
    <xf borderId="1" fillId="0" fontId="9" numFmtId="2" xfId="0" applyAlignment="1" applyBorder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6" numFmtId="0" xfId="0" applyAlignment="1" applyFont="1">
      <alignment readingOrder="0"/>
    </xf>
    <xf borderId="0" fillId="3" fontId="15" numFmtId="0" xfId="0" applyAlignment="1" applyFont="1">
      <alignment horizontal="center"/>
    </xf>
    <xf borderId="0" fillId="5" fontId="5" numFmtId="0" xfId="0" applyFont="1"/>
    <xf borderId="1" fillId="6" fontId="16" numFmtId="0" xfId="0" applyAlignment="1" applyBorder="1" applyFill="1" applyFont="1">
      <alignment horizontal="center"/>
    </xf>
    <xf borderId="1" fillId="6" fontId="16" numFmtId="2" xfId="0" applyAlignment="1" applyBorder="1" applyFont="1" applyNumberFormat="1">
      <alignment horizontal="center"/>
    </xf>
    <xf borderId="1" fillId="6" fontId="16" numFmtId="0" xfId="0" applyAlignment="1" applyBorder="1" applyFont="1">
      <alignment horizontal="center" readingOrder="0"/>
    </xf>
    <xf borderId="0" fillId="6" fontId="5" numFmtId="0" xfId="0" applyFont="1"/>
    <xf borderId="0" fillId="5" fontId="17" numFmtId="0" xfId="0" applyFont="1"/>
    <xf borderId="0" fillId="0" fontId="5" numFmtId="0" xfId="0" applyFont="1"/>
    <xf borderId="1" fillId="0" fontId="8" numFmtId="2" xfId="0" applyAlignment="1" applyBorder="1" applyFont="1" applyNumberFormat="1">
      <alignment horizontal="center"/>
    </xf>
    <xf borderId="1" fillId="0" fontId="8" numFmtId="1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0" fillId="5" fontId="5" numFmtId="166" xfId="0" applyFont="1" applyNumberFormat="1"/>
    <xf borderId="0" fillId="0" fontId="5" numFmtId="166" xfId="0" applyFont="1" applyNumberFormat="1"/>
    <xf borderId="1" fillId="0" fontId="6" numFmtId="2" xfId="0" applyAlignment="1" applyBorder="1" applyFont="1" applyNumberFormat="1">
      <alignment horizontal="center"/>
    </xf>
    <xf borderId="1" fillId="0" fontId="18" numFmtId="2" xfId="0" applyBorder="1" applyFont="1" applyNumberFormat="1"/>
    <xf borderId="2" fillId="0" fontId="19" numFmtId="0" xfId="0" applyAlignment="1" applyBorder="1" applyFont="1">
      <alignment horizontal="right" vertical="bottom"/>
    </xf>
    <xf borderId="3" fillId="0" fontId="20" numFmtId="0" xfId="0" applyBorder="1" applyFont="1"/>
    <xf borderId="2" fillId="0" fontId="19" numFmtId="165" xfId="0" applyAlignment="1" applyBorder="1" applyFont="1" applyNumberFormat="1">
      <alignment horizontal="left" vertical="bottom"/>
    </xf>
    <xf borderId="4" fillId="0" fontId="20" numFmtId="0" xfId="0" applyBorder="1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5" fontId="23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3" fontId="24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5" fontId="25" numFmtId="0" xfId="0" applyAlignment="1" applyFont="1">
      <alignment horizontal="left" readingOrder="0"/>
    </xf>
    <xf borderId="0" fillId="0" fontId="8" numFmtId="0" xfId="0" applyAlignment="1" applyFont="1">
      <alignment horizontal="center"/>
    </xf>
    <xf borderId="0" fillId="0" fontId="8" numFmtId="2" xfId="0" applyFont="1" applyNumberFormat="1"/>
    <xf borderId="0" fillId="0" fontId="8" numFmtId="1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5" fillId="2" fontId="26" numFmtId="168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0" fontId="27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28" numFmtId="0" xfId="0" applyAlignment="1" applyFont="1">
      <alignment horizontal="center" readingOrder="0"/>
    </xf>
    <xf borderId="1" fillId="0" fontId="8" numFmtId="0" xfId="0" applyBorder="1" applyFont="1"/>
    <xf borderId="0" fillId="0" fontId="29" numFmtId="0" xfId="0" applyAlignment="1" applyFont="1">
      <alignment vertical="bottom"/>
    </xf>
    <xf borderId="0" fillId="5" fontId="30" numFmtId="0" xfId="0" applyFont="1"/>
    <xf borderId="1" fillId="0" fontId="19" numFmtId="0" xfId="0" applyAlignment="1" applyBorder="1" applyFont="1">
      <alignment shrinkToFit="0" vertical="bottom" wrapText="0"/>
    </xf>
    <xf borderId="1" fillId="5" fontId="29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1" fillId="7" fontId="31" numFmtId="0" xfId="0" applyAlignment="1" applyBorder="1" applyFill="1" applyFont="1">
      <alignment shrinkToFit="0" vertical="bottom" wrapText="0"/>
    </xf>
    <xf borderId="1" fillId="0" fontId="29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borderId="0" fillId="3" fontId="32" numFmtId="0" xfId="0" applyAlignment="1" applyFont="1">
      <alignment horizontal="center" vertical="bottom"/>
    </xf>
    <xf borderId="0" fillId="5" fontId="29" numFmtId="0" xfId="0" applyAlignment="1" applyFont="1">
      <alignment vertical="bottom"/>
    </xf>
    <xf borderId="0" fillId="0" fontId="33" numFmtId="0" xfId="0" applyAlignment="1" applyFont="1">
      <alignment shrinkToFit="0" vertical="bottom" wrapText="0"/>
    </xf>
    <xf borderId="1" fillId="0" fontId="19" numFmtId="165" xfId="0" applyAlignment="1" applyBorder="1" applyFont="1" applyNumberFormat="1">
      <alignment horizontal="left" vertical="bottom"/>
    </xf>
    <xf borderId="0" fillId="0" fontId="19" numFmtId="165" xfId="0" applyAlignment="1" applyFont="1" applyNumberFormat="1">
      <alignment horizontal="left" vertical="bottom"/>
    </xf>
    <xf borderId="0" fillId="0" fontId="29" numFmtId="0" xfId="0" applyAlignment="1" applyFont="1">
      <alignment readingOrder="0" vertical="bottom"/>
    </xf>
    <xf borderId="1" fillId="0" fontId="29" numFmtId="0" xfId="0" applyAlignment="1" applyBorder="1" applyFont="1">
      <alignment horizontal="left" vertical="bottom"/>
    </xf>
    <xf borderId="1" fillId="8" fontId="34" numFmtId="0" xfId="0" applyAlignment="1" applyBorder="1" applyFill="1" applyFont="1">
      <alignment horizontal="center" vertical="bottom"/>
    </xf>
    <xf borderId="1" fillId="3" fontId="35" numFmtId="0" xfId="0" applyAlignment="1" applyBorder="1" applyFont="1">
      <alignment horizontal="center" vertical="bottom"/>
    </xf>
    <xf borderId="6" fillId="3" fontId="35" numFmtId="0" xfId="0" applyAlignment="1" applyBorder="1" applyFont="1">
      <alignment horizontal="center" vertical="bottom"/>
    </xf>
    <xf borderId="0" fillId="5" fontId="36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5" fontId="37" numFmtId="0" xfId="0" applyFont="1"/>
    <xf borderId="1" fillId="0" fontId="19" numFmtId="0" xfId="0" applyAlignment="1" applyBorder="1" applyFont="1">
      <alignment horizontal="center" vertical="bottom"/>
    </xf>
    <xf borderId="1" fillId="0" fontId="38" numFmtId="2" xfId="0" applyAlignment="1" applyBorder="1" applyFont="1" applyNumberFormat="1">
      <alignment horizontal="center" vertical="bottom"/>
    </xf>
    <xf borderId="1" fillId="3" fontId="39" numFmtId="0" xfId="0" applyAlignment="1" applyBorder="1" applyFont="1">
      <alignment horizontal="center" vertical="bottom"/>
    </xf>
    <xf borderId="1" fillId="0" fontId="19" numFmtId="2" xfId="0" applyAlignment="1" applyBorder="1" applyFont="1" applyNumberFormat="1">
      <alignment horizontal="center" vertical="bottom"/>
    </xf>
    <xf borderId="0" fillId="5" fontId="23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5" fontId="14" numFmtId="0" xfId="0" applyAlignment="1" applyFont="1">
      <alignment readingOrder="0" shrinkToFit="0" vertical="bottom" wrapText="0"/>
    </xf>
    <xf borderId="0" fillId="5" fontId="41" numFmtId="0" xfId="0" applyAlignment="1" applyFont="1">
      <alignment shrinkToFit="0" vertical="bottom" wrapText="0"/>
    </xf>
    <xf borderId="0" fillId="0" fontId="42" numFmtId="0" xfId="0" applyAlignment="1" applyFont="1">
      <alignment shrinkToFit="0" vertical="bottom" wrapText="0"/>
    </xf>
    <xf borderId="0" fillId="2" fontId="26" numFmtId="0" xfId="0" applyAlignment="1" applyFont="1">
      <alignment horizontal="center" readingOrder="0"/>
    </xf>
    <xf borderId="0" fillId="3" fontId="43" numFmtId="0" xfId="0" applyAlignment="1" applyFont="1">
      <alignment horizontal="center"/>
    </xf>
    <xf borderId="0" fillId="0" fontId="11" numFmtId="165" xfId="0" applyAlignment="1" applyFont="1" applyNumberFormat="1">
      <alignment horizontal="left"/>
    </xf>
    <xf borderId="1" fillId="4" fontId="44" numFmtId="0" xfId="0" applyAlignment="1" applyBorder="1" applyFont="1">
      <alignment horizontal="center"/>
    </xf>
    <xf borderId="1" fillId="0" fontId="21" numFmtId="0" xfId="0" applyAlignment="1" applyBorder="1" applyFont="1">
      <alignment horizontal="center"/>
    </xf>
    <xf borderId="1" fillId="0" fontId="21" numFmtId="2" xfId="0" applyAlignment="1" applyBorder="1" applyFont="1" applyNumberFormat="1">
      <alignment horizontal="center"/>
    </xf>
    <xf borderId="1" fillId="0" fontId="21" numFmtId="2" xfId="0" applyBorder="1" applyFont="1" applyNumberFormat="1"/>
    <xf borderId="1" fillId="0" fontId="45" numFmtId="2" xfId="0" applyBorder="1" applyFont="1" applyNumberFormat="1"/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3" fontId="48" numFmtId="0" xfId="0" applyAlignment="1" applyFont="1">
      <alignment horizontal="center"/>
    </xf>
    <xf borderId="0" fillId="0" fontId="13" numFmtId="165" xfId="0" applyAlignment="1" applyFont="1" applyNumberFormat="1">
      <alignment horizontal="left"/>
    </xf>
    <xf borderId="1" fillId="4" fontId="44" numFmtId="0" xfId="0" applyAlignment="1" applyBorder="1" applyFont="1">
      <alignment horizontal="center" readingOrder="0"/>
    </xf>
    <xf borderId="1" fillId="0" fontId="13" numFmtId="2" xfId="0" applyBorder="1" applyFont="1" applyNumberFormat="1"/>
    <xf borderId="1" fillId="0" fontId="21" numFmtId="10" xfId="0" applyAlignment="1" applyBorder="1" applyFont="1" applyNumberFormat="1">
      <alignment horizontal="center"/>
    </xf>
    <xf borderId="1" fillId="0" fontId="49" numFmtId="0" xfId="0" applyAlignment="1" applyBorder="1" applyFont="1">
      <alignment horizontal="center" readingOrder="0"/>
    </xf>
    <xf borderId="1" fillId="0" fontId="50" numFmtId="0" xfId="0" applyAlignment="1" applyBorder="1" applyFont="1">
      <alignment horizontal="center"/>
    </xf>
    <xf borderId="1" fillId="5" fontId="21" numFmtId="0" xfId="0" applyAlignment="1" applyBorder="1" applyFont="1">
      <alignment horizontal="center"/>
    </xf>
    <xf borderId="1" fillId="5" fontId="13" numFmtId="2" xfId="0" applyBorder="1" applyFont="1" applyNumberFormat="1"/>
    <xf borderId="1" fillId="5" fontId="21" numFmtId="10" xfId="0" applyAlignment="1" applyBorder="1" applyFont="1" applyNumberFormat="1">
      <alignment horizontal="center"/>
    </xf>
    <xf borderId="1" fillId="5" fontId="51" numFmtId="0" xfId="0" applyAlignment="1" applyBorder="1" applyFont="1">
      <alignment horizontal="center"/>
    </xf>
    <xf borderId="0" fillId="0" fontId="52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horizontal="center" readingOrder="0" vertical="center"/>
    </xf>
    <xf borderId="7" fillId="9" fontId="56" numFmtId="0" xfId="0" applyAlignment="1" applyBorder="1" applyFill="1" applyFont="1">
      <alignment horizontal="center" readingOrder="0"/>
    </xf>
    <xf borderId="0" fillId="0" fontId="18" numFmtId="0" xfId="0" applyAlignment="1" applyFont="1">
      <alignment horizontal="center"/>
    </xf>
    <xf borderId="6" fillId="9" fontId="57" numFmtId="0" xfId="0" applyAlignment="1" applyBorder="1" applyFont="1">
      <alignment horizontal="center"/>
    </xf>
    <xf borderId="1" fillId="2" fontId="58" numFmtId="0" xfId="0" applyAlignment="1" applyBorder="1" applyFont="1">
      <alignment horizontal="center" readingOrder="0" vertical="bottom"/>
    </xf>
    <xf borderId="0" fillId="2" fontId="59" numFmtId="0" xfId="0" applyAlignment="1" applyFont="1">
      <alignment horizontal="center" readingOrder="0"/>
    </xf>
    <xf borderId="0" fillId="2" fontId="60" numFmtId="0" xfId="0" applyAlignment="1" applyFont="1">
      <alignment horizontal="center" readingOrder="0" shrinkToFit="0" vertical="bottom" wrapText="1"/>
    </xf>
    <xf borderId="0" fillId="2" fontId="61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8" fillId="0" fontId="21" numFmtId="0" xfId="0" applyAlignment="1" applyBorder="1" applyFont="1">
      <alignment horizontal="center" readingOrder="0"/>
    </xf>
    <xf borderId="8" fillId="0" fontId="18" numFmtId="0" xfId="0" applyBorder="1" applyFont="1"/>
    <xf borderId="9" fillId="0" fontId="18" numFmtId="0" xfId="0" applyBorder="1" applyFont="1"/>
    <xf borderId="1" fillId="0" fontId="4" numFmtId="0" xfId="0" applyAlignment="1" applyBorder="1" applyFont="1">
      <alignment horizontal="center" readingOrder="0" vertical="bottom"/>
    </xf>
    <xf borderId="7" fillId="10" fontId="62" numFmtId="0" xfId="0" applyAlignment="1" applyBorder="1" applyFill="1" applyFont="1">
      <alignment horizontal="center" readingOrder="0" vertical="center"/>
    </xf>
    <xf borderId="1" fillId="0" fontId="29" numFmtId="0" xfId="0" applyAlignment="1" applyBorder="1" applyFont="1">
      <alignment readingOrder="0" vertical="bottom"/>
    </xf>
    <xf borderId="1" fillId="0" fontId="63" numFmtId="0" xfId="0" applyAlignment="1" applyBorder="1" applyFont="1">
      <alignment horizontal="left" readingOrder="0" vertical="bottom"/>
    </xf>
    <xf borderId="6" fillId="0" fontId="20" numFmtId="0" xfId="0" applyBorder="1" applyFont="1"/>
    <xf borderId="7" fillId="10" fontId="7" numFmtId="0" xfId="0" applyAlignment="1" applyBorder="1" applyFont="1">
      <alignment horizontal="center" readingOrder="0" vertical="center"/>
    </xf>
    <xf borderId="7" fillId="10" fontId="64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bottom"/>
    </xf>
    <xf borderId="8" fillId="0" fontId="65" numFmtId="0" xfId="0" applyAlignment="1" applyBorder="1" applyFont="1">
      <alignment horizontal="center" readingOrder="0"/>
    </xf>
    <xf borderId="8" fillId="0" fontId="20" numFmtId="0" xfId="0" applyBorder="1" applyFont="1"/>
    <xf borderId="9" fillId="0" fontId="20" numFmtId="0" xfId="0" applyBorder="1" applyFont="1"/>
    <xf borderId="1" fillId="11" fontId="66" numFmtId="0" xfId="0" applyAlignment="1" applyBorder="1" applyFill="1" applyFont="1">
      <alignment readingOrder="0" vertical="bottom"/>
    </xf>
    <xf borderId="0" fillId="0" fontId="67" numFmtId="0" xfId="0" applyAlignment="1" applyFont="1">
      <alignment readingOrder="0"/>
    </xf>
    <xf borderId="0" fillId="0" fontId="68" numFmtId="0" xfId="0" applyAlignment="1" applyFont="1">
      <alignment readingOrder="0"/>
    </xf>
    <xf borderId="0" fillId="0" fontId="16" numFmtId="0" xfId="0" applyAlignment="1" applyFont="1">
      <alignment horizontal="center" readingOrder="0" vertical="bottom"/>
    </xf>
    <xf borderId="1" fillId="0" fontId="6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0" fillId="0" fontId="16" numFmtId="0" xfId="0" applyAlignment="1" applyFont="1">
      <alignment horizontal="center" readingOrder="0" shrinkToFit="0" vertical="bottom" wrapText="0"/>
    </xf>
    <xf borderId="1" fillId="0" fontId="69" numFmtId="0" xfId="0" applyAlignment="1" applyBorder="1" applyFont="1">
      <alignment horizontal="center" readingOrder="0" shrinkToFit="0" vertical="bottom" wrapText="0"/>
    </xf>
    <xf borderId="1" fillId="5" fontId="69" numFmtId="2" xfId="0" applyBorder="1" applyFont="1" applyNumberFormat="1"/>
    <xf borderId="1" fillId="5" fontId="69" numFmtId="0" xfId="0" applyBorder="1" applyFont="1"/>
    <xf borderId="0" fillId="5" fontId="70" numFmtId="0" xfId="0" applyAlignment="1" applyFont="1">
      <alignment horizontal="left" readingOrder="0"/>
    </xf>
    <xf borderId="1" fillId="0" fontId="69" numFmtId="0" xfId="0" applyAlignment="1" applyBorder="1" applyFont="1">
      <alignment horizontal="center" readingOrder="0" shrinkToFit="0" vertical="bottom" wrapText="1"/>
    </xf>
    <xf borderId="1" fillId="5" fontId="71" numFmtId="0" xfId="0" applyBorder="1" applyFont="1"/>
    <xf borderId="0" fillId="0" fontId="69" numFmtId="0" xfId="0" applyAlignment="1" applyFont="1">
      <alignment horizontal="center" readingOrder="0" shrinkToFit="0" vertical="bottom" wrapText="0"/>
    </xf>
    <xf borderId="0" fillId="5" fontId="69" numFmtId="2" xfId="0" applyFont="1" applyNumberFormat="1"/>
    <xf borderId="0" fillId="5" fontId="69" numFmtId="0" xfId="0" applyFont="1"/>
    <xf borderId="0" fillId="0" fontId="69" numFmtId="0" xfId="0" applyAlignment="1" applyFont="1">
      <alignment horizontal="center" readingOrder="0" vertical="bottom"/>
    </xf>
    <xf borderId="0" fillId="5" fontId="71" numFmtId="0" xfId="0" applyFont="1"/>
    <xf borderId="0" fillId="3" fontId="72" numFmtId="0" xfId="0" applyAlignment="1" applyFont="1">
      <alignment horizontal="center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3Xt6LmTMVXm2aphMzJfUKCfuvanF8i9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XxG9OfadYAk" TargetMode="External"/><Relationship Id="rId2" Type="http://schemas.openxmlformats.org/officeDocument/2006/relationships/hyperlink" Target="https://youtu.be/0pC7TzTGbb4?fbclid=IwAR2Z_O872ULm59MN_2islg5eDKj7Xr415uNtMKp7iyTAaMb3KgtRtrTcJMY" TargetMode="External"/><Relationship Id="rId3" Type="http://schemas.openxmlformats.org/officeDocument/2006/relationships/hyperlink" Target="https://www.youtube.com/playlist?list=PL3Xt6LmTMVXm2aphMzJfUKCfuvanF8i9h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FhMeF4Xgtg" TargetMode="External"/><Relationship Id="rId2" Type="http://schemas.openxmlformats.org/officeDocument/2006/relationships/hyperlink" Target="https://www.youtube.com/playlist?list=PL3Xt6LmTMVXm2aphMzJfUKCfuvanF8i9h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in.tradingview.com/chart/?symbol=NSE:GVT&amp;D" TargetMode="External"/><Relationship Id="rId10" Type="http://schemas.openxmlformats.org/officeDocument/2006/relationships/hyperlink" Target="https://in.tradingview.com/chart/?symbol=NSE:PNBHOUSING" TargetMode="External"/><Relationship Id="rId13" Type="http://schemas.openxmlformats.org/officeDocument/2006/relationships/hyperlink" Target="https://www.youtube.com/playlist?list=PL3Xt6LmTMVXm2aphMzJfUKCfuvanF8i9h" TargetMode="External"/><Relationship Id="rId12" Type="http://schemas.openxmlformats.org/officeDocument/2006/relationships/hyperlink" Target="https://youtu.be/0pC7TzTGbb4?fbclid=IwAR2Z_O872ULm59MN_2islg5eDKj7Xr415uNtMKp7iyTAaMb3KgtRtrTcJMY" TargetMode="External"/><Relationship Id="rId1" Type="http://schemas.openxmlformats.org/officeDocument/2006/relationships/hyperlink" Target="https://youtu.be/RfhMTxQb4uQ" TargetMode="External"/><Relationship Id="rId2" Type="http://schemas.openxmlformats.org/officeDocument/2006/relationships/hyperlink" Target="https://youtu.be/XxG9OfadYAk" TargetMode="External"/><Relationship Id="rId3" Type="http://schemas.openxmlformats.org/officeDocument/2006/relationships/hyperlink" Target="https://in.tradingview.com/chart/?symbol=NSE:BSE" TargetMode="External"/><Relationship Id="rId4" Type="http://schemas.openxmlformats.org/officeDocument/2006/relationships/hyperlink" Target="https://in.tradingview.com/chart/?symbol=NSE:CONCOR" TargetMode="External"/><Relationship Id="rId9" Type="http://schemas.openxmlformats.org/officeDocument/2006/relationships/hyperlink" Target="https://in.tradingview.com/chart/?symbol=NSE:LAURUSLABS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in.tradingview.com/chart/?symbol=NSE:BHEL" TargetMode="External"/><Relationship Id="rId6" Type="http://schemas.openxmlformats.org/officeDocument/2006/relationships/hyperlink" Target="https://in.tradingview.com/chart/?symbol=NSE:RVNL" TargetMode="External"/><Relationship Id="rId7" Type="http://schemas.openxmlformats.org/officeDocument/2006/relationships/hyperlink" Target="https://in.tradingview.com/chart/?symbol=NSE:IDEA" TargetMode="External"/><Relationship Id="rId8" Type="http://schemas.openxmlformats.org/officeDocument/2006/relationships/hyperlink" Target="https://in.tradingview.com/chart/?symbol=NSE:DMART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XzsihlnyW4o" TargetMode="External"/><Relationship Id="rId10" Type="http://schemas.openxmlformats.org/officeDocument/2006/relationships/hyperlink" Target="https://in.tradingview.com/chart/?symbol=NSE:ASIANPAINT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youtube.com/playlist?list=PL3Xt6LmTMVXm2aphMzJfUKCfuvanF8i9h" TargetMode="External"/><Relationship Id="rId1" Type="http://schemas.openxmlformats.org/officeDocument/2006/relationships/hyperlink" Target="https://in.tradingview.com/chart/?symbol=NSE:BRITANNIA" TargetMode="External"/><Relationship Id="rId2" Type="http://schemas.openxmlformats.org/officeDocument/2006/relationships/hyperlink" Target="https://in.tradingview.com/chart/?symbol=NSE:SBICARD" TargetMode="External"/><Relationship Id="rId3" Type="http://schemas.openxmlformats.org/officeDocument/2006/relationships/hyperlink" Target="https://in.tradingview.com/chart/?symbol=NSE:UBL" TargetMode="External"/><Relationship Id="rId4" Type="http://schemas.openxmlformats.org/officeDocument/2006/relationships/hyperlink" Target="https://in.tradingview.com/chart/?symbol=NSE:BALKRISIND" TargetMode="External"/><Relationship Id="rId9" Type="http://schemas.openxmlformats.org/officeDocument/2006/relationships/hyperlink" Target="https://in.tradingview.com/chart/?symbol=NSE:AXISBANK" TargetMode="External"/><Relationship Id="rId5" Type="http://schemas.openxmlformats.org/officeDocument/2006/relationships/hyperlink" Target="https://in.tradingview.com/chart/?symbol=NSE:BEL" TargetMode="External"/><Relationship Id="rId6" Type="http://schemas.openxmlformats.org/officeDocument/2006/relationships/hyperlink" Target="https://in.tradingview.com/chart/?symbol=NSE:AMBUJACEM" TargetMode="External"/><Relationship Id="rId7" Type="http://schemas.openxmlformats.org/officeDocument/2006/relationships/hyperlink" Target="https://in.tradingview.com/chart/?symbol=NSE:BAJFINANCE" TargetMode="External"/><Relationship Id="rId8" Type="http://schemas.openxmlformats.org/officeDocument/2006/relationships/hyperlink" Target="https://in.tradingview.com/chart/?symbol=NSE:APLLTD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n.tradingview.com/chart/?symbol=NSE:SASTASUNDR" TargetMode="External"/><Relationship Id="rId2" Type="http://schemas.openxmlformats.org/officeDocument/2006/relationships/hyperlink" Target="https://youtu.be/x4lgNgktJ64" TargetMode="External"/><Relationship Id="rId3" Type="http://schemas.openxmlformats.org/officeDocument/2006/relationships/hyperlink" Target="https://www.youtube.com/playlist?list=PL3Xt6LmTMVXm2aphMzJfUKCfuvanF8i9h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P9rJK_Z89JiTLutDhmwQ3pcLqdBHDch7l0SOlQLCgUY/edit?usp=sharing" TargetMode="External"/><Relationship Id="rId22" Type="http://schemas.openxmlformats.org/officeDocument/2006/relationships/hyperlink" Target="https://docs.google.com/spreadsheets/d/1YXzesxCHa9kIs3q0A80qNiuMwSCIJIFd1fpxDvsBwjs/edit?usp=sharing" TargetMode="External"/><Relationship Id="rId21" Type="http://schemas.openxmlformats.org/officeDocument/2006/relationships/hyperlink" Target="https://youtu.be/TZQOlHKbtyQ" TargetMode="External"/><Relationship Id="rId24" Type="http://schemas.openxmlformats.org/officeDocument/2006/relationships/hyperlink" Target="https://www.youtube.com/playlist?list=PL3Xt6LmTMVXk3ZGLUX8KIYYsjQLf5OYln" TargetMode="External"/><Relationship Id="rId23" Type="http://schemas.openxmlformats.org/officeDocument/2006/relationships/hyperlink" Target="https://www.youtube.com/playlist?list=PL3Xt6LmTMVXm2aphMzJfUKCfuvanF8i9h" TargetMode="External"/><Relationship Id="rId1" Type="http://schemas.openxmlformats.org/officeDocument/2006/relationships/hyperlink" Target="https://t.me/nitinpotade" TargetMode="External"/><Relationship Id="rId2" Type="http://schemas.openxmlformats.org/officeDocument/2006/relationships/hyperlink" Target="https://youtu.be/OUCVE2X95IY" TargetMode="External"/><Relationship Id="rId3" Type="http://schemas.openxmlformats.org/officeDocument/2006/relationships/hyperlink" Target="https://docs.google.com/spreadsheets/d/1tisrGEMhzklYADWO5t3MzARPHPglPspcwZXjZKJ2k0A/edit?usp=sharing" TargetMode="External"/><Relationship Id="rId4" Type="http://schemas.openxmlformats.org/officeDocument/2006/relationships/hyperlink" Target="https://youtu.be/QNzPLu2Mwlg" TargetMode="External"/><Relationship Id="rId9" Type="http://schemas.openxmlformats.org/officeDocument/2006/relationships/hyperlink" Target="https://youtu.be/MLnqvqLuB64" TargetMode="External"/><Relationship Id="rId26" Type="http://schemas.openxmlformats.org/officeDocument/2006/relationships/hyperlink" Target="https://www.youtube.com/playlist?list=PL3Xt6LmTMVXmn5pX9WF91kCWZfq1btGui" TargetMode="External"/><Relationship Id="rId25" Type="http://schemas.openxmlformats.org/officeDocument/2006/relationships/hyperlink" Target="https://www.youtube.com/playlist?list=PL3Xt6LmTMVXl4mO1d8Qde0Gnnm-thycR7" TargetMode="External"/><Relationship Id="rId28" Type="http://schemas.openxmlformats.org/officeDocument/2006/relationships/drawing" Target="../drawings/drawing7.xml"/><Relationship Id="rId27" Type="http://schemas.openxmlformats.org/officeDocument/2006/relationships/hyperlink" Target="https://www.youtube.com/playlist?list=PL3Xt6LmTMVXnje5OaNs27Ii-WpLtLNZ4c" TargetMode="External"/><Relationship Id="rId5" Type="http://schemas.openxmlformats.org/officeDocument/2006/relationships/hyperlink" Target="https://docs.google.com/spreadsheets/d/1oHvf2hy-6dQ79EHfy3_6FF1fCY7WwdXyZVQZlWE0ZMo/edit?usp=sharing" TargetMode="External"/><Relationship Id="rId6" Type="http://schemas.openxmlformats.org/officeDocument/2006/relationships/hyperlink" Target="https://youtu.be/HWnaxi90jc4" TargetMode="External"/><Relationship Id="rId7" Type="http://schemas.openxmlformats.org/officeDocument/2006/relationships/hyperlink" Target="https://docs.google.com/spreadsheets/d/1mvz7CvqK8h6HAEteYZ87jkUKNUAxyYBvwoOzSscXqyc/edit?usp=sharing" TargetMode="External"/><Relationship Id="rId8" Type="http://schemas.openxmlformats.org/officeDocument/2006/relationships/hyperlink" Target="https://docs.google.com/spreadsheets/d/1SPe7sq7KIM11Qsi53xK9qgTxbN0c2cp1zr3xgfJ12TU/edit?usp=sharing" TargetMode="External"/><Relationship Id="rId11" Type="http://schemas.openxmlformats.org/officeDocument/2006/relationships/hyperlink" Target="https://youtu.be/at6NApb7LmQ" TargetMode="External"/><Relationship Id="rId10" Type="http://schemas.openxmlformats.org/officeDocument/2006/relationships/hyperlink" Target="https://docs.google.com/spreadsheets/d/1w1y-pgOOlIyD1-kOvDS8IE0QcbWdApWGSe5da3SVEXU/edit?usp=sharing" TargetMode="External"/><Relationship Id="rId13" Type="http://schemas.openxmlformats.org/officeDocument/2006/relationships/hyperlink" Target="https://youtu.be/_2ig9XLllKs" TargetMode="External"/><Relationship Id="rId12" Type="http://schemas.openxmlformats.org/officeDocument/2006/relationships/hyperlink" Target="https://docs.google.com/spreadsheets/d/1w1y-pgOOlIyD1-kOvDS8IE0QcbWdApWGSe5da3SVEXU/edit?usp=sharing" TargetMode="External"/><Relationship Id="rId15" Type="http://schemas.openxmlformats.org/officeDocument/2006/relationships/hyperlink" Target="https://youtu.be/Dx6ybhD9_Yg" TargetMode="External"/><Relationship Id="rId14" Type="http://schemas.openxmlformats.org/officeDocument/2006/relationships/hyperlink" Target="https://docs.google.com/spreadsheets/d/1I3ktby3qA_EAbcHIZxEVsMomy5Y5qkXO9ppEweNfJXQ/edit?usp=sharing" TargetMode="External"/><Relationship Id="rId17" Type="http://schemas.openxmlformats.org/officeDocument/2006/relationships/hyperlink" Target="https://youtu.be/vsbCLjI5UHk" TargetMode="External"/><Relationship Id="rId16" Type="http://schemas.openxmlformats.org/officeDocument/2006/relationships/hyperlink" Target="https://docs.google.com/spreadsheets/d/1_eJOGkPHrYSNmF10NPwKxX7y1_JgEJ8GsZtUoRcQtUM/edit?usp=sharing" TargetMode="External"/><Relationship Id="rId19" Type="http://schemas.openxmlformats.org/officeDocument/2006/relationships/hyperlink" Target="https://youtu.be/Zjspx34LZMM" TargetMode="External"/><Relationship Id="rId18" Type="http://schemas.openxmlformats.org/officeDocument/2006/relationships/hyperlink" Target="https://docs.google.com/spreadsheets/d/1I3ktby3qA_EAbcHIZxEVsMomy5Y5qkXO9ppEweNfJXQ/edit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3Xt6LmTMVXm2aphMzJfUKCfuvanF8i9h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88"/>
    <col customWidth="1" min="2" max="2" width="5.25"/>
    <col customWidth="1" min="3" max="3" width="14.88"/>
    <col customWidth="1" min="4" max="4" width="10.88"/>
    <col customWidth="1" min="5" max="5" width="11.0"/>
    <col customWidth="1" min="6" max="6" width="12.13"/>
    <col customWidth="1" min="7" max="7" width="11.75"/>
    <col customWidth="1" min="8" max="8" width="87.88"/>
  </cols>
  <sheetData>
    <row r="1">
      <c r="A1" s="1"/>
      <c r="B1" s="2" t="str">
        <f>IFERROR(__xludf.DUMMYFUNCTION("IF(A1=""A"",""Pl check Thursday Darvas Box after close of Thursday's Tradetime "",IMPORTRANGE(""1f2jjAUaMepXAo8gaxfjA_5wpUPqdxz5BWRfSZPPVZyo"",""01!N1:N1""))"),"WEEKLY DARVAS BOX DATA FOR THE PERIOD ")</f>
        <v>WEEKLY DARVAS BOX DATA FOR THE PERIOD </v>
      </c>
      <c r="H1" s="3" t="str">
        <f>HYPERLINK("https://www.youtube.com/channel/UCDbfoNplY71wi5e_qiO_szg?view_as=subscriber","SUBSCRIBE")</f>
        <v>SUBSCRIBE</v>
      </c>
    </row>
    <row r="2">
      <c r="B2" s="4"/>
      <c r="C2" s="4" t="str">
        <f>IF(A1="A","","BETWEEN")</f>
        <v>BETWEEN</v>
      </c>
      <c r="D2" s="5" t="str">
        <f>IFERROR(__xludf.DUMMYFUNCTION("IF(A1=""A"","""",IMPORTRANGE(""1f2jjAUaMepXAo8gaxfjA_5wpUPqdxz5BWRfSZPPVZyo"",""01!AF1""))"),"15/05/2026")</f>
        <v>15/05/2026</v>
      </c>
      <c r="E2" s="5" t="str">
        <f>IF(A1="A","","TO")</f>
        <v>TO</v>
      </c>
      <c r="F2" s="5" t="str">
        <f>IFERROR(__xludf.DUMMYFUNCTION("IF(A1=""A"","""",IMPORTRANGE(""1f2jjAUaMepXAo8gaxfjA_5wpUPqdxz5BWRfSZPPVZyo"",""01!AF2""))"),"21/05/2026")</f>
        <v>21/05/2026</v>
      </c>
      <c r="G2" s="4"/>
      <c r="H2" s="6" t="s">
        <v>0</v>
      </c>
    </row>
    <row r="3">
      <c r="A3" s="7" t="s">
        <v>1</v>
      </c>
      <c r="B3" s="8" t="str">
        <f>IFERROR(__xludf.DUMMYFUNCTION("IF(A1=""A"","""",IMPORTRANGE(""1f2jjAUaMepXAo8gaxfjA_5wpUPqdxz5BWRfSZPPVZyo"",""01!N3:Q203""))"),"No.")</f>
        <v>No.</v>
      </c>
      <c r="C3" s="8" t="str">
        <f>IFERROR(__xludf.DUMMYFUNCTION("""COMPUTED_VALUE"""),"SYMBOL")</f>
        <v>SYMBOL</v>
      </c>
      <c r="D3" s="8" t="str">
        <f>IFERROR(__xludf.DUMMYFUNCTION("""COMPUTED_VALUE"""),"DB_HIGH")</f>
        <v>DB_HIGH</v>
      </c>
      <c r="E3" s="8" t="str">
        <f>IFERROR(__xludf.DUMMYFUNCTION("""COMPUTED_VALUE"""),"DB_LOW")</f>
        <v>DB_LOW</v>
      </c>
      <c r="F3" s="9" t="str">
        <f>IF(A1="A","","CUR.PRICE")</f>
        <v>CUR.PRICE</v>
      </c>
      <c r="G3" s="9" t="str">
        <f>IF(A1="A","","CHART")</f>
        <v>CHART</v>
      </c>
      <c r="H3" s="10">
        <f>IFERROR(__xludf.DUMMYFUNCTION("GOOGLEFINANCE(""NSE:SBIN"",""TRADETIME"")"),46169.47828703704)</f>
        <v>46169.47829</v>
      </c>
    </row>
    <row r="4">
      <c r="A4" s="11" t="str">
        <f t="shared" ref="A4:A10" si="1">IFERROR(IF(F4&gt;D4,"X",IF(F4&lt;E4,"Y","")),"")</f>
        <v>Y</v>
      </c>
      <c r="B4" s="12">
        <f>IFERROR(__xludf.DUMMYFUNCTION("""COMPUTED_VALUE"""),1.0)</f>
        <v>1</v>
      </c>
      <c r="C4" s="12" t="str">
        <f>IFERROR(__xludf.DUMMYFUNCTION("""COMPUTED_VALUE"""),"COALINDIA")</f>
        <v>COALINDIA</v>
      </c>
      <c r="D4" s="13">
        <f>IFERROR(__xludf.DUMMYFUNCTION("""COMPUTED_VALUE"""),468.5)</f>
        <v>468.5</v>
      </c>
      <c r="E4" s="13">
        <f>IFERROR(__xludf.DUMMYFUNCTION("""COMPUTED_VALUE"""),452.7)</f>
        <v>452.7</v>
      </c>
      <c r="F4" s="13">
        <f>IFERROR(__xludf.DUMMYFUNCTION("IFERROR(GOOGLEFINANCE(""NSE:""&amp;C4,""PRICE""),"""")"),451.3)</f>
        <v>451.3</v>
      </c>
      <c r="G4" s="14" t="str">
        <f t="shared" ref="G4:G203" si="2">IF(C4="","",HYPERLINK("https://in.tradingview.com/chart/?symbol=NSE:"&amp;C4,"CHART"))</f>
        <v>CHART</v>
      </c>
      <c r="H4" s="15" t="s">
        <v>2</v>
      </c>
    </row>
    <row r="5">
      <c r="A5" s="11" t="str">
        <f t="shared" si="1"/>
        <v/>
      </c>
      <c r="B5" s="12">
        <f>IFERROR(__xludf.DUMMYFUNCTION("""COMPUTED_VALUE"""),2.0)</f>
        <v>2</v>
      </c>
      <c r="C5" s="12" t="str">
        <f>IFERROR(__xludf.DUMMYFUNCTION("""COMPUTED_VALUE"""),"HDFCBANK")</f>
        <v>HDFCBANK</v>
      </c>
      <c r="D5" s="13">
        <f>IFERROR(__xludf.DUMMYFUNCTION("""COMPUTED_VALUE"""),781.9)</f>
        <v>781.9</v>
      </c>
      <c r="E5" s="13">
        <f>IFERROR(__xludf.DUMMYFUNCTION("""COMPUTED_VALUE"""),751.35)</f>
        <v>751.35</v>
      </c>
      <c r="F5" s="13">
        <f>IFERROR(__xludf.DUMMYFUNCTION("IFERROR(GOOGLEFINANCE(""NSE:""&amp;C5,""PRICE""),"""")"),765.5)</f>
        <v>765.5</v>
      </c>
      <c r="G5" s="14" t="str">
        <f t="shared" si="2"/>
        <v>CHART</v>
      </c>
      <c r="H5" s="15" t="s">
        <v>3</v>
      </c>
    </row>
    <row r="6">
      <c r="A6" s="11" t="str">
        <f t="shared" si="1"/>
        <v>X</v>
      </c>
      <c r="B6" s="12">
        <f>IFERROR(__xludf.DUMMYFUNCTION("""COMPUTED_VALUE"""),3.0)</f>
        <v>3</v>
      </c>
      <c r="C6" s="12" t="str">
        <f>IFERROR(__xludf.DUMMYFUNCTION("""COMPUTED_VALUE"""),"ADANIENT")</f>
        <v>ADANIENT</v>
      </c>
      <c r="D6" s="13">
        <f>IFERROR(__xludf.DUMMYFUNCTION("""COMPUTED_VALUE"""),2803.1)</f>
        <v>2803.1</v>
      </c>
      <c r="E6" s="13">
        <f>IFERROR(__xludf.DUMMYFUNCTION("""COMPUTED_VALUE"""),2647.5)</f>
        <v>2647.5</v>
      </c>
      <c r="F6" s="13">
        <f>IFERROR(__xludf.DUMMYFUNCTION("IFERROR(GOOGLEFINANCE(""NSE:""&amp;C6,""PRICE""),"""")"),2982.5)</f>
        <v>2982.5</v>
      </c>
      <c r="G6" s="14" t="str">
        <f t="shared" si="2"/>
        <v>CHART</v>
      </c>
      <c r="H6" s="16" t="s">
        <v>4</v>
      </c>
    </row>
    <row r="7">
      <c r="A7" s="11" t="str">
        <f t="shared" si="1"/>
        <v>X</v>
      </c>
      <c r="B7" s="12">
        <f>IFERROR(__xludf.DUMMYFUNCTION("""COMPUTED_VALUE"""),4.0)</f>
        <v>4</v>
      </c>
      <c r="C7" s="12" t="str">
        <f>IFERROR(__xludf.DUMMYFUNCTION("""COMPUTED_VALUE"""),"ADANIENSOL")</f>
        <v>ADANIENSOL</v>
      </c>
      <c r="D7" s="13">
        <f>IFERROR(__xludf.DUMMYFUNCTION("""COMPUTED_VALUE"""),1395.0)</f>
        <v>1395</v>
      </c>
      <c r="E7" s="13">
        <f>IFERROR(__xludf.DUMMYFUNCTION("""COMPUTED_VALUE"""),1248.2)</f>
        <v>1248.2</v>
      </c>
      <c r="F7" s="13">
        <f>IFERROR(__xludf.DUMMYFUNCTION("IFERROR(GOOGLEFINANCE(""NSE:""&amp;C7,""PRICE""),"""")"),1530.0)</f>
        <v>1530</v>
      </c>
      <c r="G7" s="14" t="str">
        <f t="shared" si="2"/>
        <v>CHART</v>
      </c>
      <c r="H7" s="17" t="s">
        <v>5</v>
      </c>
    </row>
    <row r="8">
      <c r="A8" s="11" t="str">
        <f t="shared" si="1"/>
        <v>X</v>
      </c>
      <c r="B8" s="12">
        <f>IFERROR(__xludf.DUMMYFUNCTION("""COMPUTED_VALUE"""),5.0)</f>
        <v>5</v>
      </c>
      <c r="C8" s="12" t="str">
        <f>IFERROR(__xludf.DUMMYFUNCTION("""COMPUTED_VALUE"""),"HINDALCO")</f>
        <v>HINDALCO</v>
      </c>
      <c r="D8" s="13">
        <f>IFERROR(__xludf.DUMMYFUNCTION("""COMPUTED_VALUE"""),1110.9)</f>
        <v>1110.9</v>
      </c>
      <c r="E8" s="13">
        <f>IFERROR(__xludf.DUMMYFUNCTION("""COMPUTED_VALUE"""),1037.1)</f>
        <v>1037.1</v>
      </c>
      <c r="F8" s="13">
        <f>IFERROR(__xludf.DUMMYFUNCTION("IFERROR(GOOGLEFINANCE(""NSE:""&amp;C8,""PRICE""),"""")"),1148.3)</f>
        <v>1148.3</v>
      </c>
      <c r="G8" s="14" t="str">
        <f t="shared" si="2"/>
        <v>CHART</v>
      </c>
      <c r="H8" s="18" t="s">
        <v>6</v>
      </c>
    </row>
    <row r="9">
      <c r="A9" s="11" t="str">
        <f t="shared" si="1"/>
        <v>X</v>
      </c>
      <c r="B9" s="12">
        <f>IFERROR(__xludf.DUMMYFUNCTION("""COMPUTED_VALUE"""),6.0)</f>
        <v>6</v>
      </c>
      <c r="C9" s="12" t="str">
        <f>IFERROR(__xludf.DUMMYFUNCTION("""COMPUTED_VALUE"""),"ADANIPOWER")</f>
        <v>ADANIPOWER</v>
      </c>
      <c r="D9" s="13">
        <f>IFERROR(__xludf.DUMMYFUNCTION("""COMPUTED_VALUE"""),229.0)</f>
        <v>229</v>
      </c>
      <c r="E9" s="13">
        <f>IFERROR(__xludf.DUMMYFUNCTION("""COMPUTED_VALUE"""),213.78)</f>
        <v>213.78</v>
      </c>
      <c r="F9" s="13">
        <f>IFERROR(__xludf.DUMMYFUNCTION("IFERROR(GOOGLEFINANCE(""NSE:""&amp;C9,""PRICE""),"""")"),252.31)</f>
        <v>252.31</v>
      </c>
      <c r="G9" s="14" t="str">
        <f t="shared" si="2"/>
        <v>CHART</v>
      </c>
      <c r="H9" s="18" t="s">
        <v>7</v>
      </c>
    </row>
    <row r="10">
      <c r="A10" s="11" t="str">
        <f t="shared" si="1"/>
        <v>X</v>
      </c>
      <c r="B10" s="12">
        <f>IFERROR(__xludf.DUMMYFUNCTION("""COMPUTED_VALUE"""),7.0)</f>
        <v>7</v>
      </c>
      <c r="C10" s="12" t="str">
        <f>IFERROR(__xludf.DUMMYFUNCTION("""COMPUTED_VALUE"""),"BSE")</f>
        <v>BSE</v>
      </c>
      <c r="D10" s="13">
        <f>IFERROR(__xludf.DUMMYFUNCTION("""COMPUTED_VALUE"""),4298.9)</f>
        <v>4298.9</v>
      </c>
      <c r="E10" s="13">
        <f>IFERROR(__xludf.DUMMYFUNCTION("""COMPUTED_VALUE"""),3940.0)</f>
        <v>3940</v>
      </c>
      <c r="F10" s="13">
        <f>IFERROR(__xludf.DUMMYFUNCTION("IFERROR(GOOGLEFINANCE(""NSE:""&amp;C10,""PRICE""),"""")"),4356.2)</f>
        <v>4356.2</v>
      </c>
      <c r="G10" s="14" t="str">
        <f t="shared" si="2"/>
        <v>CHART</v>
      </c>
      <c r="H10" s="19" t="s">
        <v>8</v>
      </c>
    </row>
    <row r="11">
      <c r="A11" s="11" t="str">
        <f>IF(VALUE(F11)&gt;VALUE(D11),"X",IF(VALUE(F11)&lt;VALUE(E11),"Y",""))</f>
        <v>X</v>
      </c>
      <c r="B11" s="12">
        <f>IFERROR(__xludf.DUMMYFUNCTION("""COMPUTED_VALUE"""),8.0)</f>
        <v>8</v>
      </c>
      <c r="C11" s="12" t="str">
        <f>IFERROR(__xludf.DUMMYFUNCTION("""COMPUTED_VALUE"""),"NATIONALUM")</f>
        <v>NATIONALUM</v>
      </c>
      <c r="D11" s="13">
        <f>IFERROR(__xludf.DUMMYFUNCTION("""COMPUTED_VALUE"""),416.5)</f>
        <v>416.5</v>
      </c>
      <c r="E11" s="13">
        <f>IFERROR(__xludf.DUMMYFUNCTION("""COMPUTED_VALUE"""),391.45)</f>
        <v>391.45</v>
      </c>
      <c r="F11" s="13">
        <f>IFERROR(__xludf.DUMMYFUNCTION("IFERROR(GOOGLEFINANCE(""NSE:""&amp;C11,""PRICE""),"""")"),434.0)</f>
        <v>434</v>
      </c>
      <c r="G11" s="14" t="str">
        <f t="shared" si="2"/>
        <v>CHART</v>
      </c>
      <c r="H11" s="18" t="s">
        <v>9</v>
      </c>
    </row>
    <row r="12">
      <c r="A12" s="11" t="str">
        <f t="shared" ref="A12:A203" si="3">IFERROR(IF(F12&gt;D12,"X",IF(F12&lt;E12,"Y","")),"")</f>
        <v>X</v>
      </c>
      <c r="B12" s="12">
        <f>IFERROR(__xludf.DUMMYFUNCTION("""COMPUTED_VALUE"""),9.0)</f>
        <v>9</v>
      </c>
      <c r="C12" s="12" t="str">
        <f>IFERROR(__xludf.DUMMYFUNCTION("""COMPUTED_VALUE"""),"ADANIGREEN")</f>
        <v>ADANIGREEN</v>
      </c>
      <c r="D12" s="13">
        <f>IFERROR(__xludf.DUMMYFUNCTION("""COMPUTED_VALUE"""),1471.0)</f>
        <v>1471</v>
      </c>
      <c r="E12" s="13">
        <f>IFERROR(__xludf.DUMMYFUNCTION("""COMPUTED_VALUE"""),1312.4)</f>
        <v>1312.4</v>
      </c>
      <c r="F12" s="13">
        <f>IFERROR(__xludf.DUMMYFUNCTION("IFERROR(GOOGLEFINANCE(""NSE:""&amp;C12,""PRICE""),"""")"),1496.0)</f>
        <v>1496</v>
      </c>
      <c r="G12" s="14" t="str">
        <f t="shared" si="2"/>
        <v>CHART</v>
      </c>
      <c r="H12" s="18"/>
    </row>
    <row r="13">
      <c r="A13" s="11" t="str">
        <f t="shared" si="3"/>
        <v/>
      </c>
      <c r="B13" s="12">
        <f>IFERROR(__xludf.DUMMYFUNCTION("""COMPUTED_VALUE"""),10.0)</f>
        <v>10</v>
      </c>
      <c r="C13" s="12" t="str">
        <f>IFERROR(__xludf.DUMMYFUNCTION("""COMPUTED_VALUE"""),"TATASTEEL")</f>
        <v>TATASTEEL</v>
      </c>
      <c r="D13" s="13">
        <f>IFERROR(__xludf.DUMMYFUNCTION("""COMPUTED_VALUE"""),224.4)</f>
        <v>224.4</v>
      </c>
      <c r="E13" s="13">
        <f>IFERROR(__xludf.DUMMYFUNCTION("""COMPUTED_VALUE"""),203.04)</f>
        <v>203.04</v>
      </c>
      <c r="F13" s="13">
        <f>IFERROR(__xludf.DUMMYFUNCTION("IFERROR(GOOGLEFINANCE(""NSE:""&amp;C13,""PRICE""),"""")"),216.39)</f>
        <v>216.39</v>
      </c>
      <c r="G13" s="14" t="str">
        <f t="shared" si="2"/>
        <v>CHART</v>
      </c>
      <c r="H13" s="18" t="s">
        <v>10</v>
      </c>
    </row>
    <row r="14">
      <c r="A14" s="11" t="str">
        <f t="shared" si="3"/>
        <v>X</v>
      </c>
      <c r="B14" s="12">
        <f>IFERROR(__xludf.DUMMYFUNCTION("""COMPUTED_VALUE"""),11.0)</f>
        <v>11</v>
      </c>
      <c r="C14" s="12" t="str">
        <f>IFERROR(__xludf.DUMMYFUNCTION("""COMPUTED_VALUE"""),"ICICIBANK")</f>
        <v>ICICIBANK</v>
      </c>
      <c r="D14" s="13">
        <f>IFERROR(__xludf.DUMMYFUNCTION("""COMPUTED_VALUE"""),1258.0)</f>
        <v>1258</v>
      </c>
      <c r="E14" s="13">
        <f>IFERROR(__xludf.DUMMYFUNCTION("""COMPUTED_VALUE"""),1223.3)</f>
        <v>1223.3</v>
      </c>
      <c r="F14" s="13">
        <f>IFERROR(__xludf.DUMMYFUNCTION("IFERROR(GOOGLEFINANCE(""NSE:""&amp;C14,""PRICE""),"""")"),1289.8)</f>
        <v>1289.8</v>
      </c>
      <c r="G14" s="14" t="str">
        <f t="shared" si="2"/>
        <v>CHART</v>
      </c>
      <c r="H14" s="18" t="s">
        <v>11</v>
      </c>
    </row>
    <row r="15">
      <c r="A15" s="11" t="str">
        <f t="shared" si="3"/>
        <v/>
      </c>
      <c r="B15" s="12">
        <f>IFERROR(__xludf.DUMMYFUNCTION("""COMPUTED_VALUE"""),12.0)</f>
        <v>12</v>
      </c>
      <c r="C15" s="12" t="str">
        <f>IFERROR(__xludf.DUMMYFUNCTION("""COMPUTED_VALUE"""),"SIEMENS")</f>
        <v>SIEMENS</v>
      </c>
      <c r="D15" s="13">
        <f>IFERROR(__xludf.DUMMYFUNCTION("""COMPUTED_VALUE"""),3780.0)</f>
        <v>3780</v>
      </c>
      <c r="E15" s="13">
        <f>IFERROR(__xludf.DUMMYFUNCTION("""COMPUTED_VALUE"""),3454.5)</f>
        <v>3454.5</v>
      </c>
      <c r="F15" s="13">
        <f>IFERROR(__xludf.DUMMYFUNCTION("IFERROR(GOOGLEFINANCE(""NSE:""&amp;C15,""PRICE""),"""")"),3776.0)</f>
        <v>3776</v>
      </c>
      <c r="G15" s="14" t="str">
        <f t="shared" si="2"/>
        <v>CHART</v>
      </c>
      <c r="H15" s="18"/>
    </row>
    <row r="16">
      <c r="A16" s="11" t="str">
        <f t="shared" si="3"/>
        <v>X</v>
      </c>
      <c r="B16" s="12">
        <f>IFERROR(__xludf.DUMMYFUNCTION("""COMPUTED_VALUE"""),13.0)</f>
        <v>13</v>
      </c>
      <c r="C16" s="12" t="str">
        <f>IFERROR(__xludf.DUMMYFUNCTION("""COMPUTED_VALUE"""),"POWERINDIA")</f>
        <v>POWERINDIA</v>
      </c>
      <c r="D16" s="13">
        <f>IFERROR(__xludf.DUMMYFUNCTION("""COMPUTED_VALUE"""),36750.0)</f>
        <v>36750</v>
      </c>
      <c r="E16" s="13">
        <f>IFERROR(__xludf.DUMMYFUNCTION("""COMPUTED_VALUE"""),31195.0)</f>
        <v>31195</v>
      </c>
      <c r="F16" s="13">
        <f>IFERROR(__xludf.DUMMYFUNCTION("IFERROR(GOOGLEFINANCE(""NSE:""&amp;C16,""PRICE""),"""")"),36925.0)</f>
        <v>36925</v>
      </c>
      <c r="G16" s="14" t="str">
        <f t="shared" si="2"/>
        <v>CHART</v>
      </c>
      <c r="H16" s="20" t="s">
        <v>12</v>
      </c>
    </row>
    <row r="17">
      <c r="A17" s="11" t="str">
        <f t="shared" si="3"/>
        <v>X</v>
      </c>
      <c r="B17" s="12">
        <f>IFERROR(__xludf.DUMMYFUNCTION("""COMPUTED_VALUE"""),14.0)</f>
        <v>14</v>
      </c>
      <c r="C17" s="12" t="str">
        <f>IFERROR(__xludf.DUMMYFUNCTION("""COMPUTED_VALUE"""),"ETERNAL")</f>
        <v>ETERNAL</v>
      </c>
      <c r="D17" s="13">
        <f>IFERROR(__xludf.DUMMYFUNCTION("""COMPUTED_VALUE"""),249.85)</f>
        <v>249.85</v>
      </c>
      <c r="E17" s="13">
        <f>IFERROR(__xludf.DUMMYFUNCTION("""COMPUTED_VALUE"""),233.61)</f>
        <v>233.61</v>
      </c>
      <c r="F17" s="13">
        <f>IFERROR(__xludf.DUMMYFUNCTION("IFERROR(GOOGLEFINANCE(""NSE:""&amp;C17,""PRICE""),"""")"),253.97)</f>
        <v>253.97</v>
      </c>
      <c r="G17" s="14" t="str">
        <f t="shared" si="2"/>
        <v>CHART</v>
      </c>
      <c r="H17" s="21" t="s">
        <v>13</v>
      </c>
    </row>
    <row r="18">
      <c r="A18" s="11" t="str">
        <f t="shared" si="3"/>
        <v>Y</v>
      </c>
      <c r="B18" s="12">
        <f>IFERROR(__xludf.DUMMYFUNCTION("""COMPUTED_VALUE"""),15.0)</f>
        <v>15</v>
      </c>
      <c r="C18" s="12" t="str">
        <f>IFERROR(__xludf.DUMMYFUNCTION("""COMPUTED_VALUE"""),"MCX")</f>
        <v>MCX</v>
      </c>
      <c r="D18" s="13">
        <f>IFERROR(__xludf.DUMMYFUNCTION("""COMPUTED_VALUE"""),3480.0)</f>
        <v>3480</v>
      </c>
      <c r="E18" s="13">
        <f>IFERROR(__xludf.DUMMYFUNCTION("""COMPUTED_VALUE"""),3306.2)</f>
        <v>3306.2</v>
      </c>
      <c r="F18" s="13">
        <f>IFERROR(__xludf.DUMMYFUNCTION("IFERROR(GOOGLEFINANCE(""NSE:""&amp;C18,""PRICE""),"""")"),3251.2)</f>
        <v>3251.2</v>
      </c>
      <c r="G18" s="14" t="str">
        <f t="shared" si="2"/>
        <v>CHART</v>
      </c>
      <c r="H18" s="20" t="s">
        <v>14</v>
      </c>
    </row>
    <row r="19">
      <c r="A19" s="11" t="str">
        <f t="shared" si="3"/>
        <v/>
      </c>
      <c r="B19" s="12">
        <f>IFERROR(__xludf.DUMMYFUNCTION("""COMPUTED_VALUE"""),16.0)</f>
        <v>16</v>
      </c>
      <c r="C19" s="12" t="str">
        <f>IFERROR(__xludf.DUMMYFUNCTION("""COMPUTED_VALUE"""),"SBIN")</f>
        <v>SBIN</v>
      </c>
      <c r="D19" s="13">
        <f>IFERROR(__xludf.DUMMYFUNCTION("""COMPUTED_VALUE"""),972.5)</f>
        <v>972.5</v>
      </c>
      <c r="E19" s="13">
        <f>IFERROR(__xludf.DUMMYFUNCTION("""COMPUTED_VALUE"""),933.9)</f>
        <v>933.9</v>
      </c>
      <c r="F19" s="13">
        <f>IFERROR(__xludf.DUMMYFUNCTION("IFERROR(GOOGLEFINANCE(""NSE:""&amp;C19,""PRICE""),"""")"),971.2)</f>
        <v>971.2</v>
      </c>
      <c r="G19" s="14" t="str">
        <f t="shared" si="2"/>
        <v>CHART</v>
      </c>
      <c r="H19" s="21" t="s">
        <v>15</v>
      </c>
    </row>
    <row r="20">
      <c r="A20" s="11" t="str">
        <f t="shared" si="3"/>
        <v>Y</v>
      </c>
      <c r="B20" s="12">
        <f>IFERROR(__xludf.DUMMYFUNCTION("""COMPUTED_VALUE"""),17.0)</f>
        <v>17</v>
      </c>
      <c r="C20" s="12" t="str">
        <f>IFERROR(__xludf.DUMMYFUNCTION("""COMPUTED_VALUE"""),"ONGC")</f>
        <v>ONGC</v>
      </c>
      <c r="D20" s="13">
        <f>IFERROR(__xludf.DUMMYFUNCTION("""COMPUTED_VALUE"""),304.95)</f>
        <v>304.95</v>
      </c>
      <c r="E20" s="13">
        <f>IFERROR(__xludf.DUMMYFUNCTION("""COMPUTED_VALUE"""),293.65)</f>
        <v>293.65</v>
      </c>
      <c r="F20" s="13">
        <f>IFERROR(__xludf.DUMMYFUNCTION("IFERROR(GOOGLEFINANCE(""NSE:""&amp;C20,""PRICE""),"""")"),277.15)</f>
        <v>277.15</v>
      </c>
      <c r="G20" s="14" t="str">
        <f t="shared" si="2"/>
        <v>CHART</v>
      </c>
    </row>
    <row r="21">
      <c r="A21" s="11" t="str">
        <f t="shared" si="3"/>
        <v>X</v>
      </c>
      <c r="B21" s="12">
        <f>IFERROR(__xludf.DUMMYFUNCTION("""COMPUTED_VALUE"""),18.0)</f>
        <v>18</v>
      </c>
      <c r="C21" s="12" t="str">
        <f>IFERROR(__xludf.DUMMYFUNCTION("""COMPUTED_VALUE"""),"EXIDEIND")</f>
        <v>EXIDEIND</v>
      </c>
      <c r="D21" s="13">
        <f>IFERROR(__xludf.DUMMYFUNCTION("""COMPUTED_VALUE"""),352.05)</f>
        <v>352.05</v>
      </c>
      <c r="E21" s="13">
        <f>IFERROR(__xludf.DUMMYFUNCTION("""COMPUTED_VALUE"""),333.5)</f>
        <v>333.5</v>
      </c>
      <c r="F21" s="13">
        <f>IFERROR(__xludf.DUMMYFUNCTION("IFERROR(GOOGLEFINANCE(""NSE:""&amp;C21,""PRICE""),"""")"),392.0)</f>
        <v>392</v>
      </c>
      <c r="G21" s="14" t="str">
        <f t="shared" si="2"/>
        <v>CHART</v>
      </c>
    </row>
    <row r="22">
      <c r="A22" s="11" t="str">
        <f t="shared" si="3"/>
        <v/>
      </c>
      <c r="B22" s="12">
        <f>IFERROR(__xludf.DUMMYFUNCTION("""COMPUTED_VALUE"""),19.0)</f>
        <v>19</v>
      </c>
      <c r="C22" s="12" t="str">
        <f>IFERROR(__xludf.DUMMYFUNCTION("""COMPUTED_VALUE"""),"RELIANCE")</f>
        <v>RELIANCE</v>
      </c>
      <c r="D22" s="13">
        <f>IFERROR(__xludf.DUMMYFUNCTION("""COMPUTED_VALUE"""),1370.9)</f>
        <v>1370.9</v>
      </c>
      <c r="E22" s="13">
        <f>IFERROR(__xludf.DUMMYFUNCTION("""COMPUTED_VALUE"""),1312.6)</f>
        <v>1312.6</v>
      </c>
      <c r="F22" s="13">
        <f>IFERROR(__xludf.DUMMYFUNCTION("IFERROR(GOOGLEFINANCE(""NSE:""&amp;C22,""PRICE""),"""")"),1359.5)</f>
        <v>1359.5</v>
      </c>
      <c r="G22" s="14" t="str">
        <f t="shared" si="2"/>
        <v>CHART</v>
      </c>
    </row>
    <row r="23">
      <c r="A23" s="11" t="str">
        <f t="shared" si="3"/>
        <v>Y</v>
      </c>
      <c r="B23" s="12">
        <f>IFERROR(__xludf.DUMMYFUNCTION("""COMPUTED_VALUE"""),20.0)</f>
        <v>20</v>
      </c>
      <c r="C23" s="12" t="str">
        <f>IFERROR(__xludf.DUMMYFUNCTION("""COMPUTED_VALUE"""),"ITC")</f>
        <v>ITC</v>
      </c>
      <c r="D23" s="13">
        <f>IFERROR(__xludf.DUMMYFUNCTION("""COMPUTED_VALUE"""),314.25)</f>
        <v>314.25</v>
      </c>
      <c r="E23" s="13">
        <f>IFERROR(__xludf.DUMMYFUNCTION("""COMPUTED_VALUE"""),305.8)</f>
        <v>305.8</v>
      </c>
      <c r="F23" s="13">
        <f>IFERROR(__xludf.DUMMYFUNCTION("IFERROR(GOOGLEFINANCE(""NSE:""&amp;C23,""PRICE""),"""")"),293.6)</f>
        <v>293.6</v>
      </c>
      <c r="G23" s="14" t="str">
        <f t="shared" si="2"/>
        <v>CHART</v>
      </c>
    </row>
    <row r="24">
      <c r="A24" s="11" t="str">
        <f t="shared" si="3"/>
        <v>X</v>
      </c>
      <c r="B24" s="12">
        <f>IFERROR(__xludf.DUMMYFUNCTION("""COMPUTED_VALUE"""),21.0)</f>
        <v>21</v>
      </c>
      <c r="C24" s="12" t="str">
        <f>IFERROR(__xludf.DUMMYFUNCTION("""COMPUTED_VALUE"""),"SAIL")</f>
        <v>SAIL</v>
      </c>
      <c r="D24" s="13">
        <f>IFERROR(__xludf.DUMMYFUNCTION("""COMPUTED_VALUE"""),202.0)</f>
        <v>202</v>
      </c>
      <c r="E24" s="13">
        <f>IFERROR(__xludf.DUMMYFUNCTION("""COMPUTED_VALUE"""),188.21)</f>
        <v>188.21</v>
      </c>
      <c r="F24" s="13">
        <f>IFERROR(__xludf.DUMMYFUNCTION("IFERROR(GOOGLEFINANCE(""NSE:""&amp;C24,""PRICE""),"""")"),205.5)</f>
        <v>205.5</v>
      </c>
      <c r="G24" s="14" t="str">
        <f t="shared" si="2"/>
        <v>CHART</v>
      </c>
    </row>
    <row r="25">
      <c r="A25" s="11" t="str">
        <f t="shared" si="3"/>
        <v/>
      </c>
      <c r="B25" s="12">
        <f>IFERROR(__xludf.DUMMYFUNCTION("""COMPUTED_VALUE"""),22.0)</f>
        <v>22</v>
      </c>
      <c r="C25" s="12" t="str">
        <f>IFERROR(__xludf.DUMMYFUNCTION("""COMPUTED_VALUE"""),"INFY")</f>
        <v>INFY</v>
      </c>
      <c r="D25" s="13">
        <f>IFERROR(__xludf.DUMMYFUNCTION("""COMPUTED_VALUE"""),1206.9)</f>
        <v>1206.9</v>
      </c>
      <c r="E25" s="13">
        <f>IFERROR(__xludf.DUMMYFUNCTION("""COMPUTED_VALUE"""),1101.6)</f>
        <v>1101.6</v>
      </c>
      <c r="F25" s="13">
        <f>IFERROR(__xludf.DUMMYFUNCTION("IFERROR(GOOGLEFINANCE(""NSE:""&amp;C25,""PRICE""),"""")"),1163.1)</f>
        <v>1163.1</v>
      </c>
      <c r="G25" s="14" t="str">
        <f t="shared" si="2"/>
        <v>CHART</v>
      </c>
    </row>
    <row r="26">
      <c r="A26" s="11" t="str">
        <f t="shared" si="3"/>
        <v>X</v>
      </c>
      <c r="B26" s="12">
        <f>IFERROR(__xludf.DUMMYFUNCTION("""COMPUTED_VALUE"""),23.0)</f>
        <v>23</v>
      </c>
      <c r="C26" s="12" t="str">
        <f>IFERROR(__xludf.DUMMYFUNCTION("""COMPUTED_VALUE"""),"VEDL")</f>
        <v>VEDL</v>
      </c>
      <c r="D26" s="13">
        <f>IFERROR(__xludf.DUMMYFUNCTION("""COMPUTED_VALUE"""),339.45)</f>
        <v>339.45</v>
      </c>
      <c r="E26" s="13">
        <f>IFERROR(__xludf.DUMMYFUNCTION("""COMPUTED_VALUE"""),320.65)</f>
        <v>320.65</v>
      </c>
      <c r="F26" s="13">
        <f>IFERROR(__xludf.DUMMYFUNCTION("IFERROR(GOOGLEFINANCE(""NSE:""&amp;C26,""PRICE""),"""")"),353.75)</f>
        <v>353.75</v>
      </c>
      <c r="G26" s="14" t="str">
        <f t="shared" si="2"/>
        <v>CHART</v>
      </c>
    </row>
    <row r="27">
      <c r="A27" s="11" t="str">
        <f t="shared" si="3"/>
        <v>X</v>
      </c>
      <c r="B27" s="12">
        <f>IFERROR(__xludf.DUMMYFUNCTION("""COMPUTED_VALUE"""),24.0)</f>
        <v>24</v>
      </c>
      <c r="C27" s="12" t="str">
        <f>IFERROR(__xludf.DUMMYFUNCTION("""COMPUTED_VALUE"""),"LT")</f>
        <v>LT</v>
      </c>
      <c r="D27" s="13">
        <f>IFERROR(__xludf.DUMMYFUNCTION("""COMPUTED_VALUE"""),3970.0)</f>
        <v>3970</v>
      </c>
      <c r="E27" s="13">
        <f>IFERROR(__xludf.DUMMYFUNCTION("""COMPUTED_VALUE"""),3852.0)</f>
        <v>3852</v>
      </c>
      <c r="F27" s="13">
        <f>IFERROR(__xludf.DUMMYFUNCTION("IFERROR(GOOGLEFINANCE(""NSE:""&amp;C27,""PRICE""),"""")"),4061.9)</f>
        <v>4061.9</v>
      </c>
      <c r="G27" s="14" t="str">
        <f t="shared" si="2"/>
        <v>CHART</v>
      </c>
    </row>
    <row r="28">
      <c r="A28" s="11" t="str">
        <f t="shared" si="3"/>
        <v>X</v>
      </c>
      <c r="B28" s="12">
        <f>IFERROR(__xludf.DUMMYFUNCTION("""COMPUTED_VALUE"""),25.0)</f>
        <v>25</v>
      </c>
      <c r="C28" s="12" t="str">
        <f>IFERROR(__xludf.DUMMYFUNCTION("""COMPUTED_VALUE"""),"CGPOWER")</f>
        <v>CGPOWER</v>
      </c>
      <c r="D28" s="13">
        <f>IFERROR(__xludf.DUMMYFUNCTION("""COMPUTED_VALUE"""),870.3)</f>
        <v>870.3</v>
      </c>
      <c r="E28" s="13">
        <f>IFERROR(__xludf.DUMMYFUNCTION("""COMPUTED_VALUE"""),804.6)</f>
        <v>804.6</v>
      </c>
      <c r="F28" s="13">
        <f>IFERROR(__xludf.DUMMYFUNCTION("IFERROR(GOOGLEFINANCE(""NSE:""&amp;C28,""PRICE""),"""")"),921.85)</f>
        <v>921.85</v>
      </c>
      <c r="G28" s="14" t="str">
        <f t="shared" si="2"/>
        <v>CHART</v>
      </c>
    </row>
    <row r="29">
      <c r="A29" s="11" t="str">
        <f t="shared" si="3"/>
        <v>X</v>
      </c>
      <c r="B29" s="12">
        <f>IFERROR(__xludf.DUMMYFUNCTION("""COMPUTED_VALUE"""),26.0)</f>
        <v>26</v>
      </c>
      <c r="C29" s="12" t="str">
        <f>IFERROR(__xludf.DUMMYFUNCTION("""COMPUTED_VALUE"""),"DIXON")</f>
        <v>DIXON</v>
      </c>
      <c r="D29" s="13">
        <f>IFERROR(__xludf.DUMMYFUNCTION("""COMPUTED_VALUE"""),11360.0)</f>
        <v>11360</v>
      </c>
      <c r="E29" s="13">
        <f>IFERROR(__xludf.DUMMYFUNCTION("""COMPUTED_VALUE"""),10570.0)</f>
        <v>10570</v>
      </c>
      <c r="F29" s="13">
        <f>IFERROR(__xludf.DUMMYFUNCTION("IFERROR(GOOGLEFINANCE(""NSE:""&amp;C29,""PRICE""),"""")"),11830.0)</f>
        <v>11830</v>
      </c>
      <c r="G29" s="14" t="str">
        <f t="shared" si="2"/>
        <v>CHART</v>
      </c>
    </row>
    <row r="30">
      <c r="A30" s="11" t="str">
        <f t="shared" si="3"/>
        <v>X</v>
      </c>
      <c r="B30" s="12">
        <f>IFERROR(__xludf.DUMMYFUNCTION("""COMPUTED_VALUE"""),27.0)</f>
        <v>27</v>
      </c>
      <c r="C30" s="12" t="str">
        <f>IFERROR(__xludf.DUMMYFUNCTION("""COMPUTED_VALUE"""),"ABB")</f>
        <v>ABB</v>
      </c>
      <c r="D30" s="13">
        <f>IFERROR(__xludf.DUMMYFUNCTION("""COMPUTED_VALUE"""),6718.0)</f>
        <v>6718</v>
      </c>
      <c r="E30" s="13">
        <f>IFERROR(__xludf.DUMMYFUNCTION("""COMPUTED_VALUE"""),6225.0)</f>
        <v>6225</v>
      </c>
      <c r="F30" s="13">
        <f>IFERROR(__xludf.DUMMYFUNCTION("IFERROR(GOOGLEFINANCE(""NSE:""&amp;C30,""PRICE""),"""")"),7058.0)</f>
        <v>7058</v>
      </c>
      <c r="G30" s="14" t="str">
        <f t="shared" si="2"/>
        <v>CHART</v>
      </c>
    </row>
    <row r="31">
      <c r="A31" s="11" t="str">
        <f t="shared" si="3"/>
        <v>X</v>
      </c>
      <c r="B31" s="12">
        <f>IFERROR(__xludf.DUMMYFUNCTION("""COMPUTED_VALUE"""),28.0)</f>
        <v>28</v>
      </c>
      <c r="C31" s="12" t="str">
        <f>IFERROR(__xludf.DUMMYFUNCTION("""COMPUTED_VALUE"""),"AXISBANK")</f>
        <v>AXISBANK</v>
      </c>
      <c r="D31" s="13">
        <f>IFERROR(__xludf.DUMMYFUNCTION("""COMPUTED_VALUE"""),1263.4)</f>
        <v>1263.4</v>
      </c>
      <c r="E31" s="13">
        <f>IFERROR(__xludf.DUMMYFUNCTION("""COMPUTED_VALUE"""),1222.1)</f>
        <v>1222.1</v>
      </c>
      <c r="F31" s="13">
        <f>IFERROR(__xludf.DUMMYFUNCTION("IFERROR(GOOGLEFINANCE(""NSE:""&amp;C31,""PRICE""),"""")"),1313.4)</f>
        <v>1313.4</v>
      </c>
      <c r="G31" s="14" t="str">
        <f t="shared" si="2"/>
        <v>CHART</v>
      </c>
    </row>
    <row r="32">
      <c r="A32" s="11" t="str">
        <f t="shared" si="3"/>
        <v>X</v>
      </c>
      <c r="B32" s="12">
        <f>IFERROR(__xludf.DUMMYFUNCTION("""COMPUTED_VALUE"""),29.0)</f>
        <v>29</v>
      </c>
      <c r="C32" s="12" t="str">
        <f>IFERROR(__xludf.DUMMYFUNCTION("""COMPUTED_VALUE"""),"WIPRO")</f>
        <v>WIPRO</v>
      </c>
      <c r="D32" s="13">
        <f>IFERROR(__xludf.DUMMYFUNCTION("""COMPUTED_VALUE"""),200.04)</f>
        <v>200.04</v>
      </c>
      <c r="E32" s="13">
        <f>IFERROR(__xludf.DUMMYFUNCTION("""COMPUTED_VALUE"""),188.8)</f>
        <v>188.8</v>
      </c>
      <c r="F32" s="13">
        <f>IFERROR(__xludf.DUMMYFUNCTION("IFERROR(GOOGLEFINANCE(""NSE:""&amp;C32,""PRICE""),"""")"),202.75)</f>
        <v>202.75</v>
      </c>
      <c r="G32" s="14" t="str">
        <f t="shared" si="2"/>
        <v>CHART</v>
      </c>
    </row>
    <row r="33">
      <c r="A33" s="11" t="str">
        <f t="shared" si="3"/>
        <v>Y</v>
      </c>
      <c r="B33" s="12">
        <f>IFERROR(__xludf.DUMMYFUNCTION("""COMPUTED_VALUE"""),30.0)</f>
        <v>30</v>
      </c>
      <c r="C33" s="12" t="str">
        <f>IFERROR(__xludf.DUMMYFUNCTION("""COMPUTED_VALUE"""),"BHARTIARTL")</f>
        <v>BHARTIARTL</v>
      </c>
      <c r="D33" s="13">
        <f>IFERROR(__xludf.DUMMYFUNCTION("""COMPUTED_VALUE"""),1953.8)</f>
        <v>1953.8</v>
      </c>
      <c r="E33" s="13">
        <f>IFERROR(__xludf.DUMMYFUNCTION("""COMPUTED_VALUE"""),1880.4)</f>
        <v>1880.4</v>
      </c>
      <c r="F33" s="13">
        <f>IFERROR(__xludf.DUMMYFUNCTION("IFERROR(GOOGLEFINANCE(""NSE:""&amp;C33,""PRICE""),"""")"),1865.2)</f>
        <v>1865.2</v>
      </c>
      <c r="G33" s="14" t="str">
        <f t="shared" si="2"/>
        <v>CHART</v>
      </c>
    </row>
    <row r="34">
      <c r="A34" s="11" t="str">
        <f t="shared" si="3"/>
        <v>X</v>
      </c>
      <c r="B34" s="12">
        <f>IFERROR(__xludf.DUMMYFUNCTION("""COMPUTED_VALUE"""),31.0)</f>
        <v>31</v>
      </c>
      <c r="C34" s="12" t="str">
        <f>IFERROR(__xludf.DUMMYFUNCTION("""COMPUTED_VALUE"""),"ADANIPORTS")</f>
        <v>ADANIPORTS</v>
      </c>
      <c r="D34" s="13">
        <f>IFERROR(__xludf.DUMMYFUNCTION("""COMPUTED_VALUE"""),1823.9)</f>
        <v>1823.9</v>
      </c>
      <c r="E34" s="13">
        <f>IFERROR(__xludf.DUMMYFUNCTION("""COMPUTED_VALUE"""),1744.3)</f>
        <v>1744.3</v>
      </c>
      <c r="F34" s="13">
        <f>IFERROR(__xludf.DUMMYFUNCTION("IFERROR(GOOGLEFINANCE(""NSE:""&amp;C34,""PRICE""),"""")"),1830.5)</f>
        <v>1830.5</v>
      </c>
      <c r="G34" s="14" t="str">
        <f t="shared" si="2"/>
        <v>CHART</v>
      </c>
    </row>
    <row r="35">
      <c r="A35" s="11" t="str">
        <f t="shared" si="3"/>
        <v/>
      </c>
      <c r="B35" s="12">
        <f>IFERROR(__xludf.DUMMYFUNCTION("""COMPUTED_VALUE"""),32.0)</f>
        <v>32</v>
      </c>
      <c r="C35" s="12" t="str">
        <f>IFERROR(__xludf.DUMMYFUNCTION("""COMPUTED_VALUE"""),"PAYTM")</f>
        <v>PAYTM</v>
      </c>
      <c r="D35" s="13">
        <f>IFERROR(__xludf.DUMMYFUNCTION("""COMPUTED_VALUE"""),1172.0)</f>
        <v>1172</v>
      </c>
      <c r="E35" s="13">
        <f>IFERROR(__xludf.DUMMYFUNCTION("""COMPUTED_VALUE"""),1082.3)</f>
        <v>1082.3</v>
      </c>
      <c r="F35" s="13">
        <f>IFERROR(__xludf.DUMMYFUNCTION("IFERROR(GOOGLEFINANCE(""NSE:""&amp;C35,""PRICE""),"""")"),1139.5)</f>
        <v>1139.5</v>
      </c>
      <c r="G35" s="14" t="str">
        <f t="shared" si="2"/>
        <v>CHART</v>
      </c>
    </row>
    <row r="36">
      <c r="A36" s="11" t="str">
        <f t="shared" si="3"/>
        <v>X</v>
      </c>
      <c r="B36" s="12">
        <f>IFERROR(__xludf.DUMMYFUNCTION("""COMPUTED_VALUE"""),33.0)</f>
        <v>33</v>
      </c>
      <c r="C36" s="12" t="str">
        <f>IFERROR(__xludf.DUMMYFUNCTION("""COMPUTED_VALUE"""),"OFSS")</f>
        <v>OFSS</v>
      </c>
      <c r="D36" s="13">
        <f>IFERROR(__xludf.DUMMYFUNCTION("""COMPUTED_VALUE"""),9999.0)</f>
        <v>9999</v>
      </c>
      <c r="E36" s="13">
        <f>IFERROR(__xludf.DUMMYFUNCTION("""COMPUTED_VALUE"""),8904.0)</f>
        <v>8904</v>
      </c>
      <c r="F36" s="13">
        <f>IFERROR(__xludf.DUMMYFUNCTION("IFERROR(GOOGLEFINANCE(""NSE:""&amp;C36,""PRICE""),"""")"),10309.0)</f>
        <v>10309</v>
      </c>
      <c r="G36" s="14" t="str">
        <f t="shared" si="2"/>
        <v>CHART</v>
      </c>
    </row>
    <row r="37">
      <c r="A37" s="11" t="str">
        <f t="shared" si="3"/>
        <v>X</v>
      </c>
      <c r="B37" s="12">
        <f>IFERROR(__xludf.DUMMYFUNCTION("""COMPUTED_VALUE"""),34.0)</f>
        <v>34</v>
      </c>
      <c r="C37" s="12" t="str">
        <f>IFERROR(__xludf.DUMMYFUNCTION("""COMPUTED_VALUE"""),"BHEL")</f>
        <v>BHEL</v>
      </c>
      <c r="D37" s="13">
        <f>IFERROR(__xludf.DUMMYFUNCTION("""COMPUTED_VALUE"""),415.65)</f>
        <v>415.65</v>
      </c>
      <c r="E37" s="13">
        <f>IFERROR(__xludf.DUMMYFUNCTION("""COMPUTED_VALUE"""),386.1)</f>
        <v>386.1</v>
      </c>
      <c r="F37" s="13">
        <f>IFERROR(__xludf.DUMMYFUNCTION("IFERROR(GOOGLEFINANCE(""NSE:""&amp;C37,""PRICE""),"""")"),417.05)</f>
        <v>417.05</v>
      </c>
      <c r="G37" s="14" t="str">
        <f t="shared" si="2"/>
        <v>CHART</v>
      </c>
    </row>
    <row r="38">
      <c r="A38" s="11" t="str">
        <f t="shared" si="3"/>
        <v>X</v>
      </c>
      <c r="B38" s="12">
        <f>IFERROR(__xludf.DUMMYFUNCTION("""COMPUTED_VALUE"""),35.0)</f>
        <v>35</v>
      </c>
      <c r="C38" s="12" t="str">
        <f>IFERROR(__xludf.DUMMYFUNCTION("""COMPUTED_VALUE"""),"IDEA")</f>
        <v>IDEA</v>
      </c>
      <c r="D38" s="13">
        <f>IFERROR(__xludf.DUMMYFUNCTION("""COMPUTED_VALUE"""),13.88)</f>
        <v>13.88</v>
      </c>
      <c r="E38" s="13">
        <f>IFERROR(__xludf.DUMMYFUNCTION("""COMPUTED_VALUE"""),12.45)</f>
        <v>12.45</v>
      </c>
      <c r="F38" s="13">
        <f>IFERROR(__xludf.DUMMYFUNCTION("IFERROR(GOOGLEFINANCE(""NSE:""&amp;C38,""PRICE""),"""")"),14.23)</f>
        <v>14.23</v>
      </c>
      <c r="G38" s="14" t="str">
        <f t="shared" si="2"/>
        <v>CHART</v>
      </c>
    </row>
    <row r="39">
      <c r="A39" s="11" t="str">
        <f t="shared" si="3"/>
        <v>X</v>
      </c>
      <c r="B39" s="12">
        <f>IFERROR(__xludf.DUMMYFUNCTION("""COMPUTED_VALUE"""),36.0)</f>
        <v>36</v>
      </c>
      <c r="C39" s="12" t="str">
        <f>IFERROR(__xludf.DUMMYFUNCTION("""COMPUTED_VALUE"""),"TMPV")</f>
        <v>TMPV</v>
      </c>
      <c r="D39" s="13">
        <f>IFERROR(__xludf.DUMMYFUNCTION("""COMPUTED_VALUE"""),366.95)</f>
        <v>366.95</v>
      </c>
      <c r="E39" s="13">
        <f>IFERROR(__xludf.DUMMYFUNCTION("""COMPUTED_VALUE"""),351.1)</f>
        <v>351.1</v>
      </c>
      <c r="F39" s="13">
        <f>IFERROR(__xludf.DUMMYFUNCTION("IFERROR(GOOGLEFINANCE(""NSE:""&amp;C39,""PRICE""),"""")"),394.1)</f>
        <v>394.1</v>
      </c>
      <c r="G39" s="14" t="str">
        <f t="shared" si="2"/>
        <v>CHART</v>
      </c>
    </row>
    <row r="40">
      <c r="A40" s="11" t="str">
        <f t="shared" si="3"/>
        <v/>
      </c>
      <c r="B40" s="12">
        <f>IFERROR(__xludf.DUMMYFUNCTION("""COMPUTED_VALUE"""),37.0)</f>
        <v>37</v>
      </c>
      <c r="C40" s="12" t="str">
        <f>IFERROR(__xludf.DUMMYFUNCTION("""COMPUTED_VALUE"""),"NTPC")</f>
        <v>NTPC</v>
      </c>
      <c r="D40" s="13">
        <f>IFERROR(__xludf.DUMMYFUNCTION("""COMPUTED_VALUE"""),398.0)</f>
        <v>398</v>
      </c>
      <c r="E40" s="13">
        <f>IFERROR(__xludf.DUMMYFUNCTION("""COMPUTED_VALUE"""),384.0)</f>
        <v>384</v>
      </c>
      <c r="F40" s="13">
        <f>IFERROR(__xludf.DUMMYFUNCTION("IFERROR(GOOGLEFINANCE(""NSE:""&amp;C40,""PRICE""),"""")"),395.35)</f>
        <v>395.35</v>
      </c>
      <c r="G40" s="14" t="str">
        <f t="shared" si="2"/>
        <v>CHART</v>
      </c>
    </row>
    <row r="41">
      <c r="A41" s="11" t="str">
        <f t="shared" si="3"/>
        <v/>
      </c>
      <c r="B41" s="12">
        <f>IFERROR(__xludf.DUMMYFUNCTION("""COMPUTED_VALUE"""),38.0)</f>
        <v>38</v>
      </c>
      <c r="C41" s="12" t="str">
        <f>IFERROR(__xludf.DUMMYFUNCTION("""COMPUTED_VALUE"""),"AMBER")</f>
        <v>AMBER</v>
      </c>
      <c r="D41" s="13">
        <f>IFERROR(__xludf.DUMMYFUNCTION("""COMPUTED_VALUE"""),8541.0)</f>
        <v>8541</v>
      </c>
      <c r="E41" s="13">
        <f>IFERROR(__xludf.DUMMYFUNCTION("""COMPUTED_VALUE"""),6938.0)</f>
        <v>6938</v>
      </c>
      <c r="F41" s="13">
        <f>IFERROR(__xludf.DUMMYFUNCTION("IFERROR(GOOGLEFINANCE(""NSE:""&amp;C41,""PRICE""),"""")"),7531.0)</f>
        <v>7531</v>
      </c>
      <c r="G41" s="14" t="str">
        <f t="shared" si="2"/>
        <v>CHART</v>
      </c>
    </row>
    <row r="42">
      <c r="A42" s="11" t="str">
        <f t="shared" si="3"/>
        <v>X</v>
      </c>
      <c r="B42" s="12">
        <f>IFERROR(__xludf.DUMMYFUNCTION("""COMPUTED_VALUE"""),39.0)</f>
        <v>39</v>
      </c>
      <c r="C42" s="12" t="str">
        <f>IFERROR(__xludf.DUMMYFUNCTION("""COMPUTED_VALUE"""),"AMBUJACEM")</f>
        <v>AMBUJACEM</v>
      </c>
      <c r="D42" s="13">
        <f>IFERROR(__xludf.DUMMYFUNCTION("""COMPUTED_VALUE"""),451.55)</f>
        <v>451.55</v>
      </c>
      <c r="E42" s="13">
        <f>IFERROR(__xludf.DUMMYFUNCTION("""COMPUTED_VALUE"""),421.1)</f>
        <v>421.1</v>
      </c>
      <c r="F42" s="13">
        <f>IFERROR(__xludf.DUMMYFUNCTION("IFERROR(GOOGLEFINANCE(""NSE:""&amp;C42,""PRICE""),"""")"),459.5)</f>
        <v>459.5</v>
      </c>
      <c r="G42" s="14" t="str">
        <f t="shared" si="2"/>
        <v>CHART</v>
      </c>
    </row>
    <row r="43">
      <c r="A43" s="11" t="str">
        <f t="shared" si="3"/>
        <v>X</v>
      </c>
      <c r="B43" s="12">
        <f>IFERROR(__xludf.DUMMYFUNCTION("""COMPUTED_VALUE"""),40.0)</f>
        <v>40</v>
      </c>
      <c r="C43" s="12" t="str">
        <f>IFERROR(__xludf.DUMMYFUNCTION("""COMPUTED_VALUE"""),"JSWSTEEL")</f>
        <v>JSWSTEEL</v>
      </c>
      <c r="D43" s="13">
        <f>IFERROR(__xludf.DUMMYFUNCTION("""COMPUTED_VALUE"""),1314.0)</f>
        <v>1314</v>
      </c>
      <c r="E43" s="13">
        <f>IFERROR(__xludf.DUMMYFUNCTION("""COMPUTED_VALUE"""),1258.3)</f>
        <v>1258.3</v>
      </c>
      <c r="F43" s="13">
        <f>IFERROR(__xludf.DUMMYFUNCTION("IFERROR(GOOGLEFINANCE(""NSE:""&amp;C43,""PRICE""),"""")"),1316.4)</f>
        <v>1316.4</v>
      </c>
      <c r="G43" s="14" t="str">
        <f t="shared" si="2"/>
        <v>CHART</v>
      </c>
    </row>
    <row r="44">
      <c r="A44" s="11" t="str">
        <f t="shared" si="3"/>
        <v>X</v>
      </c>
      <c r="B44" s="12">
        <f>IFERROR(__xludf.DUMMYFUNCTION("""COMPUTED_VALUE"""),41.0)</f>
        <v>41</v>
      </c>
      <c r="C44" s="12" t="str">
        <f>IFERROR(__xludf.DUMMYFUNCTION("""COMPUTED_VALUE"""),"JSWENERGY")</f>
        <v>JSWENERGY</v>
      </c>
      <c r="D44" s="13">
        <f>IFERROR(__xludf.DUMMYFUNCTION("""COMPUTED_VALUE"""),553.3)</f>
        <v>553.3</v>
      </c>
      <c r="E44" s="13">
        <f>IFERROR(__xludf.DUMMYFUNCTION("""COMPUTED_VALUE"""),505.25)</f>
        <v>505.25</v>
      </c>
      <c r="F44" s="13">
        <f>IFERROR(__xludf.DUMMYFUNCTION("IFERROR(GOOGLEFINANCE(""NSE:""&amp;C44,""PRICE""),"""")"),601.5)</f>
        <v>601.5</v>
      </c>
      <c r="G44" s="14" t="str">
        <f t="shared" si="2"/>
        <v>CHART</v>
      </c>
    </row>
    <row r="45">
      <c r="A45" s="11" t="str">
        <f t="shared" si="3"/>
        <v/>
      </c>
      <c r="B45" s="12">
        <f>IFERROR(__xludf.DUMMYFUNCTION("""COMPUTED_VALUE"""),42.0)</f>
        <v>42</v>
      </c>
      <c r="C45" s="12" t="str">
        <f>IFERROR(__xludf.DUMMYFUNCTION("""COMPUTED_VALUE"""),"NMDC")</f>
        <v>NMDC</v>
      </c>
      <c r="D45" s="13">
        <f>IFERROR(__xludf.DUMMYFUNCTION("""COMPUTED_VALUE"""),94.25)</f>
        <v>94.25</v>
      </c>
      <c r="E45" s="13">
        <f>IFERROR(__xludf.DUMMYFUNCTION("""COMPUTED_VALUE"""),86.69)</f>
        <v>86.69</v>
      </c>
      <c r="F45" s="13">
        <f>IFERROR(__xludf.DUMMYFUNCTION("IFERROR(GOOGLEFINANCE(""NSE:""&amp;C45,""PRICE""),"""")"),92.18)</f>
        <v>92.18</v>
      </c>
      <c r="G45" s="14" t="str">
        <f t="shared" si="2"/>
        <v>CHART</v>
      </c>
    </row>
    <row r="46">
      <c r="A46" s="11" t="str">
        <f t="shared" si="3"/>
        <v/>
      </c>
      <c r="B46" s="12">
        <f>IFERROR(__xludf.DUMMYFUNCTION("""COMPUTED_VALUE"""),43.0)</f>
        <v>43</v>
      </c>
      <c r="C46" s="12" t="str">
        <f>IFERROR(__xludf.DUMMYFUNCTION("""COMPUTED_VALUE"""),"TCS")</f>
        <v>TCS</v>
      </c>
      <c r="D46" s="13">
        <f>IFERROR(__xludf.DUMMYFUNCTION("""COMPUTED_VALUE"""),2377.6)</f>
        <v>2377.6</v>
      </c>
      <c r="E46" s="13">
        <f>IFERROR(__xludf.DUMMYFUNCTION("""COMPUTED_VALUE"""),2252.0)</f>
        <v>2252</v>
      </c>
      <c r="F46" s="13">
        <f>IFERROR(__xludf.DUMMYFUNCTION("IFERROR(GOOGLEFINANCE(""NSE:""&amp;C46,""PRICE""),"""")"),2274.9)</f>
        <v>2274.9</v>
      </c>
      <c r="G46" s="14" t="str">
        <f t="shared" si="2"/>
        <v>CHART</v>
      </c>
    </row>
    <row r="47">
      <c r="A47" s="11" t="str">
        <f t="shared" si="3"/>
        <v/>
      </c>
      <c r="B47" s="12">
        <f>IFERROR(__xludf.DUMMYFUNCTION("""COMPUTED_VALUE"""),44.0)</f>
        <v>44</v>
      </c>
      <c r="C47" s="12" t="str">
        <f>IFERROR(__xludf.DUMMYFUNCTION("""COMPUTED_VALUE"""),"BAJFINANCE")</f>
        <v>BAJFINANCE</v>
      </c>
      <c r="D47" s="13">
        <f>IFERROR(__xludf.DUMMYFUNCTION("""COMPUTED_VALUE"""),934.9)</f>
        <v>934.9</v>
      </c>
      <c r="E47" s="13">
        <f>IFERROR(__xludf.DUMMYFUNCTION("""COMPUTED_VALUE"""),890.7)</f>
        <v>890.7</v>
      </c>
      <c r="F47" s="13">
        <f>IFERROR(__xludf.DUMMYFUNCTION("IFERROR(GOOGLEFINANCE(""NSE:""&amp;C47,""PRICE""),"""")"),928.15)</f>
        <v>928.15</v>
      </c>
      <c r="G47" s="14" t="str">
        <f t="shared" si="2"/>
        <v>CHART</v>
      </c>
    </row>
    <row r="48">
      <c r="A48" s="11" t="str">
        <f t="shared" si="3"/>
        <v/>
      </c>
      <c r="B48" s="12">
        <f>IFERROR(__xludf.DUMMYFUNCTION("""COMPUTED_VALUE"""),45.0)</f>
        <v>45</v>
      </c>
      <c r="C48" s="12" t="str">
        <f>IFERROR(__xludf.DUMMYFUNCTION("""COMPUTED_VALUE"""),"JINDALSTEL")</f>
        <v>JINDALSTEL</v>
      </c>
      <c r="D48" s="13">
        <f>IFERROR(__xludf.DUMMYFUNCTION("""COMPUTED_VALUE"""),1259.0)</f>
        <v>1259</v>
      </c>
      <c r="E48" s="13">
        <f>IFERROR(__xludf.DUMMYFUNCTION("""COMPUTED_VALUE"""),1194.0)</f>
        <v>1194</v>
      </c>
      <c r="F48" s="13">
        <f>IFERROR(__xludf.DUMMYFUNCTION("IFERROR(GOOGLEFINANCE(""NSE:""&amp;C48,""PRICE""),"""")"),1236.6)</f>
        <v>1236.6</v>
      </c>
      <c r="G48" s="14" t="str">
        <f t="shared" si="2"/>
        <v>CHART</v>
      </c>
    </row>
    <row r="49">
      <c r="A49" s="11" t="str">
        <f t="shared" si="3"/>
        <v>X</v>
      </c>
      <c r="B49" s="12">
        <f>IFERROR(__xludf.DUMMYFUNCTION("""COMPUTED_VALUE"""),46.0)</f>
        <v>46</v>
      </c>
      <c r="C49" s="12" t="str">
        <f>IFERROR(__xludf.DUMMYFUNCTION("""COMPUTED_VALUE"""),"POLYCAB")</f>
        <v>POLYCAB</v>
      </c>
      <c r="D49" s="13">
        <f>IFERROR(__xludf.DUMMYFUNCTION("""COMPUTED_VALUE"""),9309.5)</f>
        <v>9309.5</v>
      </c>
      <c r="E49" s="13">
        <f>IFERROR(__xludf.DUMMYFUNCTION("""COMPUTED_VALUE"""),8943.5)</f>
        <v>8943.5</v>
      </c>
      <c r="F49" s="13">
        <f>IFERROR(__xludf.DUMMYFUNCTION("IFERROR(GOOGLEFINANCE(""NSE:""&amp;C49,""PRICE""),"""")"),9613.0)</f>
        <v>9613</v>
      </c>
      <c r="G49" s="14" t="str">
        <f t="shared" si="2"/>
        <v>CHART</v>
      </c>
    </row>
    <row r="50">
      <c r="A50" s="11" t="str">
        <f t="shared" si="3"/>
        <v>X</v>
      </c>
      <c r="B50" s="12">
        <f>IFERROR(__xludf.DUMMYFUNCTION("""COMPUTED_VALUE"""),47.0)</f>
        <v>47</v>
      </c>
      <c r="C50" s="12" t="str">
        <f>IFERROR(__xludf.DUMMYFUNCTION("""COMPUTED_VALUE"""),"SAMMAANCAP")</f>
        <v>SAMMAANCAP</v>
      </c>
      <c r="D50" s="13">
        <f>IFERROR(__xludf.DUMMYFUNCTION("""COMPUTED_VALUE"""),158.6)</f>
        <v>158.6</v>
      </c>
      <c r="E50" s="13">
        <f>IFERROR(__xludf.DUMMYFUNCTION("""COMPUTED_VALUE"""),134.75)</f>
        <v>134.75</v>
      </c>
      <c r="F50" s="13">
        <f>IFERROR(__xludf.DUMMYFUNCTION("IFERROR(GOOGLEFINANCE(""NSE:""&amp;C50,""PRICE""),"""")"),173.7)</f>
        <v>173.7</v>
      </c>
      <c r="G50" s="14" t="str">
        <f t="shared" si="2"/>
        <v>CHART</v>
      </c>
    </row>
    <row r="51">
      <c r="A51" s="11" t="str">
        <f t="shared" si="3"/>
        <v/>
      </c>
      <c r="B51" s="12">
        <f>IFERROR(__xludf.DUMMYFUNCTION("""COMPUTED_VALUE"""),48.0)</f>
        <v>48</v>
      </c>
      <c r="C51" s="12" t="str">
        <f>IFERROR(__xludf.DUMMYFUNCTION("""COMPUTED_VALUE"""),"MARUTI")</f>
        <v>MARUTI</v>
      </c>
      <c r="D51" s="13">
        <f>IFERROR(__xludf.DUMMYFUNCTION("""COMPUTED_VALUE"""),13325.0)</f>
        <v>13325</v>
      </c>
      <c r="E51" s="13">
        <f>IFERROR(__xludf.DUMMYFUNCTION("""COMPUTED_VALUE"""),12753.0)</f>
        <v>12753</v>
      </c>
      <c r="F51" s="13">
        <f>IFERROR(__xludf.DUMMYFUNCTION("IFERROR(GOOGLEFINANCE(""NSE:""&amp;C51,""PRICE""),"""")"),13210.0)</f>
        <v>13210</v>
      </c>
      <c r="G51" s="14" t="str">
        <f t="shared" si="2"/>
        <v>CHART</v>
      </c>
    </row>
    <row r="52">
      <c r="A52" s="11" t="str">
        <f t="shared" si="3"/>
        <v>X</v>
      </c>
      <c r="B52" s="12">
        <f>IFERROR(__xludf.DUMMYFUNCTION("""COMPUTED_VALUE"""),49.0)</f>
        <v>49</v>
      </c>
      <c r="C52" s="12" t="str">
        <f>IFERROR(__xludf.DUMMYFUNCTION("""COMPUTED_VALUE"""),"TATAPOWER")</f>
        <v>TATAPOWER</v>
      </c>
      <c r="D52" s="13">
        <f>IFERROR(__xludf.DUMMYFUNCTION("""COMPUTED_VALUE"""),418.5)</f>
        <v>418.5</v>
      </c>
      <c r="E52" s="13">
        <f>IFERROR(__xludf.DUMMYFUNCTION("""COMPUTED_VALUE"""),395.95)</f>
        <v>395.95</v>
      </c>
      <c r="F52" s="13">
        <f>IFERROR(__xludf.DUMMYFUNCTION("IFERROR(GOOGLEFINANCE(""NSE:""&amp;C52,""PRICE""),"""")"),427.2)</f>
        <v>427.2</v>
      </c>
      <c r="G52" s="14" t="str">
        <f t="shared" si="2"/>
        <v>CHART</v>
      </c>
    </row>
    <row r="53">
      <c r="A53" s="11" t="str">
        <f t="shared" si="3"/>
        <v>X</v>
      </c>
      <c r="B53" s="12">
        <f>IFERROR(__xludf.DUMMYFUNCTION("""COMPUTED_VALUE"""),50.0)</f>
        <v>50</v>
      </c>
      <c r="C53" s="12" t="str">
        <f>IFERROR(__xludf.DUMMYFUNCTION("""COMPUTED_VALUE"""),"INDIGO")</f>
        <v>INDIGO</v>
      </c>
      <c r="D53" s="13">
        <f>IFERROR(__xludf.DUMMYFUNCTION("""COMPUTED_VALUE"""),4452.2)</f>
        <v>4452.2</v>
      </c>
      <c r="E53" s="13">
        <f>IFERROR(__xludf.DUMMYFUNCTION("""COMPUTED_VALUE"""),4178.0)</f>
        <v>4178</v>
      </c>
      <c r="F53" s="13">
        <f>IFERROR(__xludf.DUMMYFUNCTION("IFERROR(GOOGLEFINANCE(""NSE:""&amp;C53,""PRICE""),"""")"),4505.8)</f>
        <v>4505.8</v>
      </c>
      <c r="G53" s="14" t="str">
        <f t="shared" si="2"/>
        <v>CHART</v>
      </c>
    </row>
    <row r="54">
      <c r="A54" s="11" t="str">
        <f t="shared" si="3"/>
        <v>X</v>
      </c>
      <c r="B54" s="12">
        <f>IFERROR(__xludf.DUMMYFUNCTION("""COMPUTED_VALUE"""),51.0)</f>
        <v>51</v>
      </c>
      <c r="C54" s="12" t="str">
        <f>IFERROR(__xludf.DUMMYFUNCTION("""COMPUTED_VALUE"""),"SWIGGY")</f>
        <v>SWIGGY</v>
      </c>
      <c r="D54" s="13">
        <f>IFERROR(__xludf.DUMMYFUNCTION("""COMPUTED_VALUE"""),262.95)</f>
        <v>262.95</v>
      </c>
      <c r="E54" s="13">
        <f>IFERROR(__xludf.DUMMYFUNCTION("""COMPUTED_VALUE"""),247.3)</f>
        <v>247.3</v>
      </c>
      <c r="F54" s="13">
        <f>IFERROR(__xludf.DUMMYFUNCTION("IFERROR(GOOGLEFINANCE(""NSE:""&amp;C54,""PRICE""),"""")"),264.8)</f>
        <v>264.8</v>
      </c>
      <c r="G54" s="14" t="str">
        <f t="shared" si="2"/>
        <v>CHART</v>
      </c>
    </row>
    <row r="55">
      <c r="A55" s="11" t="str">
        <f t="shared" si="3"/>
        <v>X</v>
      </c>
      <c r="B55" s="12">
        <f>IFERROR(__xludf.DUMMYFUNCTION("""COMPUTED_VALUE"""),52.0)</f>
        <v>52</v>
      </c>
      <c r="C55" s="12" t="str">
        <f>IFERROR(__xludf.DUMMYFUNCTION("""COMPUTED_VALUE"""),"CUMMINSIND")</f>
        <v>CUMMINSIND</v>
      </c>
      <c r="D55" s="13">
        <f>IFERROR(__xludf.DUMMYFUNCTION("""COMPUTED_VALUE"""),5454.0)</f>
        <v>5454</v>
      </c>
      <c r="E55" s="13">
        <f>IFERROR(__xludf.DUMMYFUNCTION("""COMPUTED_VALUE"""),5183.0)</f>
        <v>5183</v>
      </c>
      <c r="F55" s="13">
        <f>IFERROR(__xludf.DUMMYFUNCTION("IFERROR(GOOGLEFINANCE(""NSE:""&amp;C55,""PRICE""),"""")"),5526.5)</f>
        <v>5526.5</v>
      </c>
      <c r="G55" s="14" t="str">
        <f t="shared" si="2"/>
        <v>CHART</v>
      </c>
    </row>
    <row r="56">
      <c r="A56" s="11" t="str">
        <f t="shared" si="3"/>
        <v>X</v>
      </c>
      <c r="B56" s="12">
        <f>IFERROR(__xludf.DUMMYFUNCTION("""COMPUTED_VALUE"""),53.0)</f>
        <v>53</v>
      </c>
      <c r="C56" s="12" t="str">
        <f>IFERROR(__xludf.DUMMYFUNCTION("""COMPUTED_VALUE"""),"APLAPOLLO")</f>
        <v>APLAPOLLO</v>
      </c>
      <c r="D56" s="13">
        <f>IFERROR(__xludf.DUMMYFUNCTION("""COMPUTED_VALUE"""),1900.6)</f>
        <v>1900.6</v>
      </c>
      <c r="E56" s="13">
        <f>IFERROR(__xludf.DUMMYFUNCTION("""COMPUTED_VALUE"""),1821.7)</f>
        <v>1821.7</v>
      </c>
      <c r="F56" s="13">
        <f>IFERROR(__xludf.DUMMYFUNCTION("IFERROR(GOOGLEFINANCE(""NSE:""&amp;C56,""PRICE""),"""")"),1929.6)</f>
        <v>1929.6</v>
      </c>
      <c r="G56" s="14" t="str">
        <f t="shared" si="2"/>
        <v>CHART</v>
      </c>
    </row>
    <row r="57">
      <c r="A57" s="11" t="str">
        <f t="shared" si="3"/>
        <v/>
      </c>
      <c r="B57" s="12">
        <f>IFERROR(__xludf.DUMMYFUNCTION("""COMPUTED_VALUE"""),54.0)</f>
        <v>54</v>
      </c>
      <c r="C57" s="12" t="str">
        <f>IFERROR(__xludf.DUMMYFUNCTION("""COMPUTED_VALUE"""),"HINDZINC")</f>
        <v>HINDZINC</v>
      </c>
      <c r="D57" s="13">
        <f>IFERROR(__xludf.DUMMYFUNCTION("""COMPUTED_VALUE"""),659.95)</f>
        <v>659.95</v>
      </c>
      <c r="E57" s="13">
        <f>IFERROR(__xludf.DUMMYFUNCTION("""COMPUTED_VALUE"""),615.5)</f>
        <v>615.5</v>
      </c>
      <c r="F57" s="13">
        <f>IFERROR(__xludf.DUMMYFUNCTION("IFERROR(GOOGLEFINANCE(""NSE:""&amp;C57,""PRICE""),"""")"),652.45)</f>
        <v>652.45</v>
      </c>
      <c r="G57" s="14" t="str">
        <f t="shared" si="2"/>
        <v>CHART</v>
      </c>
    </row>
    <row r="58">
      <c r="A58" s="11" t="str">
        <f t="shared" si="3"/>
        <v>X</v>
      </c>
      <c r="B58" s="12">
        <f>IFERROR(__xludf.DUMMYFUNCTION("""COMPUTED_VALUE"""),55.0)</f>
        <v>55</v>
      </c>
      <c r="C58" s="12" t="str">
        <f>IFERROR(__xludf.DUMMYFUNCTION("""COMPUTED_VALUE"""),"BANDHANBNK")</f>
        <v>BANDHANBNK</v>
      </c>
      <c r="D58" s="13">
        <f>IFERROR(__xludf.DUMMYFUNCTION("""COMPUTED_VALUE"""),200.19)</f>
        <v>200.19</v>
      </c>
      <c r="E58" s="13">
        <f>IFERROR(__xludf.DUMMYFUNCTION("""COMPUTED_VALUE"""),186.55)</f>
        <v>186.55</v>
      </c>
      <c r="F58" s="13">
        <f>IFERROR(__xludf.DUMMYFUNCTION("IFERROR(GOOGLEFINANCE(""NSE:""&amp;C58,""PRICE""),"""")"),207.25)</f>
        <v>207.25</v>
      </c>
      <c r="G58" s="14" t="str">
        <f t="shared" si="2"/>
        <v>CHART</v>
      </c>
    </row>
    <row r="59">
      <c r="A59" s="11" t="str">
        <f t="shared" si="3"/>
        <v>X</v>
      </c>
      <c r="B59" s="12">
        <f>IFERROR(__xludf.DUMMYFUNCTION("""COMPUTED_VALUE"""),56.0)</f>
        <v>56</v>
      </c>
      <c r="C59" s="12" t="str">
        <f>IFERROR(__xludf.DUMMYFUNCTION("""COMPUTED_VALUE"""),"SHRIRAMFIN")</f>
        <v>SHRIRAMFIN</v>
      </c>
      <c r="D59" s="13">
        <f>IFERROR(__xludf.DUMMYFUNCTION("""COMPUTED_VALUE"""),945.9)</f>
        <v>945.9</v>
      </c>
      <c r="E59" s="13">
        <f>IFERROR(__xludf.DUMMYFUNCTION("""COMPUTED_VALUE"""),910.0)</f>
        <v>910</v>
      </c>
      <c r="F59" s="13">
        <f>IFERROR(__xludf.DUMMYFUNCTION("IFERROR(GOOGLEFINANCE(""NSE:""&amp;C59,""PRICE""),"""")"),955.6)</f>
        <v>955.6</v>
      </c>
      <c r="G59" s="14" t="str">
        <f t="shared" si="2"/>
        <v>CHART</v>
      </c>
    </row>
    <row r="60">
      <c r="A60" s="11" t="str">
        <f t="shared" si="3"/>
        <v>X</v>
      </c>
      <c r="B60" s="12">
        <f>IFERROR(__xludf.DUMMYFUNCTION("""COMPUTED_VALUE"""),57.0)</f>
        <v>57</v>
      </c>
      <c r="C60" s="12" t="str">
        <f>IFERROR(__xludf.DUMMYFUNCTION("""COMPUTED_VALUE"""),"LICI")</f>
        <v>LICI</v>
      </c>
      <c r="D60" s="13">
        <f>IFERROR(__xludf.DUMMYFUNCTION("""COMPUTED_VALUE"""),815.7)</f>
        <v>815.7</v>
      </c>
      <c r="E60" s="13">
        <f>IFERROR(__xludf.DUMMYFUNCTION("""COMPUTED_VALUE"""),777.7)</f>
        <v>777.7</v>
      </c>
      <c r="F60" s="13">
        <f>IFERROR(__xludf.DUMMYFUNCTION("IFERROR(GOOGLEFINANCE(""NSE:""&amp;C60,""PRICE""),"""")"),834.1)</f>
        <v>834.1</v>
      </c>
      <c r="G60" s="14" t="str">
        <f t="shared" si="2"/>
        <v>CHART</v>
      </c>
    </row>
    <row r="61">
      <c r="A61" s="11" t="str">
        <f t="shared" si="3"/>
        <v>X</v>
      </c>
      <c r="B61" s="12">
        <f>IFERROR(__xludf.DUMMYFUNCTION("""COMPUTED_VALUE"""),58.0)</f>
        <v>58</v>
      </c>
      <c r="C61" s="12" t="str">
        <f>IFERROR(__xludf.DUMMYFUNCTION("""COMPUTED_VALUE"""),"SUZLON")</f>
        <v>SUZLON</v>
      </c>
      <c r="D61" s="13">
        <f>IFERROR(__xludf.DUMMYFUNCTION("""COMPUTED_VALUE"""),54.51)</f>
        <v>54.51</v>
      </c>
      <c r="E61" s="13">
        <f>IFERROR(__xludf.DUMMYFUNCTION("""COMPUTED_VALUE"""),52.0)</f>
        <v>52</v>
      </c>
      <c r="F61" s="13">
        <f>IFERROR(__xludf.DUMMYFUNCTION("IFERROR(GOOGLEFINANCE(""NSE:""&amp;C61,""PRICE""),"""")"),55.0)</f>
        <v>55</v>
      </c>
      <c r="G61" s="14" t="str">
        <f t="shared" si="2"/>
        <v>CHART</v>
      </c>
    </row>
    <row r="62">
      <c r="A62" s="11" t="str">
        <f t="shared" si="3"/>
        <v/>
      </c>
      <c r="B62" s="12">
        <f>IFERROR(__xludf.DUMMYFUNCTION("""COMPUTED_VALUE"""),59.0)</f>
        <v>59</v>
      </c>
      <c r="C62" s="12" t="str">
        <f>IFERROR(__xludf.DUMMYFUNCTION("""COMPUTED_VALUE"""),"TECHM")</f>
        <v>TECHM</v>
      </c>
      <c r="D62" s="13">
        <f>IFERROR(__xludf.DUMMYFUNCTION("""COMPUTED_VALUE"""),1506.8)</f>
        <v>1506.8</v>
      </c>
      <c r="E62" s="13">
        <f>IFERROR(__xludf.DUMMYFUNCTION("""COMPUTED_VALUE"""),1350.0)</f>
        <v>1350</v>
      </c>
      <c r="F62" s="13">
        <f>IFERROR(__xludf.DUMMYFUNCTION("IFERROR(GOOGLEFINANCE(""NSE:""&amp;C62,""PRICE""),"""")"),1458.6)</f>
        <v>1458.6</v>
      </c>
      <c r="G62" s="14" t="str">
        <f t="shared" si="2"/>
        <v>CHART</v>
      </c>
    </row>
    <row r="63">
      <c r="A63" s="11" t="str">
        <f t="shared" si="3"/>
        <v/>
      </c>
      <c r="B63" s="12">
        <f>IFERROR(__xludf.DUMMYFUNCTION("""COMPUTED_VALUE"""),60.0)</f>
        <v>60</v>
      </c>
      <c r="C63" s="12" t="str">
        <f>IFERROR(__xludf.DUMMYFUNCTION("""COMPUTED_VALUE"""),"M&amp;M")</f>
        <v>M&amp;M</v>
      </c>
      <c r="D63" s="13">
        <f>IFERROR(__xludf.DUMMYFUNCTION("""COMPUTED_VALUE"""),3188.9)</f>
        <v>3188.9</v>
      </c>
      <c r="E63" s="13">
        <f>IFERROR(__xludf.DUMMYFUNCTION("""COMPUTED_VALUE"""),3033.0)</f>
        <v>3033</v>
      </c>
      <c r="F63" s="13">
        <f>IFERROR(__xludf.DUMMYFUNCTION("IFERROR(GOOGLEFINANCE(""NSE:""&amp;C63,""PRICE""),"""")"),3132.9)</f>
        <v>3132.9</v>
      </c>
      <c r="G63" s="14" t="str">
        <f t="shared" si="2"/>
        <v>CHART</v>
      </c>
    </row>
    <row r="64">
      <c r="A64" s="11" t="str">
        <f t="shared" si="3"/>
        <v>X</v>
      </c>
      <c r="B64" s="12">
        <f>IFERROR(__xludf.DUMMYFUNCTION("""COMPUTED_VALUE"""),61.0)</f>
        <v>61</v>
      </c>
      <c r="C64" s="12" t="str">
        <f>IFERROR(__xludf.DUMMYFUNCTION("""COMPUTED_VALUE"""),"JIOFIN")</f>
        <v>JIOFIN</v>
      </c>
      <c r="D64" s="13">
        <f>IFERROR(__xludf.DUMMYFUNCTION("""COMPUTED_VALUE"""),238.3)</f>
        <v>238.3</v>
      </c>
      <c r="E64" s="13">
        <f>IFERROR(__xludf.DUMMYFUNCTION("""COMPUTED_VALUE"""),227.21)</f>
        <v>227.21</v>
      </c>
      <c r="F64" s="13">
        <f>IFERROR(__xludf.DUMMYFUNCTION("IFERROR(GOOGLEFINANCE(""NSE:""&amp;C64,""PRICE""),"""")"),242.2)</f>
        <v>242.2</v>
      </c>
      <c r="G64" s="14" t="str">
        <f t="shared" si="2"/>
        <v>CHART</v>
      </c>
    </row>
    <row r="65">
      <c r="A65" s="11" t="str">
        <f t="shared" si="3"/>
        <v>Y</v>
      </c>
      <c r="B65" s="12">
        <f>IFERROR(__xludf.DUMMYFUNCTION("""COMPUTED_VALUE"""),62.0)</f>
        <v>62</v>
      </c>
      <c r="C65" s="12" t="str">
        <f>IFERROR(__xludf.DUMMYFUNCTION("""COMPUTED_VALUE"""),"SUNPHARMA")</f>
        <v>SUNPHARMA</v>
      </c>
      <c r="D65" s="13">
        <f>IFERROR(__xludf.DUMMYFUNCTION("""COMPUTED_VALUE"""),1916.6)</f>
        <v>1916.6</v>
      </c>
      <c r="E65" s="13">
        <f>IFERROR(__xludf.DUMMYFUNCTION("""COMPUTED_VALUE"""),1863.2)</f>
        <v>1863.2</v>
      </c>
      <c r="F65" s="13">
        <f>IFERROR(__xludf.DUMMYFUNCTION("IFERROR(GOOGLEFINANCE(""NSE:""&amp;C65,""PRICE""),"""")"),1837.2)</f>
        <v>1837.2</v>
      </c>
      <c r="G65" s="14" t="str">
        <f t="shared" si="2"/>
        <v>CHART</v>
      </c>
    </row>
    <row r="66">
      <c r="A66" s="11" t="str">
        <f t="shared" si="3"/>
        <v/>
      </c>
      <c r="B66" s="12">
        <f>IFERROR(__xludf.DUMMYFUNCTION("""COMPUTED_VALUE"""),63.0)</f>
        <v>63</v>
      </c>
      <c r="C66" s="12" t="str">
        <f>IFERROR(__xludf.DUMMYFUNCTION("""COMPUTED_VALUE"""),"GLENMARK")</f>
        <v>GLENMARK</v>
      </c>
      <c r="D66" s="13">
        <f>IFERROR(__xludf.DUMMYFUNCTION("""COMPUTED_VALUE"""),2427.0)</f>
        <v>2427</v>
      </c>
      <c r="E66" s="13">
        <f>IFERROR(__xludf.DUMMYFUNCTION("""COMPUTED_VALUE"""),2301.0)</f>
        <v>2301</v>
      </c>
      <c r="F66" s="13">
        <f>IFERROR(__xludf.DUMMYFUNCTION("IFERROR(GOOGLEFINANCE(""NSE:""&amp;C66,""PRICE""),"""")"),2352.5)</f>
        <v>2352.5</v>
      </c>
      <c r="G66" s="14" t="str">
        <f t="shared" si="2"/>
        <v>CHART</v>
      </c>
    </row>
    <row r="67">
      <c r="A67" s="11" t="str">
        <f t="shared" si="3"/>
        <v/>
      </c>
      <c r="B67" s="12">
        <f>IFERROR(__xludf.DUMMYFUNCTION("""COMPUTED_VALUE"""),64.0)</f>
        <v>64</v>
      </c>
      <c r="C67" s="12" t="str">
        <f>IFERROR(__xludf.DUMMYFUNCTION("""COMPUTED_VALUE"""),"BEL")</f>
        <v>BEL</v>
      </c>
      <c r="D67" s="13">
        <f>IFERROR(__xludf.DUMMYFUNCTION("""COMPUTED_VALUE"""),430.9)</f>
        <v>430.9</v>
      </c>
      <c r="E67" s="13">
        <f>IFERROR(__xludf.DUMMYFUNCTION("""COMPUTED_VALUE"""),407.0)</f>
        <v>407</v>
      </c>
      <c r="F67" s="13">
        <f>IFERROR(__xludf.DUMMYFUNCTION("IFERROR(GOOGLEFINANCE(""NSE:""&amp;C67,""PRICE""),"""")"),419.25)</f>
        <v>419.25</v>
      </c>
      <c r="G67" s="14" t="str">
        <f t="shared" si="2"/>
        <v>CHART</v>
      </c>
    </row>
    <row r="68">
      <c r="A68" s="11" t="str">
        <f t="shared" si="3"/>
        <v/>
      </c>
      <c r="B68" s="12">
        <f>IFERROR(__xludf.DUMMYFUNCTION("""COMPUTED_VALUE"""),65.0)</f>
        <v>65</v>
      </c>
      <c r="C68" s="12" t="str">
        <f>IFERROR(__xludf.DUMMYFUNCTION("""COMPUTED_VALUE"""),"KOTAKBANK")</f>
        <v>KOTAKBANK</v>
      </c>
      <c r="D68" s="13">
        <f>IFERROR(__xludf.DUMMYFUNCTION("""COMPUTED_VALUE"""),393.3)</f>
        <v>393.3</v>
      </c>
      <c r="E68" s="13">
        <f>IFERROR(__xludf.DUMMYFUNCTION("""COMPUTED_VALUE"""),376.3)</f>
        <v>376.3</v>
      </c>
      <c r="F68" s="13">
        <f>IFERROR(__xludf.DUMMYFUNCTION("IFERROR(GOOGLEFINANCE(""NSE:""&amp;C68,""PRICE""),"""")"),389.4)</f>
        <v>389.4</v>
      </c>
      <c r="G68" s="14" t="str">
        <f t="shared" si="2"/>
        <v>CHART</v>
      </c>
    </row>
    <row r="69">
      <c r="A69" s="11" t="str">
        <f t="shared" si="3"/>
        <v/>
      </c>
      <c r="B69" s="12">
        <f>IFERROR(__xludf.DUMMYFUNCTION("""COMPUTED_VALUE"""),66.0)</f>
        <v>66</v>
      </c>
      <c r="C69" s="12" t="str">
        <f>IFERROR(__xludf.DUMMYFUNCTION("""COMPUTED_VALUE"""),"INDUSTOWER")</f>
        <v>INDUSTOWER</v>
      </c>
      <c r="D69" s="13">
        <f>IFERROR(__xludf.DUMMYFUNCTION("""COMPUTED_VALUE"""),439.4)</f>
        <v>439.4</v>
      </c>
      <c r="E69" s="13">
        <f>IFERROR(__xludf.DUMMYFUNCTION("""COMPUTED_VALUE"""),420.95)</f>
        <v>420.95</v>
      </c>
      <c r="F69" s="13">
        <f>IFERROR(__xludf.DUMMYFUNCTION("IFERROR(GOOGLEFINANCE(""NSE:""&amp;C69,""PRICE""),"""")"),438.9)</f>
        <v>438.9</v>
      </c>
      <c r="G69" s="14" t="str">
        <f t="shared" si="2"/>
        <v>CHART</v>
      </c>
    </row>
    <row r="70">
      <c r="A70" s="11" t="str">
        <f t="shared" si="3"/>
        <v>X</v>
      </c>
      <c r="B70" s="12">
        <f>IFERROR(__xludf.DUMMYFUNCTION("""COMPUTED_VALUE"""),67.0)</f>
        <v>67</v>
      </c>
      <c r="C70" s="12" t="str">
        <f>IFERROR(__xludf.DUMMYFUNCTION("""COMPUTED_VALUE"""),"CDSL")</f>
        <v>CDSL</v>
      </c>
      <c r="D70" s="13">
        <f>IFERROR(__xludf.DUMMYFUNCTION("""COMPUTED_VALUE"""),1234.3)</f>
        <v>1234.3</v>
      </c>
      <c r="E70" s="13">
        <f>IFERROR(__xludf.DUMMYFUNCTION("""COMPUTED_VALUE"""),1152.7)</f>
        <v>1152.7</v>
      </c>
      <c r="F70" s="13">
        <f>IFERROR(__xludf.DUMMYFUNCTION("IFERROR(GOOGLEFINANCE(""NSE:""&amp;C70,""PRICE""),"""")"),1246.0)</f>
        <v>1246</v>
      </c>
      <c r="G70" s="14" t="str">
        <f t="shared" si="2"/>
        <v>CHART</v>
      </c>
    </row>
    <row r="71">
      <c r="A71" s="11" t="str">
        <f t="shared" si="3"/>
        <v>X</v>
      </c>
      <c r="B71" s="12">
        <f>IFERROR(__xludf.DUMMYFUNCTION("""COMPUTED_VALUE"""),68.0)</f>
        <v>68</v>
      </c>
      <c r="C71" s="12" t="str">
        <f>IFERROR(__xludf.DUMMYFUNCTION("""COMPUTED_VALUE"""),"LAURUSLABS")</f>
        <v>LAURUSLABS</v>
      </c>
      <c r="D71" s="13">
        <f>IFERROR(__xludf.DUMMYFUNCTION("""COMPUTED_VALUE"""),1373.9)</f>
        <v>1373.9</v>
      </c>
      <c r="E71" s="13">
        <f>IFERROR(__xludf.DUMMYFUNCTION("""COMPUTED_VALUE"""),1307.6)</f>
        <v>1307.6</v>
      </c>
      <c r="F71" s="13">
        <f>IFERROR(__xludf.DUMMYFUNCTION("IFERROR(GOOGLEFINANCE(""NSE:""&amp;C71,""PRICE""),"""")"),1385.6)</f>
        <v>1385.6</v>
      </c>
      <c r="G71" s="14" t="str">
        <f t="shared" si="2"/>
        <v>CHART</v>
      </c>
    </row>
    <row r="72">
      <c r="A72" s="11" t="str">
        <f t="shared" si="3"/>
        <v>X</v>
      </c>
      <c r="B72" s="12">
        <f>IFERROR(__xludf.DUMMYFUNCTION("""COMPUTED_VALUE"""),69.0)</f>
        <v>69</v>
      </c>
      <c r="C72" s="12" t="str">
        <f>IFERROR(__xludf.DUMMYFUNCTION("""COMPUTED_VALUE"""),"BAJAJ-AUTO")</f>
        <v>BAJAJ-AUTO</v>
      </c>
      <c r="D72" s="13">
        <f>IFERROR(__xludf.DUMMYFUNCTION("""COMPUTED_VALUE"""),10735.0)</f>
        <v>10735</v>
      </c>
      <c r="E72" s="13">
        <f>IFERROR(__xludf.DUMMYFUNCTION("""COMPUTED_VALUE"""),10078.5)</f>
        <v>10078.5</v>
      </c>
      <c r="F72" s="13">
        <f>IFERROR(__xludf.DUMMYFUNCTION("IFERROR(GOOGLEFINANCE(""NSE:""&amp;C72,""PRICE""),"""")"),10793.0)</f>
        <v>10793</v>
      </c>
      <c r="G72" s="14" t="str">
        <f t="shared" si="2"/>
        <v>CHART</v>
      </c>
    </row>
    <row r="73">
      <c r="A73" s="11" t="str">
        <f t="shared" si="3"/>
        <v>X</v>
      </c>
      <c r="B73" s="12">
        <f>IFERROR(__xludf.DUMMYFUNCTION("""COMPUTED_VALUE"""),70.0)</f>
        <v>70</v>
      </c>
      <c r="C73" s="12" t="str">
        <f>IFERROR(__xludf.DUMMYFUNCTION("""COMPUTED_VALUE"""),"CANBK")</f>
        <v>CANBK</v>
      </c>
      <c r="D73" s="13">
        <f>IFERROR(__xludf.DUMMYFUNCTION("""COMPUTED_VALUE"""),131.38)</f>
        <v>131.38</v>
      </c>
      <c r="E73" s="13">
        <f>IFERROR(__xludf.DUMMYFUNCTION("""COMPUTED_VALUE"""),123.67)</f>
        <v>123.67</v>
      </c>
      <c r="F73" s="13">
        <f>IFERROR(__xludf.DUMMYFUNCTION("IFERROR(GOOGLEFINANCE(""NSE:""&amp;C73,""PRICE""),"""")"),133.95)</f>
        <v>133.95</v>
      </c>
      <c r="G73" s="14" t="str">
        <f t="shared" si="2"/>
        <v>CHART</v>
      </c>
    </row>
    <row r="74">
      <c r="A74" s="11" t="str">
        <f t="shared" si="3"/>
        <v/>
      </c>
      <c r="B74" s="12">
        <f>IFERROR(__xludf.DUMMYFUNCTION("""COMPUTED_VALUE"""),71.0)</f>
        <v>71</v>
      </c>
      <c r="C74" s="12" t="str">
        <f>IFERROR(__xludf.DUMMYFUNCTION("""COMPUTED_VALUE"""),"COFORGE")</f>
        <v>COFORGE</v>
      </c>
      <c r="D74" s="13">
        <f>IFERROR(__xludf.DUMMYFUNCTION("""COMPUTED_VALUE"""),1447.0)</f>
        <v>1447</v>
      </c>
      <c r="E74" s="13">
        <f>IFERROR(__xludf.DUMMYFUNCTION("""COMPUTED_VALUE"""),1274.6)</f>
        <v>1274.6</v>
      </c>
      <c r="F74" s="13">
        <f>IFERROR(__xludf.DUMMYFUNCTION("IFERROR(GOOGLEFINANCE(""NSE:""&amp;C74,""PRICE""),"""")"),1414.4)</f>
        <v>1414.4</v>
      </c>
      <c r="G74" s="14" t="str">
        <f t="shared" si="2"/>
        <v>CHART</v>
      </c>
    </row>
    <row r="75">
      <c r="A75" s="11" t="str">
        <f t="shared" si="3"/>
        <v/>
      </c>
      <c r="B75" s="12">
        <f>IFERROR(__xludf.DUMMYFUNCTION("""COMPUTED_VALUE"""),72.0)</f>
        <v>72</v>
      </c>
      <c r="C75" s="12" t="str">
        <f>IFERROR(__xludf.DUMMYFUNCTION("""COMPUTED_VALUE"""),"PREMIERENE")</f>
        <v>PREMIERENE</v>
      </c>
      <c r="D75" s="13">
        <f>IFERROR(__xludf.DUMMYFUNCTION("""COMPUTED_VALUE"""),1029.6)</f>
        <v>1029.6</v>
      </c>
      <c r="E75" s="13">
        <f>IFERROR(__xludf.DUMMYFUNCTION("""COMPUTED_VALUE"""),971.0)</f>
        <v>971</v>
      </c>
      <c r="F75" s="13">
        <f>IFERROR(__xludf.DUMMYFUNCTION("IFERROR(GOOGLEFINANCE(""NSE:""&amp;C75,""PRICE""),"""")"),1026.7)</f>
        <v>1026.7</v>
      </c>
      <c r="G75" s="14" t="str">
        <f t="shared" si="2"/>
        <v>CHART</v>
      </c>
    </row>
    <row r="76">
      <c r="A76" s="11" t="str">
        <f t="shared" si="3"/>
        <v>X</v>
      </c>
      <c r="B76" s="12">
        <f>IFERROR(__xludf.DUMMYFUNCTION("""COMPUTED_VALUE"""),73.0)</f>
        <v>73</v>
      </c>
      <c r="C76" s="12" t="str">
        <f>IFERROR(__xludf.DUMMYFUNCTION("""COMPUTED_VALUE"""),"WAAREEENER")</f>
        <v>WAAREEENER</v>
      </c>
      <c r="D76" s="13">
        <f>IFERROR(__xludf.DUMMYFUNCTION("""COMPUTED_VALUE"""),3075.2)</f>
        <v>3075.2</v>
      </c>
      <c r="E76" s="13">
        <f>IFERROR(__xludf.DUMMYFUNCTION("""COMPUTED_VALUE"""),2961.3)</f>
        <v>2961.3</v>
      </c>
      <c r="F76" s="13">
        <f>IFERROR(__xludf.DUMMYFUNCTION("IFERROR(GOOGLEFINANCE(""NSE:""&amp;C76,""PRICE""),"""")"),3094.1)</f>
        <v>3094.1</v>
      </c>
      <c r="G76" s="14" t="str">
        <f t="shared" si="2"/>
        <v>CHART</v>
      </c>
    </row>
    <row r="77">
      <c r="A77" s="11" t="str">
        <f t="shared" si="3"/>
        <v>X</v>
      </c>
      <c r="B77" s="12">
        <f>IFERROR(__xludf.DUMMYFUNCTION("""COMPUTED_VALUE"""),74.0)</f>
        <v>74</v>
      </c>
      <c r="C77" s="12" t="str">
        <f>IFERROR(__xludf.DUMMYFUNCTION("""COMPUTED_VALUE"""),"NBCC")</f>
        <v>NBCC</v>
      </c>
      <c r="D77" s="13">
        <f>IFERROR(__xludf.DUMMYFUNCTION("""COMPUTED_VALUE"""),95.74)</f>
        <v>95.74</v>
      </c>
      <c r="E77" s="13">
        <f>IFERROR(__xludf.DUMMYFUNCTION("""COMPUTED_VALUE"""),89.83)</f>
        <v>89.83</v>
      </c>
      <c r="F77" s="13">
        <f>IFERROR(__xludf.DUMMYFUNCTION("IFERROR(GOOGLEFINANCE(""NSE:""&amp;C77,""PRICE""),"""")"),98.48)</f>
        <v>98.48</v>
      </c>
      <c r="G77" s="14" t="str">
        <f t="shared" si="2"/>
        <v>CHART</v>
      </c>
    </row>
    <row r="78">
      <c r="A78" s="11" t="str">
        <f t="shared" si="3"/>
        <v>X</v>
      </c>
      <c r="B78" s="12">
        <f>IFERROR(__xludf.DUMMYFUNCTION("""COMPUTED_VALUE"""),75.0)</f>
        <v>75</v>
      </c>
      <c r="C78" s="12" t="str">
        <f>IFERROR(__xludf.DUMMYFUNCTION("""COMPUTED_VALUE"""),"RBLBANK")</f>
        <v>RBLBANK</v>
      </c>
      <c r="D78" s="13">
        <f>IFERROR(__xludf.DUMMYFUNCTION("""COMPUTED_VALUE"""),339.5)</f>
        <v>339.5</v>
      </c>
      <c r="E78" s="13">
        <f>IFERROR(__xludf.DUMMYFUNCTION("""COMPUTED_VALUE"""),318.45)</f>
        <v>318.45</v>
      </c>
      <c r="F78" s="13">
        <f>IFERROR(__xludf.DUMMYFUNCTION("IFERROR(GOOGLEFINANCE(""NSE:""&amp;C78,""PRICE""),"""")"),348.0)</f>
        <v>348</v>
      </c>
      <c r="G78" s="14" t="str">
        <f t="shared" si="2"/>
        <v>CHART</v>
      </c>
    </row>
    <row r="79">
      <c r="A79" s="11" t="str">
        <f t="shared" si="3"/>
        <v>X</v>
      </c>
      <c r="B79" s="12">
        <f>IFERROR(__xludf.DUMMYFUNCTION("""COMPUTED_VALUE"""),76.0)</f>
        <v>76</v>
      </c>
      <c r="C79" s="12" t="str">
        <f>IFERROR(__xludf.DUMMYFUNCTION("""COMPUTED_VALUE"""),"ASHOKLEY")</f>
        <v>ASHOKLEY</v>
      </c>
      <c r="D79" s="13">
        <f>IFERROR(__xludf.DUMMYFUNCTION("""COMPUTED_VALUE"""),158.48)</f>
        <v>158.48</v>
      </c>
      <c r="E79" s="13">
        <f>IFERROR(__xludf.DUMMYFUNCTION("""COMPUTED_VALUE"""),148.76)</f>
        <v>148.76</v>
      </c>
      <c r="F79" s="13">
        <f>IFERROR(__xludf.DUMMYFUNCTION("IFERROR(GOOGLEFINANCE(""NSE:""&amp;C79,""PRICE""),"""")"),160.55)</f>
        <v>160.55</v>
      </c>
      <c r="G79" s="14" t="str">
        <f t="shared" si="2"/>
        <v>CHART</v>
      </c>
    </row>
    <row r="80">
      <c r="A80" s="11" t="str">
        <f t="shared" si="3"/>
        <v/>
      </c>
      <c r="B80" s="12">
        <f>IFERROR(__xludf.DUMMYFUNCTION("""COMPUTED_VALUE"""),77.0)</f>
        <v>77</v>
      </c>
      <c r="C80" s="12" t="str">
        <f>IFERROR(__xludf.DUMMYFUNCTION("""COMPUTED_VALUE"""),"HEROMOTOCO")</f>
        <v>HEROMOTOCO</v>
      </c>
      <c r="D80" s="13">
        <f>IFERROR(__xludf.DUMMYFUNCTION("""COMPUTED_VALUE"""),5139.5)</f>
        <v>5139.5</v>
      </c>
      <c r="E80" s="13">
        <f>IFERROR(__xludf.DUMMYFUNCTION("""COMPUTED_VALUE"""),4902.0)</f>
        <v>4902</v>
      </c>
      <c r="F80" s="13">
        <f>IFERROR(__xludf.DUMMYFUNCTION("IFERROR(GOOGLEFINANCE(""NSE:""&amp;C80,""PRICE""),"""")"),5050.0)</f>
        <v>5050</v>
      </c>
      <c r="G80" s="14" t="str">
        <f t="shared" si="2"/>
        <v>CHART</v>
      </c>
    </row>
    <row r="81">
      <c r="A81" s="11" t="str">
        <f t="shared" si="3"/>
        <v>X</v>
      </c>
      <c r="B81" s="12">
        <f>IFERROR(__xludf.DUMMYFUNCTION("""COMPUTED_VALUE"""),78.0)</f>
        <v>78</v>
      </c>
      <c r="C81" s="12" t="str">
        <f>IFERROR(__xludf.DUMMYFUNCTION("""COMPUTED_VALUE"""),"DLF")</f>
        <v>DLF</v>
      </c>
      <c r="D81" s="13">
        <f>IFERROR(__xludf.DUMMYFUNCTION("""COMPUTED_VALUE"""),591.9)</f>
        <v>591.9</v>
      </c>
      <c r="E81" s="13">
        <f>IFERROR(__xludf.DUMMYFUNCTION("""COMPUTED_VALUE"""),554.0)</f>
        <v>554</v>
      </c>
      <c r="F81" s="13">
        <f>IFERROR(__xludf.DUMMYFUNCTION("IFERROR(GOOGLEFINANCE(""NSE:""&amp;C81,""PRICE""),"""")"),598.65)</f>
        <v>598.65</v>
      </c>
      <c r="G81" s="14" t="str">
        <f t="shared" si="2"/>
        <v>CHART</v>
      </c>
    </row>
    <row r="82">
      <c r="A82" s="11" t="str">
        <f t="shared" si="3"/>
        <v/>
      </c>
      <c r="B82" s="12">
        <f>IFERROR(__xludf.DUMMYFUNCTION("""COMPUTED_VALUE"""),79.0)</f>
        <v>79</v>
      </c>
      <c r="C82" s="12" t="str">
        <f>IFERROR(__xludf.DUMMYFUNCTION("""COMPUTED_VALUE"""),"KAYNES")</f>
        <v>KAYNES</v>
      </c>
      <c r="D82" s="13">
        <f>IFERROR(__xludf.DUMMYFUNCTION("""COMPUTED_VALUE"""),3430.9)</f>
        <v>3430.9</v>
      </c>
      <c r="E82" s="13">
        <f>IFERROR(__xludf.DUMMYFUNCTION("""COMPUTED_VALUE"""),2995.0)</f>
        <v>2995</v>
      </c>
      <c r="F82" s="13">
        <f>IFERROR(__xludf.DUMMYFUNCTION("IFERROR(GOOGLEFINANCE(""NSE:""&amp;C82,""PRICE""),"""")"),3281.0)</f>
        <v>3281</v>
      </c>
      <c r="G82" s="14" t="str">
        <f t="shared" si="2"/>
        <v>CHART</v>
      </c>
    </row>
    <row r="83">
      <c r="A83" s="11" t="str">
        <f t="shared" si="3"/>
        <v/>
      </c>
      <c r="B83" s="12">
        <f>IFERROR(__xludf.DUMMYFUNCTION("""COMPUTED_VALUE"""),80.0)</f>
        <v>80</v>
      </c>
      <c r="C83" s="12" t="str">
        <f>IFERROR(__xludf.DUMMYFUNCTION("""COMPUTED_VALUE"""),"HAL")</f>
        <v>HAL</v>
      </c>
      <c r="D83" s="13">
        <f>IFERROR(__xludf.DUMMYFUNCTION("""COMPUTED_VALUE"""),4618.0)</f>
        <v>4618</v>
      </c>
      <c r="E83" s="13">
        <f>IFERROR(__xludf.DUMMYFUNCTION("""COMPUTED_VALUE"""),4175.0)</f>
        <v>4175</v>
      </c>
      <c r="F83" s="13">
        <f>IFERROR(__xludf.DUMMYFUNCTION("IFERROR(GOOGLEFINANCE(""NSE:""&amp;C83,""PRICE""),"""")"),4439.2)</f>
        <v>4439.2</v>
      </c>
      <c r="G83" s="14" t="str">
        <f t="shared" si="2"/>
        <v>CHART</v>
      </c>
    </row>
    <row r="84">
      <c r="A84" s="11" t="str">
        <f t="shared" si="3"/>
        <v/>
      </c>
      <c r="B84" s="12">
        <f>IFERROR(__xludf.DUMMYFUNCTION("""COMPUTED_VALUE"""),81.0)</f>
        <v>81</v>
      </c>
      <c r="C84" s="12" t="str">
        <f>IFERROR(__xludf.DUMMYFUNCTION("""COMPUTED_VALUE"""),"GRASIM")</f>
        <v>GRASIM</v>
      </c>
      <c r="D84" s="13">
        <f>IFERROR(__xludf.DUMMYFUNCTION("""COMPUTED_VALUE"""),3180.0)</f>
        <v>3180</v>
      </c>
      <c r="E84" s="13">
        <f>IFERROR(__xludf.DUMMYFUNCTION("""COMPUTED_VALUE"""),2880.6)</f>
        <v>2880.6</v>
      </c>
      <c r="F84" s="13">
        <f>IFERROR(__xludf.DUMMYFUNCTION("IFERROR(GOOGLEFINANCE(""NSE:""&amp;C84,""PRICE""),"""")"),3169.9)</f>
        <v>3169.9</v>
      </c>
      <c r="G84" s="14" t="str">
        <f t="shared" si="2"/>
        <v>CHART</v>
      </c>
    </row>
    <row r="85">
      <c r="A85" s="11" t="str">
        <f t="shared" si="3"/>
        <v>X</v>
      </c>
      <c r="B85" s="12">
        <f>IFERROR(__xludf.DUMMYFUNCTION("""COMPUTED_VALUE"""),82.0)</f>
        <v>82</v>
      </c>
      <c r="C85" s="12" t="str">
        <f>IFERROR(__xludf.DUMMYFUNCTION("""COMPUTED_VALUE"""),"INDUSINDBK")</f>
        <v>INDUSINDBK</v>
      </c>
      <c r="D85" s="13">
        <f>IFERROR(__xludf.DUMMYFUNCTION("""COMPUTED_VALUE"""),913.9)</f>
        <v>913.9</v>
      </c>
      <c r="E85" s="13">
        <f>IFERROR(__xludf.DUMMYFUNCTION("""COMPUTED_VALUE"""),870.2)</f>
        <v>870.2</v>
      </c>
      <c r="F85" s="13">
        <f>IFERROR(__xludf.DUMMYFUNCTION("IFERROR(GOOGLEFINANCE(""NSE:""&amp;C85,""PRICE""),"""")"),935.25)</f>
        <v>935.25</v>
      </c>
      <c r="G85" s="14" t="str">
        <f t="shared" si="2"/>
        <v>CHART</v>
      </c>
    </row>
    <row r="86">
      <c r="A86" s="11" t="str">
        <f t="shared" si="3"/>
        <v>X</v>
      </c>
      <c r="B86" s="12">
        <f>IFERROR(__xludf.DUMMYFUNCTION("""COMPUTED_VALUE"""),83.0)</f>
        <v>83</v>
      </c>
      <c r="C86" s="12" t="str">
        <f>IFERROR(__xludf.DUMMYFUNCTION("""COMPUTED_VALUE"""),"BANKBARODA")</f>
        <v>BANKBARODA</v>
      </c>
      <c r="D86" s="13">
        <f>IFERROR(__xludf.DUMMYFUNCTION("""COMPUTED_VALUE"""),270.25)</f>
        <v>270.25</v>
      </c>
      <c r="E86" s="13">
        <f>IFERROR(__xludf.DUMMYFUNCTION("""COMPUTED_VALUE"""),255.3)</f>
        <v>255.3</v>
      </c>
      <c r="F86" s="13">
        <f>IFERROR(__xludf.DUMMYFUNCTION("IFERROR(GOOGLEFINANCE(""NSE:""&amp;C86,""PRICE""),"""")"),271.75)</f>
        <v>271.75</v>
      </c>
      <c r="G86" s="14" t="str">
        <f t="shared" si="2"/>
        <v>CHART</v>
      </c>
    </row>
    <row r="87">
      <c r="A87" s="11" t="str">
        <f t="shared" si="3"/>
        <v>X</v>
      </c>
      <c r="B87" s="12">
        <f>IFERROR(__xludf.DUMMYFUNCTION("""COMPUTED_VALUE"""),84.0)</f>
        <v>84</v>
      </c>
      <c r="C87" s="12" t="str">
        <f>IFERROR(__xludf.DUMMYFUNCTION("""COMPUTED_VALUE"""),"YESBANK")</f>
        <v>YESBANK</v>
      </c>
      <c r="D87" s="13">
        <f>IFERROR(__xludf.DUMMYFUNCTION("""COMPUTED_VALUE"""),22.44)</f>
        <v>22.44</v>
      </c>
      <c r="E87" s="13">
        <f>IFERROR(__xludf.DUMMYFUNCTION("""COMPUTED_VALUE"""),20.93)</f>
        <v>20.93</v>
      </c>
      <c r="F87" s="13">
        <f>IFERROR(__xludf.DUMMYFUNCTION("IFERROR(GOOGLEFINANCE(""NSE:""&amp;C87,""PRICE""),"""")"),22.91)</f>
        <v>22.91</v>
      </c>
      <c r="G87" s="14" t="str">
        <f t="shared" si="2"/>
        <v>CHART</v>
      </c>
    </row>
    <row r="88">
      <c r="A88" s="11" t="str">
        <f t="shared" si="3"/>
        <v>X</v>
      </c>
      <c r="B88" s="12">
        <f>IFERROR(__xludf.DUMMYFUNCTION("""COMPUTED_VALUE"""),85.0)</f>
        <v>85</v>
      </c>
      <c r="C88" s="12" t="str">
        <f>IFERROR(__xludf.DUMMYFUNCTION("""COMPUTED_VALUE"""),"MANAPPURAM")</f>
        <v>MANAPPURAM</v>
      </c>
      <c r="D88" s="13">
        <f>IFERROR(__xludf.DUMMYFUNCTION("""COMPUTED_VALUE"""),324.45)</f>
        <v>324.45</v>
      </c>
      <c r="E88" s="13">
        <f>IFERROR(__xludf.DUMMYFUNCTION("""COMPUTED_VALUE"""),295.75)</f>
        <v>295.75</v>
      </c>
      <c r="F88" s="13">
        <f>IFERROR(__xludf.DUMMYFUNCTION("IFERROR(GOOGLEFINANCE(""NSE:""&amp;C88,""PRICE""),"""")"),328.85)</f>
        <v>328.85</v>
      </c>
      <c r="G88" s="14" t="str">
        <f t="shared" si="2"/>
        <v>CHART</v>
      </c>
    </row>
    <row r="89">
      <c r="A89" s="11" t="str">
        <f t="shared" si="3"/>
        <v/>
      </c>
      <c r="B89" s="12">
        <f>IFERROR(__xludf.DUMMYFUNCTION("""COMPUTED_VALUE"""),86.0)</f>
        <v>86</v>
      </c>
      <c r="C89" s="12" t="str">
        <f>IFERROR(__xludf.DUMMYFUNCTION("""COMPUTED_VALUE"""),"COCHINSHIP")</f>
        <v>COCHINSHIP</v>
      </c>
      <c r="D89" s="13">
        <f>IFERROR(__xludf.DUMMYFUNCTION("""COMPUTED_VALUE"""),1649.0)</f>
        <v>1649</v>
      </c>
      <c r="E89" s="13">
        <f>IFERROR(__xludf.DUMMYFUNCTION("""COMPUTED_VALUE"""),1463.1)</f>
        <v>1463.1</v>
      </c>
      <c r="F89" s="13">
        <f>IFERROR(__xludf.DUMMYFUNCTION("IFERROR(GOOGLEFINANCE(""NSE:""&amp;C89,""PRICE""),"""")"),1533.6)</f>
        <v>1533.6</v>
      </c>
      <c r="G89" s="14" t="str">
        <f t="shared" si="2"/>
        <v>CHART</v>
      </c>
    </row>
    <row r="90">
      <c r="A90" s="11" t="str">
        <f t="shared" si="3"/>
        <v>X</v>
      </c>
      <c r="B90" s="12">
        <f>IFERROR(__xludf.DUMMYFUNCTION("""COMPUTED_VALUE"""),87.0)</f>
        <v>87</v>
      </c>
      <c r="C90" s="12" t="str">
        <f>IFERROR(__xludf.DUMMYFUNCTION("""COMPUTED_VALUE"""),"TRENT")</f>
        <v>TRENT</v>
      </c>
      <c r="D90" s="13">
        <f>IFERROR(__xludf.DUMMYFUNCTION("""COMPUTED_VALUE"""),4190.9)</f>
        <v>4190.9</v>
      </c>
      <c r="E90" s="13">
        <f>IFERROR(__xludf.DUMMYFUNCTION("""COMPUTED_VALUE"""),3980.6)</f>
        <v>3980.6</v>
      </c>
      <c r="F90" s="13">
        <f>IFERROR(__xludf.DUMMYFUNCTION("IFERROR(GOOGLEFINANCE(""NSE:""&amp;C90,""PRICE""),"""")"),4246.5)</f>
        <v>4246.5</v>
      </c>
      <c r="G90" s="14" t="str">
        <f t="shared" si="2"/>
        <v>CHART</v>
      </c>
    </row>
    <row r="91">
      <c r="A91" s="11" t="str">
        <f t="shared" si="3"/>
        <v/>
      </c>
      <c r="B91" s="12">
        <f>IFERROR(__xludf.DUMMYFUNCTION("""COMPUTED_VALUE"""),88.0)</f>
        <v>88</v>
      </c>
      <c r="C91" s="12" t="str">
        <f>IFERROR(__xludf.DUMMYFUNCTION("""COMPUTED_VALUE"""),"HDFCAMC")</f>
        <v>HDFCAMC</v>
      </c>
      <c r="D91" s="13">
        <f>IFERROR(__xludf.DUMMYFUNCTION("""COMPUTED_VALUE"""),2774.2)</f>
        <v>2774.2</v>
      </c>
      <c r="E91" s="13">
        <f>IFERROR(__xludf.DUMMYFUNCTION("""COMPUTED_VALUE"""),2600.1)</f>
        <v>2600.1</v>
      </c>
      <c r="F91" s="13">
        <f>IFERROR(__xludf.DUMMYFUNCTION("IFERROR(GOOGLEFINANCE(""NSE:""&amp;C91,""PRICE""),"""")"),2722.0)</f>
        <v>2722</v>
      </c>
      <c r="G91" s="14" t="str">
        <f t="shared" si="2"/>
        <v>CHART</v>
      </c>
    </row>
    <row r="92">
      <c r="A92" s="11" t="str">
        <f t="shared" si="3"/>
        <v/>
      </c>
      <c r="B92" s="12">
        <f>IFERROR(__xludf.DUMMYFUNCTION("""COMPUTED_VALUE"""),89.0)</f>
        <v>89</v>
      </c>
      <c r="C92" s="12" t="str">
        <f>IFERROR(__xludf.DUMMYFUNCTION("""COMPUTED_VALUE"""),"POWERGRID")</f>
        <v>POWERGRID</v>
      </c>
      <c r="D92" s="13">
        <f>IFERROR(__xludf.DUMMYFUNCTION("""COMPUTED_VALUE"""),308.15)</f>
        <v>308.15</v>
      </c>
      <c r="E92" s="13">
        <f>IFERROR(__xludf.DUMMYFUNCTION("""COMPUTED_VALUE"""),290.2)</f>
        <v>290.2</v>
      </c>
      <c r="F92" s="13">
        <f>IFERROR(__xludf.DUMMYFUNCTION("IFERROR(GOOGLEFINANCE(""NSE:""&amp;C92,""PRICE""),"""")"),298.5)</f>
        <v>298.5</v>
      </c>
      <c r="G92" s="14" t="str">
        <f t="shared" si="2"/>
        <v>CHART</v>
      </c>
    </row>
    <row r="93">
      <c r="A93" s="11" t="str">
        <f t="shared" si="3"/>
        <v>X</v>
      </c>
      <c r="B93" s="12">
        <f>IFERROR(__xludf.DUMMYFUNCTION("""COMPUTED_VALUE"""),90.0)</f>
        <v>90</v>
      </c>
      <c r="C93" s="12" t="str">
        <f>IFERROR(__xludf.DUMMYFUNCTION("""COMPUTED_VALUE"""),"TIINDIA")</f>
        <v>TIINDIA</v>
      </c>
      <c r="D93" s="13">
        <f>IFERROR(__xludf.DUMMYFUNCTION("""COMPUTED_VALUE"""),3063.5)</f>
        <v>3063.5</v>
      </c>
      <c r="E93" s="13">
        <f>IFERROR(__xludf.DUMMYFUNCTION("""COMPUTED_VALUE"""),2729.3)</f>
        <v>2729.3</v>
      </c>
      <c r="F93" s="13">
        <f>IFERROR(__xludf.DUMMYFUNCTION("IFERROR(GOOGLEFINANCE(""NSE:""&amp;C93,""PRICE""),"""")"),3159.0)</f>
        <v>3159</v>
      </c>
      <c r="G93" s="14" t="str">
        <f t="shared" si="2"/>
        <v>CHART</v>
      </c>
    </row>
    <row r="94">
      <c r="A94" s="11" t="str">
        <f t="shared" si="3"/>
        <v>X</v>
      </c>
      <c r="B94" s="12">
        <f>IFERROR(__xludf.DUMMYFUNCTION("""COMPUTED_VALUE"""),91.0)</f>
        <v>91</v>
      </c>
      <c r="C94" s="12" t="str">
        <f>IFERROR(__xludf.DUMMYFUNCTION("""COMPUTED_VALUE"""),"ASIANPAINT")</f>
        <v>ASIANPAINT</v>
      </c>
      <c r="D94" s="13">
        <f>IFERROR(__xludf.DUMMYFUNCTION("""COMPUTED_VALUE"""),2648.3)</f>
        <v>2648.3</v>
      </c>
      <c r="E94" s="13">
        <f>IFERROR(__xludf.DUMMYFUNCTION("""COMPUTED_VALUE"""),2556.0)</f>
        <v>2556</v>
      </c>
      <c r="F94" s="13">
        <f>IFERROR(__xludf.DUMMYFUNCTION("IFERROR(GOOGLEFINANCE(""NSE:""&amp;C94,""PRICE""),"""")"),2688.9)</f>
        <v>2688.9</v>
      </c>
      <c r="G94" s="14" t="str">
        <f t="shared" si="2"/>
        <v>CHART</v>
      </c>
    </row>
    <row r="95">
      <c r="A95" s="11" t="str">
        <f t="shared" si="3"/>
        <v>X</v>
      </c>
      <c r="B95" s="12">
        <f>IFERROR(__xludf.DUMMYFUNCTION("""COMPUTED_VALUE"""),92.0)</f>
        <v>92</v>
      </c>
      <c r="C95" s="12" t="str">
        <f>IFERROR(__xludf.DUMMYFUNCTION("""COMPUTED_VALUE"""),"LODHA")</f>
        <v>LODHA</v>
      </c>
      <c r="D95" s="13">
        <f>IFERROR(__xludf.DUMMYFUNCTION("""COMPUTED_VALUE"""),904.0)</f>
        <v>904</v>
      </c>
      <c r="E95" s="13">
        <f>IFERROR(__xludf.DUMMYFUNCTION("""COMPUTED_VALUE"""),830.2)</f>
        <v>830.2</v>
      </c>
      <c r="F95" s="13">
        <f>IFERROR(__xludf.DUMMYFUNCTION("IFERROR(GOOGLEFINANCE(""NSE:""&amp;C95,""PRICE""),"""")"),932.4)</f>
        <v>932.4</v>
      </c>
      <c r="G95" s="14" t="str">
        <f t="shared" si="2"/>
        <v>CHART</v>
      </c>
    </row>
    <row r="96">
      <c r="A96" s="11" t="str">
        <f t="shared" si="3"/>
        <v/>
      </c>
      <c r="B96" s="12">
        <f>IFERROR(__xludf.DUMMYFUNCTION("""COMPUTED_VALUE"""),93.0)</f>
        <v>93</v>
      </c>
      <c r="C96" s="12" t="str">
        <f>IFERROR(__xludf.DUMMYFUNCTION("""COMPUTED_VALUE"""),"FEDERALBNK")</f>
        <v>FEDERALBNK</v>
      </c>
      <c r="D96" s="13">
        <f>IFERROR(__xludf.DUMMYFUNCTION("""COMPUTED_VALUE"""),292.5)</f>
        <v>292.5</v>
      </c>
      <c r="E96" s="13">
        <f>IFERROR(__xludf.DUMMYFUNCTION("""COMPUTED_VALUE"""),277.55)</f>
        <v>277.55</v>
      </c>
      <c r="F96" s="13">
        <f>IFERROR(__xludf.DUMMYFUNCTION("IFERROR(GOOGLEFINANCE(""NSE:""&amp;C96,""PRICE""),"""")"),289.6)</f>
        <v>289.6</v>
      </c>
      <c r="G96" s="14" t="str">
        <f t="shared" si="2"/>
        <v>CHART</v>
      </c>
    </row>
    <row r="97">
      <c r="A97" s="11" t="str">
        <f t="shared" si="3"/>
        <v>X</v>
      </c>
      <c r="B97" s="12">
        <f>IFERROR(__xludf.DUMMYFUNCTION("""COMPUTED_VALUE"""),94.0)</f>
        <v>94</v>
      </c>
      <c r="C97" s="12" t="str">
        <f>IFERROR(__xludf.DUMMYFUNCTION("""COMPUTED_VALUE"""),"IDFCFIRSTB")</f>
        <v>IDFCFIRSTB</v>
      </c>
      <c r="D97" s="13">
        <f>IFERROR(__xludf.DUMMYFUNCTION("""COMPUTED_VALUE"""),68.98)</f>
        <v>68.98</v>
      </c>
      <c r="E97" s="13">
        <f>IFERROR(__xludf.DUMMYFUNCTION("""COMPUTED_VALUE"""),66.16)</f>
        <v>66.16</v>
      </c>
      <c r="F97" s="13">
        <f>IFERROR(__xludf.DUMMYFUNCTION("IFERROR(GOOGLEFINANCE(""NSE:""&amp;C97,""PRICE""),"""")"),70.41)</f>
        <v>70.41</v>
      </c>
      <c r="G97" s="14" t="str">
        <f t="shared" si="2"/>
        <v>CHART</v>
      </c>
    </row>
    <row r="98">
      <c r="A98" s="11" t="str">
        <f t="shared" si="3"/>
        <v>X</v>
      </c>
      <c r="B98" s="12">
        <f>IFERROR(__xludf.DUMMYFUNCTION("""COMPUTED_VALUE"""),95.0)</f>
        <v>95</v>
      </c>
      <c r="C98" s="12" t="str">
        <f>IFERROR(__xludf.DUMMYFUNCTION("""COMPUTED_VALUE"""),"ABCAPITAL")</f>
        <v>ABCAPITAL</v>
      </c>
      <c r="D98" s="13">
        <f>IFERROR(__xludf.DUMMYFUNCTION("""COMPUTED_VALUE"""),363.35)</f>
        <v>363.35</v>
      </c>
      <c r="E98" s="13">
        <f>IFERROR(__xludf.DUMMYFUNCTION("""COMPUTED_VALUE"""),342.8)</f>
        <v>342.8</v>
      </c>
      <c r="F98" s="13">
        <f>IFERROR(__xludf.DUMMYFUNCTION("IFERROR(GOOGLEFINANCE(""NSE:""&amp;C98,""PRICE""),"""")"),365.6)</f>
        <v>365.6</v>
      </c>
      <c r="G98" s="14" t="str">
        <f t="shared" si="2"/>
        <v>CHART</v>
      </c>
    </row>
    <row r="99">
      <c r="A99" s="11" t="str">
        <f t="shared" si="3"/>
        <v>X</v>
      </c>
      <c r="B99" s="12">
        <f>IFERROR(__xludf.DUMMYFUNCTION("""COMPUTED_VALUE"""),96.0)</f>
        <v>96</v>
      </c>
      <c r="C99" s="12" t="str">
        <f>IFERROR(__xludf.DUMMYFUNCTION("""COMPUTED_VALUE"""),"KEI")</f>
        <v>KEI</v>
      </c>
      <c r="D99" s="13">
        <f>IFERROR(__xludf.DUMMYFUNCTION("""COMPUTED_VALUE"""),5295.0)</f>
        <v>5295</v>
      </c>
      <c r="E99" s="13">
        <f>IFERROR(__xludf.DUMMYFUNCTION("""COMPUTED_VALUE"""),4950.0)</f>
        <v>4950</v>
      </c>
      <c r="F99" s="13">
        <f>IFERROR(__xludf.DUMMYFUNCTION("IFERROR(GOOGLEFINANCE(""NSE:""&amp;C99,""PRICE""),"""")"),5450.0)</f>
        <v>5450</v>
      </c>
      <c r="G99" s="14" t="str">
        <f t="shared" si="2"/>
        <v>CHART</v>
      </c>
    </row>
    <row r="100">
      <c r="A100" s="11" t="str">
        <f t="shared" si="3"/>
        <v>X</v>
      </c>
      <c r="B100" s="12">
        <f>IFERROR(__xludf.DUMMYFUNCTION("""COMPUTED_VALUE"""),97.0)</f>
        <v>97</v>
      </c>
      <c r="C100" s="12" t="str">
        <f>IFERROR(__xludf.DUMMYFUNCTION("""COMPUTED_VALUE"""),"UNIONBANK")</f>
        <v>UNIONBANK</v>
      </c>
      <c r="D100" s="13">
        <f>IFERROR(__xludf.DUMMYFUNCTION("""COMPUTED_VALUE"""),165.44)</f>
        <v>165.44</v>
      </c>
      <c r="E100" s="13">
        <f>IFERROR(__xludf.DUMMYFUNCTION("""COMPUTED_VALUE"""),156.21)</f>
        <v>156.21</v>
      </c>
      <c r="F100" s="13">
        <f>IFERROR(__xludf.DUMMYFUNCTION("IFERROR(GOOGLEFINANCE(""NSE:""&amp;C100,""PRICE""),"""")"),168.9)</f>
        <v>168.9</v>
      </c>
      <c r="G100" s="14" t="str">
        <f t="shared" si="2"/>
        <v>CHART</v>
      </c>
    </row>
    <row r="101">
      <c r="A101" s="11" t="str">
        <f t="shared" si="3"/>
        <v>X</v>
      </c>
      <c r="B101" s="12">
        <f>IFERROR(__xludf.DUMMYFUNCTION("""COMPUTED_VALUE"""),98.0)</f>
        <v>98</v>
      </c>
      <c r="C101" s="12" t="str">
        <f>IFERROR(__xludf.DUMMYFUNCTION("""COMPUTED_VALUE"""),"ANGELONE")</f>
        <v>ANGELONE</v>
      </c>
      <c r="D101" s="13">
        <f>IFERROR(__xludf.DUMMYFUNCTION("""COMPUTED_VALUE"""),343.3)</f>
        <v>343.3</v>
      </c>
      <c r="E101" s="13">
        <f>IFERROR(__xludf.DUMMYFUNCTION("""COMPUTED_VALUE"""),298.4)</f>
        <v>298.4</v>
      </c>
      <c r="F101" s="13">
        <f>IFERROR(__xludf.DUMMYFUNCTION("IFERROR(GOOGLEFINANCE(""NSE:""&amp;C101,""PRICE""),"""")"),345.5)</f>
        <v>345.5</v>
      </c>
      <c r="G101" s="14" t="str">
        <f t="shared" si="2"/>
        <v>CHART</v>
      </c>
    </row>
    <row r="102">
      <c r="A102" s="11" t="str">
        <f t="shared" si="3"/>
        <v>X</v>
      </c>
      <c r="B102" s="12">
        <f>IFERROR(__xludf.DUMMYFUNCTION("""COMPUTED_VALUE"""),99.0)</f>
        <v>99</v>
      </c>
      <c r="C102" s="12" t="str">
        <f>IFERROR(__xludf.DUMMYFUNCTION("""COMPUTED_VALUE"""),"EICHERMOT")</f>
        <v>EICHERMOT</v>
      </c>
      <c r="D102" s="13">
        <f>IFERROR(__xludf.DUMMYFUNCTION("""COMPUTED_VALUE"""),7115.5)</f>
        <v>7115.5</v>
      </c>
      <c r="E102" s="13">
        <f>IFERROR(__xludf.DUMMYFUNCTION("""COMPUTED_VALUE"""),6752.5)</f>
        <v>6752.5</v>
      </c>
      <c r="F102" s="13">
        <f>IFERROR(__xludf.DUMMYFUNCTION("IFERROR(GOOGLEFINANCE(""NSE:""&amp;C102,""PRICE""),"""")"),7378.0)</f>
        <v>7378</v>
      </c>
      <c r="G102" s="14" t="str">
        <f t="shared" si="2"/>
        <v>CHART</v>
      </c>
    </row>
    <row r="103">
      <c r="A103" s="11" t="str">
        <f t="shared" si="3"/>
        <v>Y</v>
      </c>
      <c r="B103" s="12">
        <f>IFERROR(__xludf.DUMMYFUNCTION("""COMPUTED_VALUE"""),100.0)</f>
        <v>100</v>
      </c>
      <c r="C103" s="12" t="str">
        <f>IFERROR(__xludf.DUMMYFUNCTION("""COMPUTED_VALUE"""),"CONCOR")</f>
        <v>CONCOR</v>
      </c>
      <c r="D103" s="13">
        <f>IFERROR(__xludf.DUMMYFUNCTION("""COMPUTED_VALUE"""),527.85)</f>
        <v>527.85</v>
      </c>
      <c r="E103" s="13">
        <f>IFERROR(__xludf.DUMMYFUNCTION("""COMPUTED_VALUE"""),493.0)</f>
        <v>493</v>
      </c>
      <c r="F103" s="13">
        <f>IFERROR(__xludf.DUMMYFUNCTION("IFERROR(GOOGLEFINANCE(""NSE:""&amp;C103,""PRICE""),"""")"),473.45)</f>
        <v>473.45</v>
      </c>
      <c r="G103" s="14" t="str">
        <f t="shared" si="2"/>
        <v>CHART</v>
      </c>
    </row>
    <row r="104">
      <c r="A104" s="11" t="str">
        <f t="shared" si="3"/>
        <v>X</v>
      </c>
      <c r="B104" s="12">
        <f>IFERROR(__xludf.DUMMYFUNCTION("""COMPUTED_VALUE"""),101.0)</f>
        <v>101</v>
      </c>
      <c r="C104" s="12" t="str">
        <f>IFERROR(__xludf.DUMMYFUNCTION("""COMPUTED_VALUE"""),"NHPC")</f>
        <v>NHPC</v>
      </c>
      <c r="D104" s="13">
        <f>IFERROR(__xludf.DUMMYFUNCTION("""COMPUTED_VALUE"""),80.49)</f>
        <v>80.49</v>
      </c>
      <c r="E104" s="13">
        <f>IFERROR(__xludf.DUMMYFUNCTION("""COMPUTED_VALUE"""),75.91)</f>
        <v>75.91</v>
      </c>
      <c r="F104" s="13">
        <f>IFERROR(__xludf.DUMMYFUNCTION("IFERROR(GOOGLEFINANCE(""NSE:""&amp;C104,""PRICE""),"""")"),80.57)</f>
        <v>80.57</v>
      </c>
      <c r="G104" s="14" t="str">
        <f t="shared" si="2"/>
        <v>CHART</v>
      </c>
    </row>
    <row r="105">
      <c r="A105" s="11" t="str">
        <f t="shared" si="3"/>
        <v/>
      </c>
      <c r="B105" s="12">
        <f>IFERROR(__xludf.DUMMYFUNCTION("""COMPUTED_VALUE"""),102.0)</f>
        <v>102</v>
      </c>
      <c r="C105" s="12" t="str">
        <f>IFERROR(__xludf.DUMMYFUNCTION("""COMPUTED_VALUE"""),"AUBANK")</f>
        <v>AUBANK</v>
      </c>
      <c r="D105" s="13">
        <f>IFERROR(__xludf.DUMMYFUNCTION("""COMPUTED_VALUE"""),1009.9)</f>
        <v>1009.9</v>
      </c>
      <c r="E105" s="13">
        <f>IFERROR(__xludf.DUMMYFUNCTION("""COMPUTED_VALUE"""),948.0)</f>
        <v>948</v>
      </c>
      <c r="F105" s="13">
        <f>IFERROR(__xludf.DUMMYFUNCTION("IFERROR(GOOGLEFINANCE(""NSE:""&amp;C105,""PRICE""),"""")"),1007.0)</f>
        <v>1007</v>
      </c>
      <c r="G105" s="14" t="str">
        <f t="shared" si="2"/>
        <v>CHART</v>
      </c>
    </row>
    <row r="106">
      <c r="A106" s="11" t="str">
        <f t="shared" si="3"/>
        <v>X</v>
      </c>
      <c r="B106" s="12">
        <f>IFERROR(__xludf.DUMMYFUNCTION("""COMPUTED_VALUE"""),103.0)</f>
        <v>103</v>
      </c>
      <c r="C106" s="12" t="str">
        <f>IFERROR(__xludf.DUMMYFUNCTION("""COMPUTED_VALUE"""),"PNB")</f>
        <v>PNB</v>
      </c>
      <c r="D106" s="13">
        <f>IFERROR(__xludf.DUMMYFUNCTION("""COMPUTED_VALUE"""),104.85)</f>
        <v>104.85</v>
      </c>
      <c r="E106" s="13">
        <f>IFERROR(__xludf.DUMMYFUNCTION("""COMPUTED_VALUE"""),98.5)</f>
        <v>98.5</v>
      </c>
      <c r="F106" s="13">
        <f>IFERROR(__xludf.DUMMYFUNCTION("IFERROR(GOOGLEFINANCE(""NSE:""&amp;C106,""PRICE""),"""")"),106.26)</f>
        <v>106.26</v>
      </c>
      <c r="G106" s="14" t="str">
        <f t="shared" si="2"/>
        <v>CHART</v>
      </c>
    </row>
    <row r="107">
      <c r="A107" s="11" t="str">
        <f t="shared" si="3"/>
        <v>X</v>
      </c>
      <c r="B107" s="12">
        <f>IFERROR(__xludf.DUMMYFUNCTION("""COMPUTED_VALUE"""),104.0)</f>
        <v>104</v>
      </c>
      <c r="C107" s="12" t="str">
        <f>IFERROR(__xludf.DUMMYFUNCTION("""COMPUTED_VALUE"""),"SONACOMS")</f>
        <v>SONACOMS</v>
      </c>
      <c r="D107" s="13">
        <f>IFERROR(__xludf.DUMMYFUNCTION("""COMPUTED_VALUE"""),596.05)</f>
        <v>596.05</v>
      </c>
      <c r="E107" s="13">
        <f>IFERROR(__xludf.DUMMYFUNCTION("""COMPUTED_VALUE"""),555.55)</f>
        <v>555.55</v>
      </c>
      <c r="F107" s="13">
        <f>IFERROR(__xludf.DUMMYFUNCTION("IFERROR(GOOGLEFINANCE(""NSE:""&amp;C107,""PRICE""),"""")"),611.0)</f>
        <v>611</v>
      </c>
      <c r="G107" s="14" t="str">
        <f t="shared" si="2"/>
        <v>CHART</v>
      </c>
    </row>
    <row r="108">
      <c r="A108" s="11" t="str">
        <f t="shared" si="3"/>
        <v>X</v>
      </c>
      <c r="B108" s="12">
        <f>IFERROR(__xludf.DUMMYFUNCTION("""COMPUTED_VALUE"""),105.0)</f>
        <v>105</v>
      </c>
      <c r="C108" s="12" t="str">
        <f>IFERROR(__xludf.DUMMYFUNCTION("""COMPUTED_VALUE"""),"HINDPETRO")</f>
        <v>HINDPETRO</v>
      </c>
      <c r="D108" s="13">
        <f>IFERROR(__xludf.DUMMYFUNCTION("""COMPUTED_VALUE"""),391.4)</f>
        <v>391.4</v>
      </c>
      <c r="E108" s="13">
        <f>IFERROR(__xludf.DUMMYFUNCTION("""COMPUTED_VALUE"""),355.8)</f>
        <v>355.8</v>
      </c>
      <c r="F108" s="13">
        <f>IFERROR(__xludf.DUMMYFUNCTION("IFERROR(GOOGLEFINANCE(""NSE:""&amp;C108,""PRICE""),"""")"),394.4)</f>
        <v>394.4</v>
      </c>
      <c r="G108" s="14" t="str">
        <f t="shared" si="2"/>
        <v>CHART</v>
      </c>
    </row>
    <row r="109">
      <c r="A109" s="11" t="str">
        <f t="shared" si="3"/>
        <v/>
      </c>
      <c r="B109" s="12">
        <f>IFERROR(__xludf.DUMMYFUNCTION("""COMPUTED_VALUE"""),106.0)</f>
        <v>106</v>
      </c>
      <c r="C109" s="12" t="str">
        <f>IFERROR(__xludf.DUMMYFUNCTION("""COMPUTED_VALUE"""),"BHARATFORG")</f>
        <v>BHARATFORG</v>
      </c>
      <c r="D109" s="13">
        <f>IFERROR(__xludf.DUMMYFUNCTION("""COMPUTED_VALUE"""),1959.7)</f>
        <v>1959.7</v>
      </c>
      <c r="E109" s="13">
        <f>IFERROR(__xludf.DUMMYFUNCTION("""COMPUTED_VALUE"""),1827.6)</f>
        <v>1827.6</v>
      </c>
      <c r="F109" s="13">
        <f>IFERROR(__xludf.DUMMYFUNCTION("IFERROR(GOOGLEFINANCE(""NSE:""&amp;C109,""PRICE""),"""")"),1933.3)</f>
        <v>1933.3</v>
      </c>
      <c r="G109" s="14" t="str">
        <f t="shared" si="2"/>
        <v>CHART</v>
      </c>
    </row>
    <row r="110">
      <c r="A110" s="11" t="str">
        <f t="shared" si="3"/>
        <v>Y</v>
      </c>
      <c r="B110" s="12">
        <f>IFERROR(__xludf.DUMMYFUNCTION("""COMPUTED_VALUE"""),107.0)</f>
        <v>107</v>
      </c>
      <c r="C110" s="12" t="str">
        <f>IFERROR(__xludf.DUMMYFUNCTION("""COMPUTED_VALUE"""),"COLPAL")</f>
        <v>COLPAL</v>
      </c>
      <c r="D110" s="13">
        <f>IFERROR(__xludf.DUMMYFUNCTION("""COMPUTED_VALUE"""),2223.7)</f>
        <v>2223.7</v>
      </c>
      <c r="E110" s="13">
        <f>IFERROR(__xludf.DUMMYFUNCTION("""COMPUTED_VALUE"""),2113.6)</f>
        <v>2113.6</v>
      </c>
      <c r="F110" s="13">
        <f>IFERROR(__xludf.DUMMYFUNCTION("IFERROR(GOOGLEFINANCE(""NSE:""&amp;C110,""PRICE""),"""")"),2082.9)</f>
        <v>2082.9</v>
      </c>
      <c r="G110" s="14" t="str">
        <f t="shared" si="2"/>
        <v>CHART</v>
      </c>
    </row>
    <row r="111">
      <c r="A111" s="11" t="str">
        <f t="shared" si="3"/>
        <v>Y</v>
      </c>
      <c r="B111" s="12">
        <f>IFERROR(__xludf.DUMMYFUNCTION("""COMPUTED_VALUE"""),108.0)</f>
        <v>108</v>
      </c>
      <c r="C111" s="12" t="str">
        <f>IFERROR(__xludf.DUMMYFUNCTION("""COMPUTED_VALUE"""),"AUROPHARMA")</f>
        <v>AUROPHARMA</v>
      </c>
      <c r="D111" s="13">
        <f>IFERROR(__xludf.DUMMYFUNCTION("""COMPUTED_VALUE"""),1550.0)</f>
        <v>1550</v>
      </c>
      <c r="E111" s="13">
        <f>IFERROR(__xludf.DUMMYFUNCTION("""COMPUTED_VALUE"""),1491.6)</f>
        <v>1491.6</v>
      </c>
      <c r="F111" s="13">
        <f>IFERROR(__xludf.DUMMYFUNCTION("IFERROR(GOOGLEFINANCE(""NSE:""&amp;C111,""PRICE""),"""")"),1451.1)</f>
        <v>1451.1</v>
      </c>
      <c r="G111" s="14" t="str">
        <f t="shared" si="2"/>
        <v>CHART</v>
      </c>
    </row>
    <row r="112">
      <c r="A112" s="11" t="str">
        <f t="shared" si="3"/>
        <v>X</v>
      </c>
      <c r="B112" s="12">
        <f>IFERROR(__xludf.DUMMYFUNCTION("""COMPUTED_VALUE"""),109.0)</f>
        <v>109</v>
      </c>
      <c r="C112" s="12" t="str">
        <f>IFERROR(__xludf.DUMMYFUNCTION("""COMPUTED_VALUE"""),"HYUNDAI")</f>
        <v>HYUNDAI</v>
      </c>
      <c r="D112" s="13">
        <f>IFERROR(__xludf.DUMMYFUNCTION("""COMPUTED_VALUE"""),1859.9)</f>
        <v>1859.9</v>
      </c>
      <c r="E112" s="13">
        <f>IFERROR(__xludf.DUMMYFUNCTION("""COMPUTED_VALUE"""),1760.0)</f>
        <v>1760</v>
      </c>
      <c r="F112" s="13">
        <f>IFERROR(__xludf.DUMMYFUNCTION("IFERROR(GOOGLEFINANCE(""NSE:""&amp;C112,""PRICE""),"""")"),1899.0)</f>
        <v>1899</v>
      </c>
      <c r="G112" s="14" t="str">
        <f t="shared" si="2"/>
        <v>CHART</v>
      </c>
    </row>
    <row r="113">
      <c r="A113" s="11" t="str">
        <f t="shared" si="3"/>
        <v/>
      </c>
      <c r="B113" s="12">
        <f>IFERROR(__xludf.DUMMYFUNCTION("""COMPUTED_VALUE"""),110.0)</f>
        <v>110</v>
      </c>
      <c r="C113" s="12" t="str">
        <f>IFERROR(__xludf.DUMMYFUNCTION("""COMPUTED_VALUE"""),"ULTRACEMCO")</f>
        <v>ULTRACEMCO</v>
      </c>
      <c r="D113" s="13">
        <f>IFERROR(__xludf.DUMMYFUNCTION("""COMPUTED_VALUE"""),11730.0)</f>
        <v>11730</v>
      </c>
      <c r="E113" s="13">
        <f>IFERROR(__xludf.DUMMYFUNCTION("""COMPUTED_VALUE"""),11211.0)</f>
        <v>11211</v>
      </c>
      <c r="F113" s="13">
        <f>IFERROR(__xludf.DUMMYFUNCTION("IFERROR(GOOGLEFINANCE(""NSE:""&amp;C113,""PRICE""),"""")"),11660.0)</f>
        <v>11660</v>
      </c>
      <c r="G113" s="14" t="str">
        <f t="shared" si="2"/>
        <v>CHART</v>
      </c>
    </row>
    <row r="114">
      <c r="A114" s="11" t="str">
        <f t="shared" si="3"/>
        <v/>
      </c>
      <c r="B114" s="12">
        <f>IFERROR(__xludf.DUMMYFUNCTION("""COMPUTED_VALUE"""),111.0)</f>
        <v>111</v>
      </c>
      <c r="C114" s="12" t="str">
        <f>IFERROR(__xludf.DUMMYFUNCTION("""COMPUTED_VALUE"""),"PFC")</f>
        <v>PFC</v>
      </c>
      <c r="D114" s="13">
        <f>IFERROR(__xludf.DUMMYFUNCTION("""COMPUTED_VALUE"""),452.35)</f>
        <v>452.35</v>
      </c>
      <c r="E114" s="13">
        <f>IFERROR(__xludf.DUMMYFUNCTION("""COMPUTED_VALUE"""),422.35)</f>
        <v>422.35</v>
      </c>
      <c r="F114" s="13">
        <f>IFERROR(__xludf.DUMMYFUNCTION("IFERROR(GOOGLEFINANCE(""NSE:""&amp;C114,""PRICE""),"""")"),431.3)</f>
        <v>431.3</v>
      </c>
      <c r="G114" s="14" t="str">
        <f t="shared" si="2"/>
        <v>CHART</v>
      </c>
    </row>
    <row r="115">
      <c r="A115" s="11" t="str">
        <f t="shared" si="3"/>
        <v>X</v>
      </c>
      <c r="B115" s="12">
        <f>IFERROR(__xludf.DUMMYFUNCTION("""COMPUTED_VALUE"""),112.0)</f>
        <v>112</v>
      </c>
      <c r="C115" s="12" t="str">
        <f>IFERROR(__xludf.DUMMYFUNCTION("""COMPUTED_VALUE"""),"NAUKRI")</f>
        <v>NAUKRI</v>
      </c>
      <c r="D115" s="13">
        <f>IFERROR(__xludf.DUMMYFUNCTION("""COMPUTED_VALUE"""),959.45)</f>
        <v>959.45</v>
      </c>
      <c r="E115" s="13">
        <f>IFERROR(__xludf.DUMMYFUNCTION("""COMPUTED_VALUE"""),914.8)</f>
        <v>914.8</v>
      </c>
      <c r="F115" s="13">
        <f>IFERROR(__xludf.DUMMYFUNCTION("IFERROR(GOOGLEFINANCE(""NSE:""&amp;C115,""PRICE""),"""")"),1006.2)</f>
        <v>1006.2</v>
      </c>
      <c r="G115" s="14" t="str">
        <f t="shared" si="2"/>
        <v>CHART</v>
      </c>
    </row>
    <row r="116">
      <c r="A116" s="11" t="str">
        <f t="shared" si="3"/>
        <v>Y</v>
      </c>
      <c r="B116" s="12">
        <f>IFERROR(__xludf.DUMMYFUNCTION("""COMPUTED_VALUE"""),113.0)</f>
        <v>113</v>
      </c>
      <c r="C116" s="12" t="str">
        <f>IFERROR(__xludf.DUMMYFUNCTION("""COMPUTED_VALUE"""),"JUBLFOOD")</f>
        <v>JUBLFOOD</v>
      </c>
      <c r="D116" s="13">
        <f>IFERROR(__xludf.DUMMYFUNCTION("""COMPUTED_VALUE"""),478.0)</f>
        <v>478</v>
      </c>
      <c r="E116" s="13">
        <f>IFERROR(__xludf.DUMMYFUNCTION("""COMPUTED_VALUE"""),433.55)</f>
        <v>433.55</v>
      </c>
      <c r="F116" s="13">
        <f>IFERROR(__xludf.DUMMYFUNCTION("IFERROR(GOOGLEFINANCE(""NSE:""&amp;C116,""PRICE""),"""")"),430.25)</f>
        <v>430.25</v>
      </c>
      <c r="G116" s="14" t="str">
        <f t="shared" si="2"/>
        <v>CHART</v>
      </c>
    </row>
    <row r="117">
      <c r="A117" s="11" t="str">
        <f t="shared" si="3"/>
        <v/>
      </c>
      <c r="B117" s="12">
        <f>IFERROR(__xludf.DUMMYFUNCTION("""COMPUTED_VALUE"""),114.0)</f>
        <v>114</v>
      </c>
      <c r="C117" s="12" t="str">
        <f>IFERROR(__xludf.DUMMYFUNCTION("""COMPUTED_VALUE"""),"MARICO")</f>
        <v>MARICO</v>
      </c>
      <c r="D117" s="13">
        <f>IFERROR(__xludf.DUMMYFUNCTION("""COMPUTED_VALUE"""),847.75)</f>
        <v>847.75</v>
      </c>
      <c r="E117" s="13">
        <f>IFERROR(__xludf.DUMMYFUNCTION("""COMPUTED_VALUE"""),822.0)</f>
        <v>822</v>
      </c>
      <c r="F117" s="13">
        <f>IFERROR(__xludf.DUMMYFUNCTION("IFERROR(GOOGLEFINANCE(""NSE:""&amp;C117,""PRICE""),"""")"),838.3)</f>
        <v>838.3</v>
      </c>
      <c r="G117" s="14" t="str">
        <f t="shared" si="2"/>
        <v>CHART</v>
      </c>
    </row>
    <row r="118">
      <c r="A118" s="11" t="str">
        <f t="shared" si="3"/>
        <v/>
      </c>
      <c r="B118" s="12">
        <f>IFERROR(__xludf.DUMMYFUNCTION("""COMPUTED_VALUE"""),115.0)</f>
        <v>115</v>
      </c>
      <c r="C118" s="12" t="str">
        <f>IFERROR(__xludf.DUMMYFUNCTION("""COMPUTED_VALUE"""),"GMRAIRPORT")</f>
        <v>GMRAIRPORT</v>
      </c>
      <c r="D118" s="13">
        <f>IFERROR(__xludf.DUMMYFUNCTION("""COMPUTED_VALUE"""),98.5)</f>
        <v>98.5</v>
      </c>
      <c r="E118" s="13">
        <f>IFERROR(__xludf.DUMMYFUNCTION("""COMPUTED_VALUE"""),92.3)</f>
        <v>92.3</v>
      </c>
      <c r="F118" s="13">
        <f>IFERROR(__xludf.DUMMYFUNCTION("IFERROR(GOOGLEFINANCE(""NSE:""&amp;C118,""PRICE""),"""")"),97.17)</f>
        <v>97.17</v>
      </c>
      <c r="G118" s="14" t="str">
        <f t="shared" si="2"/>
        <v>CHART</v>
      </c>
    </row>
    <row r="119">
      <c r="A119" s="11" t="str">
        <f t="shared" si="3"/>
        <v/>
      </c>
      <c r="B119" s="12">
        <f>IFERROR(__xludf.DUMMYFUNCTION("""COMPUTED_VALUE"""),116.0)</f>
        <v>116</v>
      </c>
      <c r="C119" s="12" t="str">
        <f>IFERROR(__xludf.DUMMYFUNCTION("""COMPUTED_VALUE"""),"BIOCON")</f>
        <v>BIOCON</v>
      </c>
      <c r="D119" s="13">
        <f>IFERROR(__xludf.DUMMYFUNCTION("""COMPUTED_VALUE"""),436.9)</f>
        <v>436.9</v>
      </c>
      <c r="E119" s="13">
        <f>IFERROR(__xludf.DUMMYFUNCTION("""COMPUTED_VALUE"""),417.3)</f>
        <v>417.3</v>
      </c>
      <c r="F119" s="13">
        <f>IFERROR(__xludf.DUMMYFUNCTION("IFERROR(GOOGLEFINANCE(""NSE:""&amp;C119,""PRICE""),"""")"),434.95)</f>
        <v>434.95</v>
      </c>
      <c r="G119" s="14" t="str">
        <f t="shared" si="2"/>
        <v>CHART</v>
      </c>
    </row>
    <row r="120">
      <c r="A120" s="11" t="str">
        <f t="shared" si="3"/>
        <v/>
      </c>
      <c r="B120" s="12">
        <f>IFERROR(__xludf.DUMMYFUNCTION("""COMPUTED_VALUE"""),117.0)</f>
        <v>117</v>
      </c>
      <c r="C120" s="12" t="str">
        <f>IFERROR(__xludf.DUMMYFUNCTION("""COMPUTED_VALUE"""),"DRREDDY")</f>
        <v>DRREDDY</v>
      </c>
      <c r="D120" s="13">
        <f>IFERROR(__xludf.DUMMYFUNCTION("""COMPUTED_VALUE"""),1345.0)</f>
        <v>1345</v>
      </c>
      <c r="E120" s="13">
        <f>IFERROR(__xludf.DUMMYFUNCTION("""COMPUTED_VALUE"""),1303.6)</f>
        <v>1303.6</v>
      </c>
      <c r="F120" s="13">
        <f>IFERROR(__xludf.DUMMYFUNCTION("IFERROR(GOOGLEFINANCE(""NSE:""&amp;C120,""PRICE""),"""")"),1326.9)</f>
        <v>1326.9</v>
      </c>
      <c r="G120" s="14" t="str">
        <f t="shared" si="2"/>
        <v>CHART</v>
      </c>
    </row>
    <row r="121">
      <c r="A121" s="11" t="str">
        <f t="shared" si="3"/>
        <v>Y</v>
      </c>
      <c r="B121" s="12">
        <f>IFERROR(__xludf.DUMMYFUNCTION("""COMPUTED_VALUE"""),118.0)</f>
        <v>118</v>
      </c>
      <c r="C121" s="12" t="str">
        <f>IFERROR(__xludf.DUMMYFUNCTION("""COMPUTED_VALUE"""),"RVNL")</f>
        <v>RVNL</v>
      </c>
      <c r="D121" s="13">
        <f>IFERROR(__xludf.DUMMYFUNCTION("""COMPUTED_VALUE"""),288.5)</f>
        <v>288.5</v>
      </c>
      <c r="E121" s="13">
        <f>IFERROR(__xludf.DUMMYFUNCTION("""COMPUTED_VALUE"""),264.55)</f>
        <v>264.55</v>
      </c>
      <c r="F121" s="13">
        <f>IFERROR(__xludf.DUMMYFUNCTION("IFERROR(GOOGLEFINANCE(""NSE:""&amp;C121,""PRICE""),"""")"),253.85)</f>
        <v>253.85</v>
      </c>
      <c r="G121" s="14" t="str">
        <f t="shared" si="2"/>
        <v>CHART</v>
      </c>
    </row>
    <row r="122">
      <c r="A122" s="11" t="str">
        <f t="shared" si="3"/>
        <v/>
      </c>
      <c r="B122" s="12">
        <f>IFERROR(__xludf.DUMMYFUNCTION("""COMPUTED_VALUE"""),119.0)</f>
        <v>119</v>
      </c>
      <c r="C122" s="12" t="str">
        <f>IFERROR(__xludf.DUMMYFUNCTION("""COMPUTED_VALUE"""),"ASTRAL")</f>
        <v>ASTRAL</v>
      </c>
      <c r="D122" s="13">
        <f>IFERROR(__xludf.DUMMYFUNCTION("""COMPUTED_VALUE"""),1588.0)</f>
        <v>1588</v>
      </c>
      <c r="E122" s="13">
        <f>IFERROR(__xludf.DUMMYFUNCTION("""COMPUTED_VALUE"""),1431.6)</f>
        <v>1431.6</v>
      </c>
      <c r="F122" s="13">
        <f>IFERROR(__xludf.DUMMYFUNCTION("IFERROR(GOOGLEFINANCE(""NSE:""&amp;C122,""PRICE""),"""")"),1587.5)</f>
        <v>1587.5</v>
      </c>
      <c r="G122" s="14" t="str">
        <f t="shared" si="2"/>
        <v>CHART</v>
      </c>
    </row>
    <row r="123">
      <c r="A123" s="11" t="str">
        <f t="shared" si="3"/>
        <v/>
      </c>
      <c r="B123" s="12">
        <f>IFERROR(__xludf.DUMMYFUNCTION("""COMPUTED_VALUE"""),120.0)</f>
        <v>120</v>
      </c>
      <c r="C123" s="12" t="str">
        <f>IFERROR(__xludf.DUMMYFUNCTION("""COMPUTED_VALUE"""),"SOLARINDS")</f>
        <v>SOLARINDS</v>
      </c>
      <c r="D123" s="13">
        <f>IFERROR(__xludf.DUMMYFUNCTION("""COMPUTED_VALUE"""),18699.0)</f>
        <v>18699</v>
      </c>
      <c r="E123" s="13">
        <f>IFERROR(__xludf.DUMMYFUNCTION("""COMPUTED_VALUE"""),16323.0)</f>
        <v>16323</v>
      </c>
      <c r="F123" s="13">
        <f>IFERROR(__xludf.DUMMYFUNCTION("IFERROR(GOOGLEFINANCE(""NSE:""&amp;C123,""PRICE""),"""")"),18574.0)</f>
        <v>18574</v>
      </c>
      <c r="G123" s="14" t="str">
        <f t="shared" si="2"/>
        <v>CHART</v>
      </c>
    </row>
    <row r="124">
      <c r="A124" s="11" t="str">
        <f t="shared" si="3"/>
        <v/>
      </c>
      <c r="B124" s="12">
        <f>IFERROR(__xludf.DUMMYFUNCTION("""COMPUTED_VALUE"""),121.0)</f>
        <v>121</v>
      </c>
      <c r="C124" s="12" t="str">
        <f>IFERROR(__xludf.DUMMYFUNCTION("""COMPUTED_VALUE"""),"LTM")</f>
        <v>LTM</v>
      </c>
      <c r="D124" s="13">
        <f>IFERROR(__xludf.DUMMYFUNCTION("""COMPUTED_VALUE"""),4284.0)</f>
        <v>4284</v>
      </c>
      <c r="E124" s="13">
        <f>IFERROR(__xludf.DUMMYFUNCTION("""COMPUTED_VALUE"""),3925.0)</f>
        <v>3925</v>
      </c>
      <c r="F124" s="13">
        <f>IFERROR(__xludf.DUMMYFUNCTION("IFERROR(GOOGLEFINANCE(""NSE:""&amp;C124,""PRICE""),"""")"),4005.4)</f>
        <v>4005.4</v>
      </c>
      <c r="G124" s="14" t="str">
        <f t="shared" si="2"/>
        <v>CHART</v>
      </c>
    </row>
    <row r="125">
      <c r="A125" s="11" t="str">
        <f t="shared" si="3"/>
        <v/>
      </c>
      <c r="B125" s="12">
        <f>IFERROR(__xludf.DUMMYFUNCTION("""COMPUTED_VALUE"""),122.0)</f>
        <v>122</v>
      </c>
      <c r="C125" s="12" t="str">
        <f>IFERROR(__xludf.DUMMYFUNCTION("""COMPUTED_VALUE"""),"MOTHERSON")</f>
        <v>MOTHERSON</v>
      </c>
      <c r="D125" s="13">
        <f>IFERROR(__xludf.DUMMYFUNCTION("""COMPUTED_VALUE"""),138.4)</f>
        <v>138.4</v>
      </c>
      <c r="E125" s="13">
        <f>IFERROR(__xludf.DUMMYFUNCTION("""COMPUTED_VALUE"""),125.15)</f>
        <v>125.15</v>
      </c>
      <c r="F125" s="13">
        <f>IFERROR(__xludf.DUMMYFUNCTION("IFERROR(GOOGLEFINANCE(""NSE:""&amp;C125,""PRICE""),"""")"),136.24)</f>
        <v>136.24</v>
      </c>
      <c r="G125" s="14" t="str">
        <f t="shared" si="2"/>
        <v>CHART</v>
      </c>
    </row>
    <row r="126">
      <c r="A126" s="11" t="str">
        <f t="shared" si="3"/>
        <v/>
      </c>
      <c r="B126" s="12">
        <f>IFERROR(__xludf.DUMMYFUNCTION("""COMPUTED_VALUE"""),123.0)</f>
        <v>123</v>
      </c>
      <c r="C126" s="12" t="str">
        <f>IFERROR(__xludf.DUMMYFUNCTION("""COMPUTED_VALUE"""),"PGEL")</f>
        <v>PGEL</v>
      </c>
      <c r="D126" s="13">
        <f>IFERROR(__xludf.DUMMYFUNCTION("""COMPUTED_VALUE"""),492.5)</f>
        <v>492.5</v>
      </c>
      <c r="E126" s="13">
        <f>IFERROR(__xludf.DUMMYFUNCTION("""COMPUTED_VALUE"""),451.6)</f>
        <v>451.6</v>
      </c>
      <c r="F126" s="13">
        <f>IFERROR(__xludf.DUMMYFUNCTION("IFERROR(GOOGLEFINANCE(""NSE:""&amp;C126,""PRICE""),"""")"),471.85)</f>
        <v>471.85</v>
      </c>
      <c r="G126" s="14" t="str">
        <f t="shared" si="2"/>
        <v>CHART</v>
      </c>
    </row>
    <row r="127">
      <c r="A127" s="11" t="str">
        <f t="shared" si="3"/>
        <v/>
      </c>
      <c r="B127" s="12">
        <f>IFERROR(__xludf.DUMMYFUNCTION("""COMPUTED_VALUE"""),124.0)</f>
        <v>124</v>
      </c>
      <c r="C127" s="12" t="str">
        <f>IFERROR(__xludf.DUMMYFUNCTION("""COMPUTED_VALUE"""),"MUTHOOTFIN")</f>
        <v>MUTHOOTFIN</v>
      </c>
      <c r="D127" s="13">
        <f>IFERROR(__xludf.DUMMYFUNCTION("""COMPUTED_VALUE"""),3523.9)</f>
        <v>3523.9</v>
      </c>
      <c r="E127" s="13">
        <f>IFERROR(__xludf.DUMMYFUNCTION("""COMPUTED_VALUE"""),3236.0)</f>
        <v>3236</v>
      </c>
      <c r="F127" s="13">
        <f>IFERROR(__xludf.DUMMYFUNCTION("IFERROR(GOOGLEFINANCE(""NSE:""&amp;C127,""PRICE""),"""")"),3342.3)</f>
        <v>3342.3</v>
      </c>
      <c r="G127" s="14" t="str">
        <f t="shared" si="2"/>
        <v>CHART</v>
      </c>
    </row>
    <row r="128">
      <c r="A128" s="11" t="str">
        <f t="shared" si="3"/>
        <v/>
      </c>
      <c r="B128" s="12">
        <f>IFERROR(__xludf.DUMMYFUNCTION("""COMPUTED_VALUE"""),125.0)</f>
        <v>125</v>
      </c>
      <c r="C128" s="12" t="str">
        <f>IFERROR(__xludf.DUMMYFUNCTION("""COMPUTED_VALUE"""),"HCLTECH")</f>
        <v>HCLTECH</v>
      </c>
      <c r="D128" s="13">
        <f>IFERROR(__xludf.DUMMYFUNCTION("""COMPUTED_VALUE"""),1198.3)</f>
        <v>1198.3</v>
      </c>
      <c r="E128" s="13">
        <f>IFERROR(__xludf.DUMMYFUNCTION("""COMPUTED_VALUE"""),1121.4)</f>
        <v>1121.4</v>
      </c>
      <c r="F128" s="13">
        <f>IFERROR(__xludf.DUMMYFUNCTION("IFERROR(GOOGLEFINANCE(""NSE:""&amp;C128,""PRICE""),"""")"),1164.4)</f>
        <v>1164.4</v>
      </c>
      <c r="G128" s="14" t="str">
        <f t="shared" si="2"/>
        <v>CHART</v>
      </c>
    </row>
    <row r="129">
      <c r="A129" s="11" t="str">
        <f t="shared" si="3"/>
        <v/>
      </c>
      <c r="B129" s="12">
        <f>IFERROR(__xludf.DUMMYFUNCTION("""COMPUTED_VALUE"""),126.0)</f>
        <v>126</v>
      </c>
      <c r="C129" s="12" t="str">
        <f>IFERROR(__xludf.DUMMYFUNCTION("""COMPUTED_VALUE"""),"INOXWIND")</f>
        <v>INOXWIND</v>
      </c>
      <c r="D129" s="13">
        <f>IFERROR(__xludf.DUMMYFUNCTION("""COMPUTED_VALUE"""),98.0)</f>
        <v>98</v>
      </c>
      <c r="E129" s="13">
        <f>IFERROR(__xludf.DUMMYFUNCTION("""COMPUTED_VALUE"""),90.42)</f>
        <v>90.42</v>
      </c>
      <c r="F129" s="13">
        <f>IFERROR(__xludf.DUMMYFUNCTION("IFERROR(GOOGLEFINANCE(""NSE:""&amp;C129,""PRICE""),"""")"),95.02)</f>
        <v>95.02</v>
      </c>
      <c r="G129" s="14" t="str">
        <f t="shared" si="2"/>
        <v>CHART</v>
      </c>
    </row>
    <row r="130">
      <c r="A130" s="11" t="str">
        <f t="shared" si="3"/>
        <v>Y</v>
      </c>
      <c r="B130" s="12">
        <f>IFERROR(__xludf.DUMMYFUNCTION("""COMPUTED_VALUE"""),127.0)</f>
        <v>127</v>
      </c>
      <c r="C130" s="12" t="str">
        <f>IFERROR(__xludf.DUMMYFUNCTION("""COMPUTED_VALUE"""),"DABUR")</f>
        <v>DABUR</v>
      </c>
      <c r="D130" s="13">
        <f>IFERROR(__xludf.DUMMYFUNCTION("""COMPUTED_VALUE"""),471.5)</f>
        <v>471.5</v>
      </c>
      <c r="E130" s="13">
        <f>IFERROR(__xludf.DUMMYFUNCTION("""COMPUTED_VALUE"""),443.6)</f>
        <v>443.6</v>
      </c>
      <c r="F130" s="13">
        <f>IFERROR(__xludf.DUMMYFUNCTION("IFERROR(GOOGLEFINANCE(""NSE:""&amp;C130,""PRICE""),"""")"),442.4)</f>
        <v>442.4</v>
      </c>
      <c r="G130" s="14" t="str">
        <f t="shared" si="2"/>
        <v>CHART</v>
      </c>
    </row>
    <row r="131">
      <c r="A131" s="11" t="str">
        <f t="shared" si="3"/>
        <v/>
      </c>
      <c r="B131" s="12">
        <f>IFERROR(__xludf.DUMMYFUNCTION("""COMPUTED_VALUE"""),128.0)</f>
        <v>128</v>
      </c>
      <c r="C131" s="12" t="str">
        <f>IFERROR(__xludf.DUMMYFUNCTION("""COMPUTED_VALUE"""),"TVSMOTOR")</f>
        <v>TVSMOTOR</v>
      </c>
      <c r="D131" s="13">
        <f>IFERROR(__xludf.DUMMYFUNCTION("""COMPUTED_VALUE"""),3498.9)</f>
        <v>3498.9</v>
      </c>
      <c r="E131" s="13">
        <f>IFERROR(__xludf.DUMMYFUNCTION("""COMPUTED_VALUE"""),3228.0)</f>
        <v>3228</v>
      </c>
      <c r="F131" s="13">
        <f>IFERROR(__xludf.DUMMYFUNCTION("IFERROR(GOOGLEFINANCE(""NSE:""&amp;C131,""PRICE""),"""")"),3448.1)</f>
        <v>3448.1</v>
      </c>
      <c r="G131" s="14" t="str">
        <f t="shared" si="2"/>
        <v>CHART</v>
      </c>
    </row>
    <row r="132">
      <c r="A132" s="11" t="str">
        <f t="shared" si="3"/>
        <v/>
      </c>
      <c r="B132" s="12">
        <f>IFERROR(__xludf.DUMMYFUNCTION("""COMPUTED_VALUE"""),129.0)</f>
        <v>129</v>
      </c>
      <c r="C132" s="12" t="str">
        <f>IFERROR(__xludf.DUMMYFUNCTION("""COMPUTED_VALUE"""),"BANKINDIA")</f>
        <v>BANKINDIA</v>
      </c>
      <c r="D132" s="13">
        <f>IFERROR(__xludf.DUMMYFUNCTION("""COMPUTED_VALUE"""),146.09)</f>
        <v>146.09</v>
      </c>
      <c r="E132" s="13">
        <f>IFERROR(__xludf.DUMMYFUNCTION("""COMPUTED_VALUE"""),136.5)</f>
        <v>136.5</v>
      </c>
      <c r="F132" s="13">
        <f>IFERROR(__xludf.DUMMYFUNCTION("IFERROR(GOOGLEFINANCE(""NSE:""&amp;C132,""PRICE""),"""")"),146.04)</f>
        <v>146.04</v>
      </c>
      <c r="G132" s="14" t="str">
        <f t="shared" si="2"/>
        <v>CHART</v>
      </c>
    </row>
    <row r="133">
      <c r="A133" s="11" t="str">
        <f t="shared" si="3"/>
        <v>X</v>
      </c>
      <c r="B133" s="12">
        <f>IFERROR(__xludf.DUMMYFUNCTION("""COMPUTED_VALUE"""),130.0)</f>
        <v>130</v>
      </c>
      <c r="C133" s="12" t="str">
        <f>IFERROR(__xludf.DUMMYFUNCTION("""COMPUTED_VALUE"""),"KFINTECH")</f>
        <v>KFINTECH</v>
      </c>
      <c r="D133" s="13">
        <f>IFERROR(__xludf.DUMMYFUNCTION("""COMPUTED_VALUE"""),842.0)</f>
        <v>842</v>
      </c>
      <c r="E133" s="13">
        <f>IFERROR(__xludf.DUMMYFUNCTION("""COMPUTED_VALUE"""),784.95)</f>
        <v>784.95</v>
      </c>
      <c r="F133" s="13">
        <f>IFERROR(__xludf.DUMMYFUNCTION("IFERROR(GOOGLEFINANCE(""NSE:""&amp;C133,""PRICE""),"""")"),853.0)</f>
        <v>853</v>
      </c>
      <c r="G133" s="14" t="str">
        <f t="shared" si="2"/>
        <v>CHART</v>
      </c>
    </row>
    <row r="134">
      <c r="A134" s="11" t="str">
        <f t="shared" si="3"/>
        <v/>
      </c>
      <c r="B134" s="12">
        <f>IFERROR(__xludf.DUMMYFUNCTION("""COMPUTED_VALUE"""),131.0)</f>
        <v>131</v>
      </c>
      <c r="C134" s="12" t="str">
        <f>IFERROR(__xludf.DUMMYFUNCTION("""COMPUTED_VALUE"""),"PERSISTENT")</f>
        <v>PERSISTENT</v>
      </c>
      <c r="D134" s="13">
        <f>IFERROR(__xludf.DUMMYFUNCTION("""COMPUTED_VALUE"""),5187.7)</f>
        <v>5187.7</v>
      </c>
      <c r="E134" s="13">
        <f>IFERROR(__xludf.DUMMYFUNCTION("""COMPUTED_VALUE"""),4630.0)</f>
        <v>4630</v>
      </c>
      <c r="F134" s="13">
        <f>IFERROR(__xludf.DUMMYFUNCTION("IFERROR(GOOGLEFINANCE(""NSE:""&amp;C134,""PRICE""),"""")"),5081.2)</f>
        <v>5081.2</v>
      </c>
      <c r="G134" s="14" t="str">
        <f t="shared" si="2"/>
        <v>CHART</v>
      </c>
    </row>
    <row r="135">
      <c r="A135" s="11" t="str">
        <f t="shared" si="3"/>
        <v/>
      </c>
      <c r="B135" s="12">
        <f>IFERROR(__xludf.DUMMYFUNCTION("""COMPUTED_VALUE"""),132.0)</f>
        <v>132</v>
      </c>
      <c r="C135" s="12" t="str">
        <f>IFERROR(__xludf.DUMMYFUNCTION("""COMPUTED_VALUE"""),"HINDUNILVR")</f>
        <v>HINDUNILVR</v>
      </c>
      <c r="D135" s="13">
        <f>IFERROR(__xludf.DUMMYFUNCTION("""COMPUTED_VALUE"""),2298.9)</f>
        <v>2298.9</v>
      </c>
      <c r="E135" s="13">
        <f>IFERROR(__xludf.DUMMYFUNCTION("""COMPUTED_VALUE"""),2176.0)</f>
        <v>2176</v>
      </c>
      <c r="F135" s="13">
        <f>IFERROR(__xludf.DUMMYFUNCTION("IFERROR(GOOGLEFINANCE(""NSE:""&amp;C135,""PRICE""),"""")"),2199.4)</f>
        <v>2199.4</v>
      </c>
      <c r="G135" s="14" t="str">
        <f t="shared" si="2"/>
        <v>CHART</v>
      </c>
    </row>
    <row r="136">
      <c r="A136" s="11" t="str">
        <f t="shared" si="3"/>
        <v/>
      </c>
      <c r="B136" s="12">
        <f>IFERROR(__xludf.DUMMYFUNCTION("""COMPUTED_VALUE"""),133.0)</f>
        <v>133</v>
      </c>
      <c r="C136" s="12" t="str">
        <f>IFERROR(__xludf.DUMMYFUNCTION("""COMPUTED_VALUE"""),"HDFCLIFE")</f>
        <v>HDFCLIFE</v>
      </c>
      <c r="D136" s="13">
        <f>IFERROR(__xludf.DUMMYFUNCTION("""COMPUTED_VALUE"""),618.95)</f>
        <v>618.95</v>
      </c>
      <c r="E136" s="13">
        <f>IFERROR(__xludf.DUMMYFUNCTION("""COMPUTED_VALUE"""),594.05)</f>
        <v>594.05</v>
      </c>
      <c r="F136" s="13">
        <f>IFERROR(__xludf.DUMMYFUNCTION("IFERROR(GOOGLEFINANCE(""NSE:""&amp;C136,""PRICE""),"""")"),615.0)</f>
        <v>615</v>
      </c>
      <c r="G136" s="14" t="str">
        <f t="shared" si="2"/>
        <v>CHART</v>
      </c>
    </row>
    <row r="137">
      <c r="A137" s="11" t="str">
        <f t="shared" si="3"/>
        <v/>
      </c>
      <c r="B137" s="12">
        <f>IFERROR(__xludf.DUMMYFUNCTION("""COMPUTED_VALUE"""),134.0)</f>
        <v>134</v>
      </c>
      <c r="C137" s="12" t="str">
        <f>IFERROR(__xludf.DUMMYFUNCTION("""COMPUTED_VALUE"""),"APOLLOHOSP")</f>
        <v>APOLLOHOSP</v>
      </c>
      <c r="D137" s="13">
        <f>IFERROR(__xludf.DUMMYFUNCTION("""COMPUTED_VALUE"""),8388.0)</f>
        <v>8388</v>
      </c>
      <c r="E137" s="13">
        <f>IFERROR(__xludf.DUMMYFUNCTION("""COMPUTED_VALUE"""),7814.5)</f>
        <v>7814.5</v>
      </c>
      <c r="F137" s="13">
        <f>IFERROR(__xludf.DUMMYFUNCTION("IFERROR(GOOGLEFINANCE(""NSE:""&amp;C137,""PRICE""),"""")"),8201.0)</f>
        <v>8201</v>
      </c>
      <c r="G137" s="14" t="str">
        <f t="shared" si="2"/>
        <v>CHART</v>
      </c>
    </row>
    <row r="138">
      <c r="A138" s="11" t="str">
        <f t="shared" si="3"/>
        <v/>
      </c>
      <c r="B138" s="12">
        <f>IFERROR(__xludf.DUMMYFUNCTION("""COMPUTED_VALUE"""),135.0)</f>
        <v>135</v>
      </c>
      <c r="C138" s="12" t="str">
        <f>IFERROR(__xludf.DUMMYFUNCTION("""COMPUTED_VALUE"""),"DIVISLAB")</f>
        <v>DIVISLAB</v>
      </c>
      <c r="D138" s="13">
        <f>IFERROR(__xludf.DUMMYFUNCTION("""COMPUTED_VALUE"""),6968.0)</f>
        <v>6968</v>
      </c>
      <c r="E138" s="13">
        <f>IFERROR(__xludf.DUMMYFUNCTION("""COMPUTED_VALUE"""),6658.0)</f>
        <v>6658</v>
      </c>
      <c r="F138" s="13">
        <f>IFERROR(__xludf.DUMMYFUNCTION("IFERROR(GOOGLEFINANCE(""NSE:""&amp;C138,""PRICE""),"""")"),6821.0)</f>
        <v>6821</v>
      </c>
      <c r="G138" s="14" t="str">
        <f t="shared" si="2"/>
        <v>CHART</v>
      </c>
    </row>
    <row r="139">
      <c r="A139" s="11" t="str">
        <f t="shared" si="3"/>
        <v>X</v>
      </c>
      <c r="B139" s="12">
        <f>IFERROR(__xludf.DUMMYFUNCTION("""COMPUTED_VALUE"""),136.0)</f>
        <v>136</v>
      </c>
      <c r="C139" s="12" t="str">
        <f>IFERROR(__xludf.DUMMYFUNCTION("""COMPUTED_VALUE"""),"KPITTECH")</f>
        <v>KPITTECH</v>
      </c>
      <c r="D139" s="13">
        <f>IFERROR(__xludf.DUMMYFUNCTION("""COMPUTED_VALUE"""),760.9)</f>
        <v>760.9</v>
      </c>
      <c r="E139" s="13">
        <f>IFERROR(__xludf.DUMMYFUNCTION("""COMPUTED_VALUE"""),690.45)</f>
        <v>690.45</v>
      </c>
      <c r="F139" s="13">
        <f>IFERROR(__xludf.DUMMYFUNCTION("IFERROR(GOOGLEFINANCE(""NSE:""&amp;C139,""PRICE""),"""")"),774.0)</f>
        <v>774</v>
      </c>
      <c r="G139" s="14" t="str">
        <f t="shared" si="2"/>
        <v>CHART</v>
      </c>
    </row>
    <row r="140">
      <c r="A140" s="11" t="str">
        <f t="shared" si="3"/>
        <v/>
      </c>
      <c r="B140" s="12">
        <f>IFERROR(__xludf.DUMMYFUNCTION("""COMPUTED_VALUE"""),137.0)</f>
        <v>137</v>
      </c>
      <c r="C140" s="12" t="str">
        <f>IFERROR(__xludf.DUMMYFUNCTION("""COMPUTED_VALUE"""),"TITAN")</f>
        <v>TITAN</v>
      </c>
      <c r="D140" s="13">
        <f>IFERROR(__xludf.DUMMYFUNCTION("""COMPUTED_VALUE"""),4194.0)</f>
        <v>4194</v>
      </c>
      <c r="E140" s="13">
        <f>IFERROR(__xludf.DUMMYFUNCTION("""COMPUTED_VALUE"""),4053.0)</f>
        <v>4053</v>
      </c>
      <c r="F140" s="13">
        <f>IFERROR(__xludf.DUMMYFUNCTION("IFERROR(GOOGLEFINANCE(""NSE:""&amp;C140,""PRICE""),"""")"),4127.9)</f>
        <v>4127.9</v>
      </c>
      <c r="G140" s="14" t="str">
        <f t="shared" si="2"/>
        <v>CHART</v>
      </c>
    </row>
    <row r="141">
      <c r="A141" s="11" t="str">
        <f t="shared" si="3"/>
        <v>X</v>
      </c>
      <c r="B141" s="12">
        <f>IFERROR(__xludf.DUMMYFUNCTION("""COMPUTED_VALUE"""),138.0)</f>
        <v>138</v>
      </c>
      <c r="C141" s="12" t="str">
        <f>IFERROR(__xludf.DUMMYFUNCTION("""COMPUTED_VALUE"""),"MOTILALOFS")</f>
        <v>MOTILALOFS</v>
      </c>
      <c r="D141" s="13">
        <f>IFERROR(__xludf.DUMMYFUNCTION("""COMPUTED_VALUE"""),865.35)</f>
        <v>865.35</v>
      </c>
      <c r="E141" s="13">
        <f>IFERROR(__xludf.DUMMYFUNCTION("""COMPUTED_VALUE"""),821.1)</f>
        <v>821.1</v>
      </c>
      <c r="F141" s="13">
        <f>IFERROR(__xludf.DUMMYFUNCTION("IFERROR(GOOGLEFINANCE(""NSE:""&amp;C141,""PRICE""),"""")"),904.0)</f>
        <v>904</v>
      </c>
      <c r="G141" s="14" t="str">
        <f t="shared" si="2"/>
        <v>CHART</v>
      </c>
    </row>
    <row r="142">
      <c r="A142" s="11" t="str">
        <f t="shared" si="3"/>
        <v>X</v>
      </c>
      <c r="B142" s="12">
        <f>IFERROR(__xludf.DUMMYFUNCTION("""COMPUTED_VALUE"""),139.0)</f>
        <v>139</v>
      </c>
      <c r="C142" s="12" t="str">
        <f>IFERROR(__xludf.DUMMYFUNCTION("""COMPUTED_VALUE"""),"GODREJPROP")</f>
        <v>GODREJPROP</v>
      </c>
      <c r="D142" s="13">
        <f>IFERROR(__xludf.DUMMYFUNCTION("""COMPUTED_VALUE"""),1762.9)</f>
        <v>1762.9</v>
      </c>
      <c r="E142" s="13">
        <f>IFERROR(__xludf.DUMMYFUNCTION("""COMPUTED_VALUE"""),1644.3)</f>
        <v>1644.3</v>
      </c>
      <c r="F142" s="13">
        <f>IFERROR(__xludf.DUMMYFUNCTION("IFERROR(GOOGLEFINANCE(""NSE:""&amp;C142,""PRICE""),"""")"),1806.7)</f>
        <v>1806.7</v>
      </c>
      <c r="G142" s="14" t="str">
        <f t="shared" si="2"/>
        <v>CHART</v>
      </c>
    </row>
    <row r="143">
      <c r="A143" s="11" t="str">
        <f t="shared" si="3"/>
        <v/>
      </c>
      <c r="B143" s="12">
        <f>IFERROR(__xludf.DUMMYFUNCTION("""COMPUTED_VALUE"""),140.0)</f>
        <v>140</v>
      </c>
      <c r="C143" s="12" t="str">
        <f>IFERROR(__xludf.DUMMYFUNCTION("""COMPUTED_VALUE"""),"CAMS")</f>
        <v>CAMS</v>
      </c>
      <c r="D143" s="13">
        <f>IFERROR(__xludf.DUMMYFUNCTION("""COMPUTED_VALUE"""),800.0)</f>
        <v>800</v>
      </c>
      <c r="E143" s="13">
        <f>IFERROR(__xludf.DUMMYFUNCTION("""COMPUTED_VALUE"""),760.35)</f>
        <v>760.35</v>
      </c>
      <c r="F143" s="13">
        <f>IFERROR(__xludf.DUMMYFUNCTION("IFERROR(GOOGLEFINANCE(""NSE:""&amp;C143,""PRICE""),"""")"),795.25)</f>
        <v>795.25</v>
      </c>
      <c r="G143" s="14" t="str">
        <f t="shared" si="2"/>
        <v>CHART</v>
      </c>
    </row>
    <row r="144">
      <c r="A144" s="11" t="str">
        <f t="shared" si="3"/>
        <v/>
      </c>
      <c r="B144" s="12">
        <f>IFERROR(__xludf.DUMMYFUNCTION("""COMPUTED_VALUE"""),141.0)</f>
        <v>141</v>
      </c>
      <c r="C144" s="12" t="str">
        <f>IFERROR(__xludf.DUMMYFUNCTION("""COMPUTED_VALUE"""),"RECLTD")</f>
        <v>RECLTD</v>
      </c>
      <c r="D144" s="13">
        <f>IFERROR(__xludf.DUMMYFUNCTION("""COMPUTED_VALUE"""),350.25)</f>
        <v>350.25</v>
      </c>
      <c r="E144" s="13">
        <f>IFERROR(__xludf.DUMMYFUNCTION("""COMPUTED_VALUE"""),328.15)</f>
        <v>328.15</v>
      </c>
      <c r="F144" s="13">
        <f>IFERROR(__xludf.DUMMYFUNCTION("IFERROR(GOOGLEFINANCE(""NSE:""&amp;C144,""PRICE""),"""")"),338.0)</f>
        <v>338</v>
      </c>
      <c r="G144" s="14" t="str">
        <f t="shared" si="2"/>
        <v>CHART</v>
      </c>
    </row>
    <row r="145">
      <c r="A145" s="11" t="str">
        <f t="shared" si="3"/>
        <v/>
      </c>
      <c r="B145" s="12">
        <f>IFERROR(__xludf.DUMMYFUNCTION("""COMPUTED_VALUE"""),142.0)</f>
        <v>142</v>
      </c>
      <c r="C145" s="12" t="str">
        <f>IFERROR(__xludf.DUMMYFUNCTION("""COMPUTED_VALUE"""),"NESTLEIND")</f>
        <v>NESTLEIND</v>
      </c>
      <c r="D145" s="13">
        <f>IFERROR(__xludf.DUMMYFUNCTION("""COMPUTED_VALUE"""),1467.5)</f>
        <v>1467.5</v>
      </c>
      <c r="E145" s="13">
        <f>IFERROR(__xludf.DUMMYFUNCTION("""COMPUTED_VALUE"""),1398.5)</f>
        <v>1398.5</v>
      </c>
      <c r="F145" s="13">
        <f>IFERROR(__xludf.DUMMYFUNCTION("IFERROR(GOOGLEFINANCE(""NSE:""&amp;C145,""PRICE""),"""")"),1436.0)</f>
        <v>1436</v>
      </c>
      <c r="G145" s="14" t="str">
        <f t="shared" si="2"/>
        <v>CHART</v>
      </c>
    </row>
    <row r="146">
      <c r="A146" s="11" t="str">
        <f t="shared" si="3"/>
        <v/>
      </c>
      <c r="B146" s="12">
        <f>IFERROR(__xludf.DUMMYFUNCTION("""COMPUTED_VALUE"""),143.0)</f>
        <v>143</v>
      </c>
      <c r="C146" s="12" t="str">
        <f>IFERROR(__xludf.DUMMYFUNCTION("""COMPUTED_VALUE"""),"SBICARD")</f>
        <v>SBICARD</v>
      </c>
      <c r="D146" s="13">
        <f>IFERROR(__xludf.DUMMYFUNCTION("""COMPUTED_VALUE"""),635.95)</f>
        <v>635.95</v>
      </c>
      <c r="E146" s="13">
        <f>IFERROR(__xludf.DUMMYFUNCTION("""COMPUTED_VALUE"""),612.1)</f>
        <v>612.1</v>
      </c>
      <c r="F146" s="13">
        <f>IFERROR(__xludf.DUMMYFUNCTION("IFERROR(GOOGLEFINANCE(""NSE:""&amp;C146,""PRICE""),"""")"),628.55)</f>
        <v>628.55</v>
      </c>
      <c r="G146" s="14" t="str">
        <f t="shared" si="2"/>
        <v>CHART</v>
      </c>
    </row>
    <row r="147">
      <c r="A147" s="11" t="str">
        <f t="shared" si="3"/>
        <v/>
      </c>
      <c r="B147" s="12">
        <f>IFERROR(__xludf.DUMMYFUNCTION("""COMPUTED_VALUE"""),144.0)</f>
        <v>144</v>
      </c>
      <c r="C147" s="12" t="str">
        <f>IFERROR(__xludf.DUMMYFUNCTION("""COMPUTED_VALUE"""),"LTF")</f>
        <v>LTF</v>
      </c>
      <c r="D147" s="13">
        <f>IFERROR(__xludf.DUMMYFUNCTION("""COMPUTED_VALUE"""),283.75)</f>
        <v>283.75</v>
      </c>
      <c r="E147" s="13">
        <f>IFERROR(__xludf.DUMMYFUNCTION("""COMPUTED_VALUE"""),268.1)</f>
        <v>268.1</v>
      </c>
      <c r="F147" s="13">
        <f>IFERROR(__xludf.DUMMYFUNCTION("IFERROR(GOOGLEFINANCE(""NSE:""&amp;C147,""PRICE""),"""")"),283.1)</f>
        <v>283.1</v>
      </c>
      <c r="G147" s="14" t="str">
        <f t="shared" si="2"/>
        <v>CHART</v>
      </c>
    </row>
    <row r="148">
      <c r="A148" s="11" t="str">
        <f t="shared" si="3"/>
        <v/>
      </c>
      <c r="B148" s="12">
        <f>IFERROR(__xludf.DUMMYFUNCTION("""COMPUTED_VALUE"""),145.0)</f>
        <v>145</v>
      </c>
      <c r="C148" s="12" t="str">
        <f>IFERROR(__xludf.DUMMYFUNCTION("""COMPUTED_VALUE"""),"MAZDOCK")</f>
        <v>MAZDOCK</v>
      </c>
      <c r="D148" s="13">
        <f>IFERROR(__xludf.DUMMYFUNCTION("""COMPUTED_VALUE"""),2532.8)</f>
        <v>2532.8</v>
      </c>
      <c r="E148" s="13">
        <f>IFERROR(__xludf.DUMMYFUNCTION("""COMPUTED_VALUE"""),2380.0)</f>
        <v>2380</v>
      </c>
      <c r="F148" s="13">
        <f>IFERROR(__xludf.DUMMYFUNCTION("IFERROR(GOOGLEFINANCE(""NSE:""&amp;C148,""PRICE""),"""")"),2459.1)</f>
        <v>2459.1</v>
      </c>
      <c r="G148" s="14" t="str">
        <f t="shared" si="2"/>
        <v>CHART</v>
      </c>
    </row>
    <row r="149">
      <c r="A149" s="11" t="str">
        <f t="shared" si="3"/>
        <v>X</v>
      </c>
      <c r="B149" s="12">
        <f>IFERROR(__xludf.DUMMYFUNCTION("""COMPUTED_VALUE"""),146.0)</f>
        <v>146</v>
      </c>
      <c r="C149" s="12" t="str">
        <f>IFERROR(__xludf.DUMMYFUNCTION("""COMPUTED_VALUE"""),"MFSL")</f>
        <v>MFSL</v>
      </c>
      <c r="D149" s="13">
        <f>IFERROR(__xludf.DUMMYFUNCTION("""COMPUTED_VALUE"""),1648.7)</f>
        <v>1648.7</v>
      </c>
      <c r="E149" s="13">
        <f>IFERROR(__xludf.DUMMYFUNCTION("""COMPUTED_VALUE"""),1560.0)</f>
        <v>1560</v>
      </c>
      <c r="F149" s="13">
        <f>IFERROR(__xludf.DUMMYFUNCTION("IFERROR(GOOGLEFINANCE(""NSE:""&amp;C149,""PRICE""),"""")"),1693.4)</f>
        <v>1693.4</v>
      </c>
      <c r="G149" s="14" t="str">
        <f t="shared" si="2"/>
        <v>CHART</v>
      </c>
    </row>
    <row r="150">
      <c r="A150" s="11" t="str">
        <f t="shared" si="3"/>
        <v/>
      </c>
      <c r="B150" s="12">
        <f>IFERROR(__xludf.DUMMYFUNCTION("""COMPUTED_VALUE"""),147.0)</f>
        <v>147</v>
      </c>
      <c r="C150" s="12" t="str">
        <f>IFERROR(__xludf.DUMMYFUNCTION("""COMPUTED_VALUE"""),"NAM-INDIA")</f>
        <v>NAM-INDIA</v>
      </c>
      <c r="D150" s="13">
        <f>IFERROR(__xludf.DUMMYFUNCTION("""COMPUTED_VALUE"""),1125.0)</f>
        <v>1125</v>
      </c>
      <c r="E150" s="13">
        <f>IFERROR(__xludf.DUMMYFUNCTION("""COMPUTED_VALUE"""),1060.8)</f>
        <v>1060.8</v>
      </c>
      <c r="F150" s="13">
        <f>IFERROR(__xludf.DUMMYFUNCTION("IFERROR(GOOGLEFINANCE(""NSE:""&amp;C150,""PRICE""),"""")"),1102.6)</f>
        <v>1102.6</v>
      </c>
      <c r="G150" s="14" t="str">
        <f t="shared" si="2"/>
        <v>CHART</v>
      </c>
    </row>
    <row r="151">
      <c r="A151" s="11" t="str">
        <f t="shared" si="3"/>
        <v/>
      </c>
      <c r="B151" s="12">
        <f>IFERROR(__xludf.DUMMYFUNCTION("""COMPUTED_VALUE"""),148.0)</f>
        <v>148</v>
      </c>
      <c r="C151" s="12" t="str">
        <f>IFERROR(__xludf.DUMMYFUNCTION("""COMPUTED_VALUE"""),"SRF")</f>
        <v>SRF</v>
      </c>
      <c r="D151" s="13">
        <f>IFERROR(__xludf.DUMMYFUNCTION("""COMPUTED_VALUE"""),2740.1)</f>
        <v>2740.1</v>
      </c>
      <c r="E151" s="13">
        <f>IFERROR(__xludf.DUMMYFUNCTION("""COMPUTED_VALUE"""),2590.5)</f>
        <v>2590.5</v>
      </c>
      <c r="F151" s="13">
        <f>IFERROR(__xludf.DUMMYFUNCTION("IFERROR(GOOGLEFINANCE(""NSE:""&amp;C151,""PRICE""),"""")"),2737.3)</f>
        <v>2737.3</v>
      </c>
      <c r="G151" s="14" t="str">
        <f t="shared" si="2"/>
        <v>CHART</v>
      </c>
    </row>
    <row r="152">
      <c r="A152" s="11" t="str">
        <f t="shared" si="3"/>
        <v/>
      </c>
      <c r="B152" s="12">
        <f>IFERROR(__xludf.DUMMYFUNCTION("""COMPUTED_VALUE"""),149.0)</f>
        <v>149</v>
      </c>
      <c r="C152" s="12" t="str">
        <f>IFERROR(__xludf.DUMMYFUNCTION("""COMPUTED_VALUE"""),"KALYANKJIL")</f>
        <v>KALYANKJIL</v>
      </c>
      <c r="D152" s="13">
        <f>IFERROR(__xludf.DUMMYFUNCTION("""COMPUTED_VALUE"""),361.75)</f>
        <v>361.75</v>
      </c>
      <c r="E152" s="13">
        <f>IFERROR(__xludf.DUMMYFUNCTION("""COMPUTED_VALUE"""),337.0)</f>
        <v>337</v>
      </c>
      <c r="F152" s="13">
        <f>IFERROR(__xludf.DUMMYFUNCTION("IFERROR(GOOGLEFINANCE(""NSE:""&amp;C152,""PRICE""),"""")"),355.5)</f>
        <v>355.5</v>
      </c>
      <c r="G152" s="14" t="str">
        <f t="shared" si="2"/>
        <v>CHART</v>
      </c>
    </row>
    <row r="153">
      <c r="A153" s="11" t="str">
        <f t="shared" si="3"/>
        <v/>
      </c>
      <c r="B153" s="12">
        <f>IFERROR(__xludf.DUMMYFUNCTION("""COMPUTED_VALUE"""),150.0)</f>
        <v>150</v>
      </c>
      <c r="C153" s="12" t="str">
        <f>IFERROR(__xludf.DUMMYFUNCTION("""COMPUTED_VALUE"""),"ZYDUSLIFE")</f>
        <v>ZYDUSLIFE</v>
      </c>
      <c r="D153" s="13">
        <f>IFERROR(__xludf.DUMMYFUNCTION("""COMPUTED_VALUE"""),1093.65)</f>
        <v>1093.65</v>
      </c>
      <c r="E153" s="13">
        <f>IFERROR(__xludf.DUMMYFUNCTION("""COMPUTED_VALUE"""),987.85)</f>
        <v>987.85</v>
      </c>
      <c r="F153" s="13">
        <f>IFERROR(__xludf.DUMMYFUNCTION("IFERROR(GOOGLEFINANCE(""NSE:""&amp;C153,""PRICE""),"""")"),1088.15)</f>
        <v>1088.15</v>
      </c>
      <c r="G153" s="14" t="str">
        <f t="shared" si="2"/>
        <v>CHART</v>
      </c>
    </row>
    <row r="154">
      <c r="A154" s="11" t="str">
        <f t="shared" si="3"/>
        <v>X</v>
      </c>
      <c r="B154" s="12">
        <f>IFERROR(__xludf.DUMMYFUNCTION("""COMPUTED_VALUE"""),151.0)</f>
        <v>151</v>
      </c>
      <c r="C154" s="12" t="str">
        <f>IFERROR(__xludf.DUMMYFUNCTION("""COMPUTED_VALUE"""),"IOC")</f>
        <v>IOC</v>
      </c>
      <c r="D154" s="13">
        <f>IFERROR(__xludf.DUMMYFUNCTION("""COMPUTED_VALUE"""),141.2)</f>
        <v>141.2</v>
      </c>
      <c r="E154" s="13">
        <f>IFERROR(__xludf.DUMMYFUNCTION("""COMPUTED_VALUE"""),130.53)</f>
        <v>130.53</v>
      </c>
      <c r="F154" s="13">
        <f>IFERROR(__xludf.DUMMYFUNCTION("IFERROR(GOOGLEFINANCE(""NSE:""&amp;C154,""PRICE""),"""")"),142.23)</f>
        <v>142.23</v>
      </c>
      <c r="G154" s="14" t="str">
        <f t="shared" si="2"/>
        <v>CHART</v>
      </c>
    </row>
    <row r="155">
      <c r="A155" s="11" t="str">
        <f t="shared" si="3"/>
        <v/>
      </c>
      <c r="B155" s="12">
        <f>IFERROR(__xludf.DUMMYFUNCTION("""COMPUTED_VALUE"""),152.0)</f>
        <v>152</v>
      </c>
      <c r="C155" s="12" t="str">
        <f>IFERROR(__xludf.DUMMYFUNCTION("""COMPUTED_VALUE"""),"HAVELLS")</f>
        <v>HAVELLS</v>
      </c>
      <c r="D155" s="13" t="str">
        <f>IFERROR(__xludf.DUMMYFUNCTION("""COMPUTED_VALUE"""),"#N/A")</f>
        <v>#N/A</v>
      </c>
      <c r="E155" s="13" t="str">
        <f>IFERROR(__xludf.DUMMYFUNCTION("""COMPUTED_VALUE"""),"#N/A")</f>
        <v>#N/A</v>
      </c>
      <c r="F155" s="13">
        <f>IFERROR(__xludf.DUMMYFUNCTION("IFERROR(GOOGLEFINANCE(""NSE:""&amp;C155,""PRICE""),"""")"),1210.8)</f>
        <v>1210.8</v>
      </c>
      <c r="G155" s="14" t="str">
        <f t="shared" si="2"/>
        <v>CHART</v>
      </c>
    </row>
    <row r="156">
      <c r="A156" s="11" t="str">
        <f t="shared" si="3"/>
        <v/>
      </c>
      <c r="B156" s="12">
        <f>IFERROR(__xludf.DUMMYFUNCTION("""COMPUTED_VALUE"""),153.0)</f>
        <v>153</v>
      </c>
      <c r="C156" s="12" t="str">
        <f>IFERROR(__xludf.DUMMYFUNCTION("""COMPUTED_VALUE"""),"CHOLAFIN")</f>
        <v>CHOLAFIN</v>
      </c>
      <c r="D156" s="13" t="str">
        <f>IFERROR(__xludf.DUMMYFUNCTION("""COMPUTED_VALUE"""),"#N/A")</f>
        <v>#N/A</v>
      </c>
      <c r="E156" s="13" t="str">
        <f>IFERROR(__xludf.DUMMYFUNCTION("""COMPUTED_VALUE"""),"#N/A")</f>
        <v>#N/A</v>
      </c>
      <c r="F156" s="13">
        <f>IFERROR(__xludf.DUMMYFUNCTION("IFERROR(GOOGLEFINANCE(""NSE:""&amp;C156,""PRICE""),"""")"),1576.4)</f>
        <v>1576.4</v>
      </c>
      <c r="G156" s="14" t="str">
        <f t="shared" si="2"/>
        <v>CHART</v>
      </c>
    </row>
    <row r="157">
      <c r="A157" s="11" t="str">
        <f t="shared" si="3"/>
        <v/>
      </c>
      <c r="B157" s="12">
        <f>IFERROR(__xludf.DUMMYFUNCTION("""COMPUTED_VALUE"""),154.0)</f>
        <v>154</v>
      </c>
      <c r="C157" s="12" t="str">
        <f>IFERROR(__xludf.DUMMYFUNCTION("""COMPUTED_VALUE"""),"GODREJCP")</f>
        <v>GODREJCP</v>
      </c>
      <c r="D157" s="13" t="str">
        <f>IFERROR(__xludf.DUMMYFUNCTION("""COMPUTED_VALUE"""),"#N/A")</f>
        <v>#N/A</v>
      </c>
      <c r="E157" s="13" t="str">
        <f>IFERROR(__xludf.DUMMYFUNCTION("""COMPUTED_VALUE"""),"#N/A")</f>
        <v>#N/A</v>
      </c>
      <c r="F157" s="13">
        <f>IFERROR(__xludf.DUMMYFUNCTION("IFERROR(GOOGLEFINANCE(""NSE:""&amp;C157,""PRICE""),"""")"),1027.7)</f>
        <v>1027.7</v>
      </c>
      <c r="G157" s="14" t="str">
        <f t="shared" si="2"/>
        <v>CHART</v>
      </c>
    </row>
    <row r="158">
      <c r="A158" s="11" t="str">
        <f t="shared" si="3"/>
        <v>Y</v>
      </c>
      <c r="B158" s="12">
        <f>IFERROR(__xludf.DUMMYFUNCTION("""COMPUTED_VALUE"""),155.0)</f>
        <v>155</v>
      </c>
      <c r="C158" s="12" t="str">
        <f>IFERROR(__xludf.DUMMYFUNCTION("""COMPUTED_VALUE"""),"NYKAA")</f>
        <v>NYKAA</v>
      </c>
      <c r="D158" s="13">
        <f>IFERROR(__xludf.DUMMYFUNCTION("""COMPUTED_VALUE"""),277.0)</f>
        <v>277</v>
      </c>
      <c r="E158" s="13">
        <f>IFERROR(__xludf.DUMMYFUNCTION("""COMPUTED_VALUE"""),265.85)</f>
        <v>265.85</v>
      </c>
      <c r="F158" s="13">
        <f>IFERROR(__xludf.DUMMYFUNCTION("IFERROR(GOOGLEFINANCE(""NSE:""&amp;C158,""PRICE""),"""")"),263.5)</f>
        <v>263.5</v>
      </c>
      <c r="G158" s="14" t="str">
        <f t="shared" si="2"/>
        <v>CHART</v>
      </c>
    </row>
    <row r="159">
      <c r="A159" s="11" t="str">
        <f t="shared" si="3"/>
        <v/>
      </c>
      <c r="B159" s="12">
        <f>IFERROR(__xludf.DUMMYFUNCTION("""COMPUTED_VALUE"""),156.0)</f>
        <v>156</v>
      </c>
      <c r="C159" s="12" t="str">
        <f>IFERROR(__xludf.DUMMYFUNCTION("""COMPUTED_VALUE"""),"INDHOTEL")</f>
        <v>INDHOTEL</v>
      </c>
      <c r="D159" s="13">
        <f>IFERROR(__xludf.DUMMYFUNCTION("""COMPUTED_VALUE"""),666.7)</f>
        <v>666.7</v>
      </c>
      <c r="E159" s="13">
        <f>IFERROR(__xludf.DUMMYFUNCTION("""COMPUTED_VALUE"""),633.4)</f>
        <v>633.4</v>
      </c>
      <c r="F159" s="13">
        <f>IFERROR(__xludf.DUMMYFUNCTION("IFERROR(GOOGLEFINANCE(""NSE:""&amp;C159,""PRICE""),"""")"),663.75)</f>
        <v>663.75</v>
      </c>
      <c r="G159" s="14" t="str">
        <f t="shared" si="2"/>
        <v>CHART</v>
      </c>
    </row>
    <row r="160">
      <c r="A160" s="11" t="str">
        <f t="shared" si="3"/>
        <v/>
      </c>
      <c r="B160" s="12">
        <f>IFERROR(__xludf.DUMMYFUNCTION("""COMPUTED_VALUE"""),157.0)</f>
        <v>157</v>
      </c>
      <c r="C160" s="12" t="str">
        <f>IFERROR(__xludf.DUMMYFUNCTION("""COMPUTED_VALUE"""),"MPHASIS")</f>
        <v>MPHASIS</v>
      </c>
      <c r="D160" s="13">
        <f>IFERROR(__xludf.DUMMYFUNCTION("""COMPUTED_VALUE"""),2271.1)</f>
        <v>2271.1</v>
      </c>
      <c r="E160" s="13">
        <f>IFERROR(__xludf.DUMMYFUNCTION("""COMPUTED_VALUE"""),2063.6)</f>
        <v>2063.6</v>
      </c>
      <c r="F160" s="13">
        <f>IFERROR(__xludf.DUMMYFUNCTION("IFERROR(GOOGLEFINANCE(""NSE:""&amp;C160,""PRICE""),"""")"),2245.3)</f>
        <v>2245.3</v>
      </c>
      <c r="G160" s="14" t="str">
        <f t="shared" si="2"/>
        <v>CHART</v>
      </c>
    </row>
    <row r="161">
      <c r="A161" s="11" t="str">
        <f t="shared" si="3"/>
        <v>Y</v>
      </c>
      <c r="B161" s="12">
        <f>IFERROR(__xludf.DUMMYFUNCTION("""COMPUTED_VALUE"""),158.0)</f>
        <v>158</v>
      </c>
      <c r="C161" s="12" t="str">
        <f>IFERROR(__xludf.DUMMYFUNCTION("""COMPUTED_VALUE"""),"MAXHEALTH")</f>
        <v>MAXHEALTH</v>
      </c>
      <c r="D161" s="13">
        <f>IFERROR(__xludf.DUMMYFUNCTION("""COMPUTED_VALUE"""),1111.0)</f>
        <v>1111</v>
      </c>
      <c r="E161" s="13">
        <f>IFERROR(__xludf.DUMMYFUNCTION("""COMPUTED_VALUE"""),1024.3)</f>
        <v>1024.3</v>
      </c>
      <c r="F161" s="13">
        <f>IFERROR(__xludf.DUMMYFUNCTION("IFERROR(GOOGLEFINANCE(""NSE:""&amp;C161,""PRICE""),"""")"),984.85)</f>
        <v>984.85</v>
      </c>
      <c r="G161" s="14" t="str">
        <f t="shared" si="2"/>
        <v>CHART</v>
      </c>
    </row>
    <row r="162">
      <c r="A162" s="11" t="str">
        <f t="shared" si="3"/>
        <v/>
      </c>
      <c r="B162" s="12">
        <f>IFERROR(__xludf.DUMMYFUNCTION("""COMPUTED_VALUE"""),159.0)</f>
        <v>159</v>
      </c>
      <c r="C162" s="12" t="str">
        <f>IFERROR(__xludf.DUMMYFUNCTION("""COMPUTED_VALUE"""),"VOLTAS")</f>
        <v>VOLTAS</v>
      </c>
      <c r="D162" s="13">
        <f>IFERROR(__xludf.DUMMYFUNCTION("""COMPUTED_VALUE"""),1311.5)</f>
        <v>1311.5</v>
      </c>
      <c r="E162" s="13">
        <f>IFERROR(__xludf.DUMMYFUNCTION("""COMPUTED_VALUE"""),1198.6)</f>
        <v>1198.6</v>
      </c>
      <c r="F162" s="13">
        <f>IFERROR(__xludf.DUMMYFUNCTION("IFERROR(GOOGLEFINANCE(""NSE:""&amp;C162,""PRICE""),"""")"),1261.6)</f>
        <v>1261.6</v>
      </c>
      <c r="G162" s="14" t="str">
        <f t="shared" si="2"/>
        <v>CHART</v>
      </c>
    </row>
    <row r="163">
      <c r="A163" s="11" t="str">
        <f t="shared" si="3"/>
        <v/>
      </c>
      <c r="B163" s="12">
        <f>IFERROR(__xludf.DUMMYFUNCTION("""COMPUTED_VALUE"""),160.0)</f>
        <v>160</v>
      </c>
      <c r="C163" s="12" t="str">
        <f>IFERROR(__xludf.DUMMYFUNCTION("""COMPUTED_VALUE"""),"TATACONSUM")</f>
        <v>TATACONSUM</v>
      </c>
      <c r="D163" s="13">
        <f>IFERROR(__xludf.DUMMYFUNCTION("""COMPUTED_VALUE"""),1255.1)</f>
        <v>1255.1</v>
      </c>
      <c r="E163" s="13">
        <f>IFERROR(__xludf.DUMMYFUNCTION("""COMPUTED_VALUE"""),1192.0)</f>
        <v>1192</v>
      </c>
      <c r="F163" s="13">
        <f>IFERROR(__xludf.DUMMYFUNCTION("IFERROR(GOOGLEFINANCE(""NSE:""&amp;C163,""PRICE""),"""")"),1199.9)</f>
        <v>1199.9</v>
      </c>
      <c r="G163" s="14" t="str">
        <f t="shared" si="2"/>
        <v>CHART</v>
      </c>
    </row>
    <row r="164">
      <c r="A164" s="11" t="str">
        <f t="shared" si="3"/>
        <v>X</v>
      </c>
      <c r="B164" s="12">
        <f>IFERROR(__xludf.DUMMYFUNCTION("""COMPUTED_VALUE"""),161.0)</f>
        <v>161</v>
      </c>
      <c r="C164" s="12" t="str">
        <f>IFERROR(__xludf.DUMMYFUNCTION("""COMPUTED_VALUE"""),"PRESTIGE")</f>
        <v>PRESTIGE</v>
      </c>
      <c r="D164" s="13">
        <f>IFERROR(__xludf.DUMMYFUNCTION("""COMPUTED_VALUE"""),1416.0)</f>
        <v>1416</v>
      </c>
      <c r="E164" s="13">
        <f>IFERROR(__xludf.DUMMYFUNCTION("""COMPUTED_VALUE"""),1297.9)</f>
        <v>1297.9</v>
      </c>
      <c r="F164" s="13">
        <f>IFERROR(__xludf.DUMMYFUNCTION("IFERROR(GOOGLEFINANCE(""NSE:""&amp;C164,""PRICE""),"""")"),1416.8)</f>
        <v>1416.8</v>
      </c>
      <c r="G164" s="14" t="str">
        <f t="shared" si="2"/>
        <v>CHART</v>
      </c>
    </row>
    <row r="165">
      <c r="A165" s="11" t="str">
        <f t="shared" si="3"/>
        <v/>
      </c>
      <c r="B165" s="12">
        <f>IFERROR(__xludf.DUMMYFUNCTION("""COMPUTED_VALUE"""),162.0)</f>
        <v>162</v>
      </c>
      <c r="C165" s="12" t="str">
        <f>IFERROR(__xludf.DUMMYFUNCTION("""COMPUTED_VALUE"""),"INDIANB")</f>
        <v>INDIANB</v>
      </c>
      <c r="D165" s="13">
        <f>IFERROR(__xludf.DUMMYFUNCTION("""COMPUTED_VALUE"""),842.3)</f>
        <v>842.3</v>
      </c>
      <c r="E165" s="13">
        <f>IFERROR(__xludf.DUMMYFUNCTION("""COMPUTED_VALUE"""),803.55)</f>
        <v>803.55</v>
      </c>
      <c r="F165" s="13">
        <f>IFERROR(__xludf.DUMMYFUNCTION("IFERROR(GOOGLEFINANCE(""NSE:""&amp;C165,""PRICE""),"""")"),834.0)</f>
        <v>834</v>
      </c>
      <c r="G165" s="14" t="str">
        <f t="shared" si="2"/>
        <v>CHART</v>
      </c>
    </row>
    <row r="166">
      <c r="A166" s="11" t="str">
        <f t="shared" si="3"/>
        <v>X</v>
      </c>
      <c r="B166" s="12">
        <f>IFERROR(__xludf.DUMMYFUNCTION("""COMPUTED_VALUE"""),163.0)</f>
        <v>163</v>
      </c>
      <c r="C166" s="12" t="str">
        <f>IFERROR(__xludf.DUMMYFUNCTION("""COMPUTED_VALUE"""),"GAIL")</f>
        <v>GAIL</v>
      </c>
      <c r="D166" s="13">
        <f>IFERROR(__xludf.DUMMYFUNCTION("""COMPUTED_VALUE"""),163.4)</f>
        <v>163.4</v>
      </c>
      <c r="E166" s="13">
        <f>IFERROR(__xludf.DUMMYFUNCTION("""COMPUTED_VALUE"""),151.71)</f>
        <v>151.71</v>
      </c>
      <c r="F166" s="13">
        <f>IFERROR(__xludf.DUMMYFUNCTION("IFERROR(GOOGLEFINANCE(""NSE:""&amp;C166,""PRICE""),"""")"),168.56)</f>
        <v>168.56</v>
      </c>
      <c r="G166" s="14" t="str">
        <f t="shared" si="2"/>
        <v>CHART</v>
      </c>
    </row>
    <row r="167">
      <c r="A167" s="11" t="str">
        <f t="shared" si="3"/>
        <v/>
      </c>
      <c r="B167" s="12">
        <f>IFERROR(__xludf.DUMMYFUNCTION("""COMPUTED_VALUE"""),164.0)</f>
        <v>164</v>
      </c>
      <c r="C167" s="12" t="str">
        <f>IFERROR(__xludf.DUMMYFUNCTION("""COMPUTED_VALUE"""),"LUPIN")</f>
        <v>LUPIN</v>
      </c>
      <c r="D167" s="13">
        <f>IFERROR(__xludf.DUMMYFUNCTION("""COMPUTED_VALUE"""),2309.6)</f>
        <v>2309.6</v>
      </c>
      <c r="E167" s="13">
        <f>IFERROR(__xludf.DUMMYFUNCTION("""COMPUTED_VALUE"""),2214.1)</f>
        <v>2214.1</v>
      </c>
      <c r="F167" s="13">
        <f>IFERROR(__xludf.DUMMYFUNCTION("IFERROR(GOOGLEFINANCE(""NSE:""&amp;C167,""PRICE""),"""")"),2256.7)</f>
        <v>2256.7</v>
      </c>
      <c r="G167" s="14" t="str">
        <f t="shared" si="2"/>
        <v>CHART</v>
      </c>
    </row>
    <row r="168">
      <c r="A168" s="11" t="str">
        <f t="shared" si="3"/>
        <v>Y</v>
      </c>
      <c r="B168" s="12">
        <f>IFERROR(__xludf.DUMMYFUNCTION("""COMPUTED_VALUE"""),165.0)</f>
        <v>165</v>
      </c>
      <c r="C168" s="12" t="str">
        <f>IFERROR(__xludf.DUMMYFUNCTION("""COMPUTED_VALUE"""),"DMART")</f>
        <v>DMART</v>
      </c>
      <c r="D168" s="13">
        <f>IFERROR(__xludf.DUMMYFUNCTION("""COMPUTED_VALUE"""),4387.0)</f>
        <v>4387</v>
      </c>
      <c r="E168" s="13">
        <f>IFERROR(__xludf.DUMMYFUNCTION("""COMPUTED_VALUE"""),4111.0)</f>
        <v>4111</v>
      </c>
      <c r="F168" s="13">
        <f>IFERROR(__xludf.DUMMYFUNCTION("IFERROR(GOOGLEFINANCE(""NSE:""&amp;C168,""PRICE""),"""")"),4093.6)</f>
        <v>4093.6</v>
      </c>
      <c r="G168" s="14" t="str">
        <f t="shared" si="2"/>
        <v>CHART</v>
      </c>
    </row>
    <row r="169">
      <c r="A169" s="11" t="str">
        <f t="shared" si="3"/>
        <v/>
      </c>
      <c r="B169" s="12">
        <f>IFERROR(__xludf.DUMMYFUNCTION("""COMPUTED_VALUE"""),166.0)</f>
        <v>166</v>
      </c>
      <c r="C169" s="12" t="str">
        <f>IFERROR(__xludf.DUMMYFUNCTION("""COMPUTED_VALUE"""),"TORNTPHARM")</f>
        <v>TORNTPHARM</v>
      </c>
      <c r="D169" s="13">
        <f>IFERROR(__xludf.DUMMYFUNCTION("""COMPUTED_VALUE"""),4520.9)</f>
        <v>4520.9</v>
      </c>
      <c r="E169" s="13">
        <f>IFERROR(__xludf.DUMMYFUNCTION("""COMPUTED_VALUE"""),4306.0)</f>
        <v>4306</v>
      </c>
      <c r="F169" s="13">
        <f>IFERROR(__xludf.DUMMYFUNCTION("IFERROR(GOOGLEFINANCE(""NSE:""&amp;C169,""PRICE""),"""")"),4490.0)</f>
        <v>4490</v>
      </c>
      <c r="G169" s="14" t="str">
        <f t="shared" si="2"/>
        <v>CHART</v>
      </c>
    </row>
    <row r="170">
      <c r="A170" s="11" t="str">
        <f t="shared" si="3"/>
        <v>X</v>
      </c>
      <c r="B170" s="12">
        <f>IFERROR(__xludf.DUMMYFUNCTION("""COMPUTED_VALUE"""),167.0)</f>
        <v>167</v>
      </c>
      <c r="C170" s="12" t="str">
        <f>IFERROR(__xludf.DUMMYFUNCTION("""COMPUTED_VALUE"""),"BPCL")</f>
        <v>BPCL</v>
      </c>
      <c r="D170" s="13">
        <f>IFERROR(__xludf.DUMMYFUNCTION("""COMPUTED_VALUE"""),298.5)</f>
        <v>298.5</v>
      </c>
      <c r="E170" s="13">
        <f>IFERROR(__xludf.DUMMYFUNCTION("""COMPUTED_VALUE"""),276.6)</f>
        <v>276.6</v>
      </c>
      <c r="F170" s="13">
        <f>IFERROR(__xludf.DUMMYFUNCTION("IFERROR(GOOGLEFINANCE(""NSE:""&amp;C170,""PRICE""),"""")"),304.35)</f>
        <v>304.35</v>
      </c>
      <c r="G170" s="14" t="str">
        <f t="shared" si="2"/>
        <v>CHART</v>
      </c>
    </row>
    <row r="171">
      <c r="A171" s="11" t="str">
        <f t="shared" si="3"/>
        <v>Y</v>
      </c>
      <c r="B171" s="12">
        <f>IFERROR(__xludf.DUMMYFUNCTION("""COMPUTED_VALUE"""),168.0)</f>
        <v>168</v>
      </c>
      <c r="C171" s="12" t="str">
        <f>IFERROR(__xludf.DUMMYFUNCTION("""COMPUTED_VALUE"""),"OIL")</f>
        <v>OIL</v>
      </c>
      <c r="D171" s="13">
        <f>IFERROR(__xludf.DUMMYFUNCTION("""COMPUTED_VALUE"""),525.0)</f>
        <v>525</v>
      </c>
      <c r="E171" s="13">
        <f>IFERROR(__xludf.DUMMYFUNCTION("""COMPUTED_VALUE"""),498.75)</f>
        <v>498.75</v>
      </c>
      <c r="F171" s="13">
        <f>IFERROR(__xludf.DUMMYFUNCTION("IFERROR(GOOGLEFINANCE(""NSE:""&amp;C171,""PRICE""),"""")"),486.4)</f>
        <v>486.4</v>
      </c>
      <c r="G171" s="14" t="str">
        <f t="shared" si="2"/>
        <v>CHART</v>
      </c>
    </row>
    <row r="172">
      <c r="A172" s="11" t="str">
        <f t="shared" si="3"/>
        <v/>
      </c>
      <c r="B172" s="12">
        <f>IFERROR(__xludf.DUMMYFUNCTION("""COMPUTED_VALUE"""),169.0)</f>
        <v>169</v>
      </c>
      <c r="C172" s="12" t="str">
        <f>IFERROR(__xludf.DUMMYFUNCTION("""COMPUTED_VALUE"""),"CIPLA")</f>
        <v>CIPLA</v>
      </c>
      <c r="D172" s="13">
        <f>IFERROR(__xludf.DUMMYFUNCTION("""COMPUTED_VALUE"""),1444.5)</f>
        <v>1444.5</v>
      </c>
      <c r="E172" s="13">
        <f>IFERROR(__xludf.DUMMYFUNCTION("""COMPUTED_VALUE"""),1392.3)</f>
        <v>1392.3</v>
      </c>
      <c r="F172" s="13">
        <f>IFERROR(__xludf.DUMMYFUNCTION("IFERROR(GOOGLEFINANCE(""NSE:""&amp;C172,""PRICE""),"""")"),1424.0)</f>
        <v>1424</v>
      </c>
      <c r="G172" s="14" t="str">
        <f t="shared" si="2"/>
        <v>CHART</v>
      </c>
    </row>
    <row r="173">
      <c r="A173" s="11" t="str">
        <f t="shared" si="3"/>
        <v/>
      </c>
      <c r="B173" s="12">
        <f>IFERROR(__xludf.DUMMYFUNCTION("""COMPUTED_VALUE"""),170.0)</f>
        <v>170</v>
      </c>
      <c r="C173" s="12" t="str">
        <f>IFERROR(__xludf.DUMMYFUNCTION("""COMPUTED_VALUE"""),"DELHIVERY")</f>
        <v>DELHIVERY</v>
      </c>
      <c r="D173" s="13">
        <f>IFERROR(__xludf.DUMMYFUNCTION("""COMPUTED_VALUE"""),483.5)</f>
        <v>483.5</v>
      </c>
      <c r="E173" s="13">
        <f>IFERROR(__xludf.DUMMYFUNCTION("""COMPUTED_VALUE"""),446.1)</f>
        <v>446.1</v>
      </c>
      <c r="F173" s="13">
        <f>IFERROR(__xludf.DUMMYFUNCTION("IFERROR(GOOGLEFINANCE(""NSE:""&amp;C173,""PRICE""),"""")"),464.2)</f>
        <v>464.2</v>
      </c>
      <c r="G173" s="14" t="str">
        <f t="shared" si="2"/>
        <v>CHART</v>
      </c>
    </row>
    <row r="174">
      <c r="A174" s="11" t="str">
        <f t="shared" si="3"/>
        <v>X</v>
      </c>
      <c r="B174" s="12">
        <f>IFERROR(__xludf.DUMMYFUNCTION("""COMPUTED_VALUE"""),171.0)</f>
        <v>171</v>
      </c>
      <c r="C174" s="12" t="str">
        <f>IFERROR(__xludf.DUMMYFUNCTION("""COMPUTED_VALUE"""),"NUVAMA")</f>
        <v>NUVAMA</v>
      </c>
      <c r="D174" s="13">
        <f>IFERROR(__xludf.DUMMYFUNCTION("""COMPUTED_VALUE"""),1514.9)</f>
        <v>1514.9</v>
      </c>
      <c r="E174" s="13">
        <f>IFERROR(__xludf.DUMMYFUNCTION("""COMPUTED_VALUE"""),1417.1)</f>
        <v>1417.1</v>
      </c>
      <c r="F174" s="13">
        <f>IFERROR(__xludf.DUMMYFUNCTION("IFERROR(GOOGLEFINANCE(""NSE:""&amp;C174,""PRICE""),"""")"),1526.4)</f>
        <v>1526.4</v>
      </c>
      <c r="G174" s="14" t="str">
        <f t="shared" si="2"/>
        <v>CHART</v>
      </c>
    </row>
    <row r="175">
      <c r="A175" s="11" t="str">
        <f t="shared" si="3"/>
        <v>X</v>
      </c>
      <c r="B175" s="12">
        <f>IFERROR(__xludf.DUMMYFUNCTION("""COMPUTED_VALUE"""),172.0)</f>
        <v>172</v>
      </c>
      <c r="C175" s="12" t="str">
        <f>IFERROR(__xludf.DUMMYFUNCTION("""COMPUTED_VALUE"""),"VBL")</f>
        <v>VBL</v>
      </c>
      <c r="D175" s="13">
        <f>IFERROR(__xludf.DUMMYFUNCTION("""COMPUTED_VALUE"""),525.9)</f>
        <v>525.9</v>
      </c>
      <c r="E175" s="13">
        <f>IFERROR(__xludf.DUMMYFUNCTION("""COMPUTED_VALUE"""),494.3)</f>
        <v>494.3</v>
      </c>
      <c r="F175" s="13">
        <f>IFERROR(__xludf.DUMMYFUNCTION("IFERROR(GOOGLEFINANCE(""NSE:""&amp;C175,""PRICE""),"""")"),532.5)</f>
        <v>532.5</v>
      </c>
      <c r="G175" s="14" t="str">
        <f t="shared" si="2"/>
        <v>CHART</v>
      </c>
    </row>
    <row r="176">
      <c r="A176" s="11" t="str">
        <f t="shared" si="3"/>
        <v/>
      </c>
      <c r="B176" s="12">
        <f>IFERROR(__xludf.DUMMYFUNCTION("""COMPUTED_VALUE"""),173.0)</f>
        <v>173</v>
      </c>
      <c r="C176" s="12" t="str">
        <f>IFERROR(__xludf.DUMMYFUNCTION("""COMPUTED_VALUE"""),"PIIND")</f>
        <v>PIIND</v>
      </c>
      <c r="D176" s="13">
        <f>IFERROR(__xludf.DUMMYFUNCTION("""COMPUTED_VALUE"""),3194.1)</f>
        <v>3194.1</v>
      </c>
      <c r="E176" s="13">
        <f>IFERROR(__xludf.DUMMYFUNCTION("""COMPUTED_VALUE"""),2700.0)</f>
        <v>2700</v>
      </c>
      <c r="F176" s="13">
        <f>IFERROR(__xludf.DUMMYFUNCTION("IFERROR(GOOGLEFINANCE(""NSE:""&amp;C176,""PRICE""),"""")"),2850.9)</f>
        <v>2850.9</v>
      </c>
      <c r="G176" s="14" t="str">
        <f t="shared" si="2"/>
        <v>CHART</v>
      </c>
    </row>
    <row r="177">
      <c r="A177" s="11" t="str">
        <f t="shared" si="3"/>
        <v/>
      </c>
      <c r="B177" s="12">
        <f>IFERROR(__xludf.DUMMYFUNCTION("""COMPUTED_VALUE"""),174.0)</f>
        <v>174</v>
      </c>
      <c r="C177" s="12" t="str">
        <f>IFERROR(__xludf.DUMMYFUNCTION("""COMPUTED_VALUE"""),"PAGEIND")</f>
        <v>PAGEIND</v>
      </c>
      <c r="D177" s="13">
        <f>IFERROR(__xludf.DUMMYFUNCTION("""COMPUTED_VALUE"""),39600.0)</f>
        <v>39600</v>
      </c>
      <c r="E177" s="13">
        <f>IFERROR(__xludf.DUMMYFUNCTION("""COMPUTED_VALUE"""),36065.0)</f>
        <v>36065</v>
      </c>
      <c r="F177" s="13">
        <f>IFERROR(__xludf.DUMMYFUNCTION("IFERROR(GOOGLEFINANCE(""NSE:""&amp;C177,""PRICE""),"""")"),38185.0)</f>
        <v>38185</v>
      </c>
      <c r="G177" s="14" t="str">
        <f t="shared" si="2"/>
        <v>CHART</v>
      </c>
    </row>
    <row r="178">
      <c r="A178" s="11" t="str">
        <f t="shared" si="3"/>
        <v>X</v>
      </c>
      <c r="B178" s="12">
        <f>IFERROR(__xludf.DUMMYFUNCTION("""COMPUTED_VALUE"""),175.0)</f>
        <v>175</v>
      </c>
      <c r="C178" s="12" t="str">
        <f>IFERROR(__xludf.DUMMYFUNCTION("""COMPUTED_VALUE"""),"UPL")</f>
        <v>UPL</v>
      </c>
      <c r="D178" s="13">
        <f>IFERROR(__xludf.DUMMYFUNCTION("""COMPUTED_VALUE"""),646.25)</f>
        <v>646.25</v>
      </c>
      <c r="E178" s="13">
        <f>IFERROR(__xludf.DUMMYFUNCTION("""COMPUTED_VALUE"""),618.3)</f>
        <v>618.3</v>
      </c>
      <c r="F178" s="13">
        <f>IFERROR(__xludf.DUMMYFUNCTION("IFERROR(GOOGLEFINANCE(""NSE:""&amp;C178,""PRICE""),"""")"),657.75)</f>
        <v>657.75</v>
      </c>
      <c r="G178" s="14" t="str">
        <f t="shared" si="2"/>
        <v>CHART</v>
      </c>
    </row>
    <row r="179">
      <c r="A179" s="11" t="str">
        <f t="shared" si="3"/>
        <v>X</v>
      </c>
      <c r="B179" s="12">
        <f>IFERROR(__xludf.DUMMYFUNCTION("""COMPUTED_VALUE"""),176.0)</f>
        <v>176</v>
      </c>
      <c r="C179" s="12" t="str">
        <f>IFERROR(__xludf.DUMMYFUNCTION("""COMPUTED_VALUE"""),"BAJAJFINSV")</f>
        <v>BAJAJFINSV</v>
      </c>
      <c r="D179" s="13">
        <f>IFERROR(__xludf.DUMMYFUNCTION("""COMPUTED_VALUE"""),1784.4)</f>
        <v>1784.4</v>
      </c>
      <c r="E179" s="13">
        <f>IFERROR(__xludf.DUMMYFUNCTION("""COMPUTED_VALUE"""),1693.8)</f>
        <v>1693.8</v>
      </c>
      <c r="F179" s="13">
        <f>IFERROR(__xludf.DUMMYFUNCTION("IFERROR(GOOGLEFINANCE(""NSE:""&amp;C179,""PRICE""),"""")"),1806.8)</f>
        <v>1806.8</v>
      </c>
      <c r="G179" s="14" t="str">
        <f t="shared" si="2"/>
        <v>CHART</v>
      </c>
    </row>
    <row r="180">
      <c r="A180" s="11" t="str">
        <f t="shared" si="3"/>
        <v/>
      </c>
      <c r="B180" s="12">
        <f>IFERROR(__xludf.DUMMYFUNCTION("""COMPUTED_VALUE"""),177.0)</f>
        <v>177</v>
      </c>
      <c r="C180" s="12" t="str">
        <f>IFERROR(__xludf.DUMMYFUNCTION("""COMPUTED_VALUE"""),"BOSCHLTD")</f>
        <v>BOSCHLTD</v>
      </c>
      <c r="D180" s="13">
        <f>IFERROR(__xludf.DUMMYFUNCTION("""COMPUTED_VALUE"""),37980.0)</f>
        <v>37980</v>
      </c>
      <c r="E180" s="13">
        <f>IFERROR(__xludf.DUMMYFUNCTION("""COMPUTED_VALUE"""),34830.0)</f>
        <v>34830</v>
      </c>
      <c r="F180" s="13">
        <f>IFERROR(__xludf.DUMMYFUNCTION("IFERROR(GOOGLEFINANCE(""NSE:""&amp;C180,""PRICE""),"""")"),36040.0)</f>
        <v>36040</v>
      </c>
      <c r="G180" s="14" t="str">
        <f t="shared" si="2"/>
        <v>CHART</v>
      </c>
    </row>
    <row r="181">
      <c r="A181" s="11" t="str">
        <f t="shared" si="3"/>
        <v>X</v>
      </c>
      <c r="B181" s="12">
        <f>IFERROR(__xludf.DUMMYFUNCTION("""COMPUTED_VALUE"""),178.0)</f>
        <v>178</v>
      </c>
      <c r="C181" s="12" t="str">
        <f>IFERROR(__xludf.DUMMYFUNCTION("""COMPUTED_VALUE"""),"PNBHOUSING")</f>
        <v>PNBHOUSING</v>
      </c>
      <c r="D181" s="13">
        <f>IFERROR(__xludf.DUMMYFUNCTION("""COMPUTED_VALUE"""),1077.6)</f>
        <v>1077.6</v>
      </c>
      <c r="E181" s="13">
        <f>IFERROR(__xludf.DUMMYFUNCTION("""COMPUTED_VALUE"""),1040.0)</f>
        <v>1040</v>
      </c>
      <c r="F181" s="13">
        <f>IFERROR(__xludf.DUMMYFUNCTION("IFERROR(GOOGLEFINANCE(""NSE:""&amp;C181,""PRICE""),"""")"),1084.3)</f>
        <v>1084.3</v>
      </c>
      <c r="G181" s="14" t="str">
        <f t="shared" si="2"/>
        <v>CHART</v>
      </c>
    </row>
    <row r="182">
      <c r="A182" s="11" t="str">
        <f t="shared" si="3"/>
        <v>X</v>
      </c>
      <c r="B182" s="12">
        <f>IFERROR(__xludf.DUMMYFUNCTION("""COMPUTED_VALUE"""),179.0)</f>
        <v>179</v>
      </c>
      <c r="C182" s="12" t="str">
        <f>IFERROR(__xludf.DUMMYFUNCTION("""COMPUTED_VALUE"""),"GVT&amp;D")</f>
        <v>GVT&amp;D</v>
      </c>
      <c r="D182" s="13">
        <f>IFERROR(__xludf.DUMMYFUNCTION("""COMPUTED_VALUE"""),4962.4)</f>
        <v>4962.4</v>
      </c>
      <c r="E182" s="13">
        <f>IFERROR(__xludf.DUMMYFUNCTION("""COMPUTED_VALUE"""),4251.8)</f>
        <v>4251.8</v>
      </c>
      <c r="F182" s="13">
        <f>IFERROR(__xludf.DUMMYFUNCTION("IFERROR(GOOGLEFINANCE(""NSE:""&amp;C182,""PRICE""),"""")"),5024.8)</f>
        <v>5024.8</v>
      </c>
      <c r="G182" s="14" t="str">
        <f t="shared" si="2"/>
        <v>CHART</v>
      </c>
    </row>
    <row r="183">
      <c r="A183" s="11" t="str">
        <f t="shared" si="3"/>
        <v/>
      </c>
      <c r="B183" s="12">
        <f>IFERROR(__xludf.DUMMYFUNCTION("""COMPUTED_VALUE"""),180.0)</f>
        <v>180</v>
      </c>
      <c r="C183" s="12" t="str">
        <f>IFERROR(__xludf.DUMMYFUNCTION("""COMPUTED_VALUE"""),"BLUESTARCO")</f>
        <v>BLUESTARCO</v>
      </c>
      <c r="D183" s="13">
        <f>IFERROR(__xludf.DUMMYFUNCTION("""COMPUTED_VALUE"""),1710.6)</f>
        <v>1710.6</v>
      </c>
      <c r="E183" s="13">
        <f>IFERROR(__xludf.DUMMYFUNCTION("""COMPUTED_VALUE"""),1582.0)</f>
        <v>1582</v>
      </c>
      <c r="F183" s="13">
        <f>IFERROR(__xludf.DUMMYFUNCTION("IFERROR(GOOGLEFINANCE(""NSE:""&amp;C183,""PRICE""),"""")"),1656.2)</f>
        <v>1656.2</v>
      </c>
      <c r="G183" s="14" t="str">
        <f t="shared" si="2"/>
        <v>CHART</v>
      </c>
    </row>
    <row r="184">
      <c r="A184" s="11" t="str">
        <f t="shared" si="3"/>
        <v/>
      </c>
      <c r="B184" s="12">
        <f>IFERROR(__xludf.DUMMYFUNCTION("""COMPUTED_VALUE"""),181.0)</f>
        <v>181</v>
      </c>
      <c r="C184" s="12" t="str">
        <f>IFERROR(__xludf.DUMMYFUNCTION("""COMPUTED_VALUE"""),"SBILIFE")</f>
        <v>SBILIFE</v>
      </c>
      <c r="D184" s="13">
        <f>IFERROR(__xludf.DUMMYFUNCTION("""COMPUTED_VALUE"""),1892.0)</f>
        <v>1892</v>
      </c>
      <c r="E184" s="13">
        <f>IFERROR(__xludf.DUMMYFUNCTION("""COMPUTED_VALUE"""),1825.3)</f>
        <v>1825.3</v>
      </c>
      <c r="F184" s="13">
        <f>IFERROR(__xludf.DUMMYFUNCTION("IFERROR(GOOGLEFINANCE(""NSE:""&amp;C184,""PRICE""),"""")"),1878.2)</f>
        <v>1878.2</v>
      </c>
      <c r="G184" s="14" t="str">
        <f t="shared" si="2"/>
        <v>CHART</v>
      </c>
    </row>
    <row r="185">
      <c r="A185" s="11" t="str">
        <f t="shared" si="3"/>
        <v/>
      </c>
      <c r="B185" s="12">
        <f>IFERROR(__xludf.DUMMYFUNCTION("""COMPUTED_VALUE"""),182.0)</f>
        <v>182</v>
      </c>
      <c r="C185" s="12" t="str">
        <f>IFERROR(__xludf.DUMMYFUNCTION("""COMPUTED_VALUE"""),"GODFRYPHLP")</f>
        <v>GODFRYPHLP</v>
      </c>
      <c r="D185" s="13">
        <f>IFERROR(__xludf.DUMMYFUNCTION("""COMPUTED_VALUE"""),2491.7)</f>
        <v>2491.7</v>
      </c>
      <c r="E185" s="13">
        <f>IFERROR(__xludf.DUMMYFUNCTION("""COMPUTED_VALUE"""),2232.1)</f>
        <v>2232.1</v>
      </c>
      <c r="F185" s="13">
        <f>IFERROR(__xludf.DUMMYFUNCTION("IFERROR(GOOGLEFINANCE(""NSE:""&amp;C185,""PRICE""),"""")"),2318.7)</f>
        <v>2318.7</v>
      </c>
      <c r="G185" s="14" t="str">
        <f t="shared" si="2"/>
        <v>CHART</v>
      </c>
    </row>
    <row r="186">
      <c r="A186" s="11" t="str">
        <f t="shared" si="3"/>
        <v>X</v>
      </c>
      <c r="B186" s="12">
        <f>IFERROR(__xludf.DUMMYFUNCTION("""COMPUTED_VALUE"""),183.0)</f>
        <v>183</v>
      </c>
      <c r="C186" s="12" t="str">
        <f>IFERROR(__xludf.DUMMYFUNCTION("""COMPUTED_VALUE"""),"TATAELXSI")</f>
        <v>TATAELXSI</v>
      </c>
      <c r="D186" s="13">
        <f>IFERROR(__xludf.DUMMYFUNCTION("""COMPUTED_VALUE"""),4276.5)</f>
        <v>4276.5</v>
      </c>
      <c r="E186" s="13">
        <f>IFERROR(__xludf.DUMMYFUNCTION("""COMPUTED_VALUE"""),4012.1)</f>
        <v>4012.1</v>
      </c>
      <c r="F186" s="13">
        <f>IFERROR(__xludf.DUMMYFUNCTION("IFERROR(GOOGLEFINANCE(""NSE:""&amp;C186,""PRICE""),"""")"),4334.5)</f>
        <v>4334.5</v>
      </c>
      <c r="G186" s="14" t="str">
        <f t="shared" si="2"/>
        <v>CHART</v>
      </c>
    </row>
    <row r="187">
      <c r="A187" s="11" t="str">
        <f t="shared" si="3"/>
        <v>X</v>
      </c>
      <c r="B187" s="12">
        <f>IFERROR(__xludf.DUMMYFUNCTION("""COMPUTED_VALUE"""),184.0)</f>
        <v>184</v>
      </c>
      <c r="C187" s="12" t="str">
        <f>IFERROR(__xludf.DUMMYFUNCTION("""COMPUTED_VALUE"""),"SHREECEM")</f>
        <v>SHREECEM</v>
      </c>
      <c r="D187" s="13">
        <f>IFERROR(__xludf.DUMMYFUNCTION("""COMPUTED_VALUE"""),25385.0)</f>
        <v>25385</v>
      </c>
      <c r="E187" s="13">
        <f>IFERROR(__xludf.DUMMYFUNCTION("""COMPUTED_VALUE"""),23990.0)</f>
        <v>23990</v>
      </c>
      <c r="F187" s="13">
        <f>IFERROR(__xludf.DUMMYFUNCTION("IFERROR(GOOGLEFINANCE(""NSE:""&amp;C187,""PRICE""),"""")"),25530.0)</f>
        <v>25530</v>
      </c>
      <c r="G187" s="14" t="str">
        <f t="shared" si="2"/>
        <v>CHART</v>
      </c>
    </row>
    <row r="188">
      <c r="A188" s="11" t="str">
        <f t="shared" si="3"/>
        <v>X</v>
      </c>
      <c r="B188" s="12">
        <f>IFERROR(__xludf.DUMMYFUNCTION("""COMPUTED_VALUE"""),185.0)</f>
        <v>185</v>
      </c>
      <c r="C188" s="12" t="str">
        <f>IFERROR(__xludf.DUMMYFUNCTION("""COMPUTED_VALUE"""),"PETRONET")</f>
        <v>PETRONET</v>
      </c>
      <c r="D188" s="13">
        <f>IFERROR(__xludf.DUMMYFUNCTION("""COMPUTED_VALUE"""),272.05)</f>
        <v>272.05</v>
      </c>
      <c r="E188" s="13">
        <f>IFERROR(__xludf.DUMMYFUNCTION("""COMPUTED_VALUE"""),260.2)</f>
        <v>260.2</v>
      </c>
      <c r="F188" s="13">
        <f>IFERROR(__xludf.DUMMYFUNCTION("IFERROR(GOOGLEFINANCE(""NSE:""&amp;C188,""PRICE""),"""")"),278.35)</f>
        <v>278.35</v>
      </c>
      <c r="G188" s="14" t="str">
        <f t="shared" si="2"/>
        <v>CHART</v>
      </c>
    </row>
    <row r="189">
      <c r="A189" s="11" t="str">
        <f t="shared" si="3"/>
        <v/>
      </c>
      <c r="B189" s="12">
        <f>IFERROR(__xludf.DUMMYFUNCTION("""COMPUTED_VALUE"""),186.0)</f>
        <v>186</v>
      </c>
      <c r="C189" s="12" t="str">
        <f>IFERROR(__xludf.DUMMYFUNCTION("""COMPUTED_VALUE"""),"BRITANNIA")</f>
        <v>BRITANNIA</v>
      </c>
      <c r="D189" s="13">
        <f>IFERROR(__xludf.DUMMYFUNCTION("""COMPUTED_VALUE"""),5470.5)</f>
        <v>5470.5</v>
      </c>
      <c r="E189" s="13">
        <f>IFERROR(__xludf.DUMMYFUNCTION("""COMPUTED_VALUE"""),5289.5)</f>
        <v>5289.5</v>
      </c>
      <c r="F189" s="13">
        <f>IFERROR(__xludf.DUMMYFUNCTION("IFERROR(GOOGLEFINANCE(""NSE:""&amp;C189,""PRICE""),"""")"),5322.0)</f>
        <v>5322</v>
      </c>
      <c r="G189" s="14" t="str">
        <f t="shared" si="2"/>
        <v>CHART</v>
      </c>
    </row>
    <row r="190">
      <c r="A190" s="11" t="str">
        <f t="shared" si="3"/>
        <v/>
      </c>
      <c r="B190" s="12">
        <f>IFERROR(__xludf.DUMMYFUNCTION("""COMPUTED_VALUE"""),187.0)</f>
        <v>187</v>
      </c>
      <c r="C190" s="12" t="str">
        <f>IFERROR(__xludf.DUMMYFUNCTION("""COMPUTED_VALUE"""),"PATANJALI")</f>
        <v>PATANJALI</v>
      </c>
      <c r="D190" s="13">
        <f>IFERROR(__xludf.DUMMYFUNCTION("""COMPUTED_VALUE"""),477.65)</f>
        <v>477.65</v>
      </c>
      <c r="E190" s="13">
        <f>IFERROR(__xludf.DUMMYFUNCTION("""COMPUTED_VALUE"""),448.3)</f>
        <v>448.3</v>
      </c>
      <c r="F190" s="13">
        <f>IFERROR(__xludf.DUMMYFUNCTION("IFERROR(GOOGLEFINANCE(""NSE:""&amp;C190,""PRICE""),"""")"),462.8)</f>
        <v>462.8</v>
      </c>
      <c r="G190" s="14" t="str">
        <f t="shared" si="2"/>
        <v>CHART</v>
      </c>
    </row>
    <row r="191">
      <c r="A191" s="11" t="str">
        <f t="shared" si="3"/>
        <v>X</v>
      </c>
      <c r="B191" s="12">
        <f>IFERROR(__xludf.DUMMYFUNCTION("""COMPUTED_VALUE"""),188.0)</f>
        <v>188</v>
      </c>
      <c r="C191" s="12" t="str">
        <f>IFERROR(__xludf.DUMMYFUNCTION("""COMPUTED_VALUE"""),"OBEROIRLTY")</f>
        <v>OBEROIRLTY</v>
      </c>
      <c r="D191" s="13">
        <f>IFERROR(__xludf.DUMMYFUNCTION("""COMPUTED_VALUE"""),1682.2)</f>
        <v>1682.2</v>
      </c>
      <c r="E191" s="13">
        <f>IFERROR(__xludf.DUMMYFUNCTION("""COMPUTED_VALUE"""),1571.0)</f>
        <v>1571</v>
      </c>
      <c r="F191" s="13">
        <f>IFERROR(__xludf.DUMMYFUNCTION("IFERROR(GOOGLEFINANCE(""NSE:""&amp;C191,""PRICE""),"""")"),1698.2)</f>
        <v>1698.2</v>
      </c>
      <c r="G191" s="14" t="str">
        <f t="shared" si="2"/>
        <v>CHART</v>
      </c>
    </row>
    <row r="192">
      <c r="A192" s="11" t="str">
        <f t="shared" si="3"/>
        <v/>
      </c>
      <c r="B192" s="12">
        <f>IFERROR(__xludf.DUMMYFUNCTION("""COMPUTED_VALUE"""),189.0)</f>
        <v>189</v>
      </c>
      <c r="C192" s="12" t="str">
        <f>IFERROR(__xludf.DUMMYFUNCTION("""COMPUTED_VALUE"""),"BDL")</f>
        <v>BDL</v>
      </c>
      <c r="D192" s="13">
        <f>IFERROR(__xludf.DUMMYFUNCTION("""COMPUTED_VALUE"""),1358.4)</f>
        <v>1358.4</v>
      </c>
      <c r="E192" s="13">
        <f>IFERROR(__xludf.DUMMYFUNCTION("""COMPUTED_VALUE"""),1272.3)</f>
        <v>1272.3</v>
      </c>
      <c r="F192" s="13">
        <f>IFERROR(__xludf.DUMMYFUNCTION("IFERROR(GOOGLEFINANCE(""NSE:""&amp;C192,""PRICE""),"""")"),1334.7)</f>
        <v>1334.7</v>
      </c>
      <c r="G192" s="14" t="str">
        <f t="shared" si="2"/>
        <v>CHART</v>
      </c>
    </row>
    <row r="193">
      <c r="A193" s="11" t="str">
        <f t="shared" si="3"/>
        <v/>
      </c>
      <c r="B193" s="12">
        <f>IFERROR(__xludf.DUMMYFUNCTION("""COMPUTED_VALUE"""),190.0)</f>
        <v>190</v>
      </c>
      <c r="C193" s="12" t="str">
        <f>IFERROR(__xludf.DUMMYFUNCTION("""COMPUTED_VALUE"""),"UNOMINDA")</f>
        <v>UNOMINDA</v>
      </c>
      <c r="D193" s="13">
        <f>IFERROR(__xludf.DUMMYFUNCTION("""COMPUTED_VALUE"""),1161.5)</f>
        <v>1161.5</v>
      </c>
      <c r="E193" s="13">
        <f>IFERROR(__xludf.DUMMYFUNCTION("""COMPUTED_VALUE"""),1007.5)</f>
        <v>1007.5</v>
      </c>
      <c r="F193" s="13">
        <f>IFERROR(__xludf.DUMMYFUNCTION("IFERROR(GOOGLEFINANCE(""NSE:""&amp;C193,""PRICE""),"""")"),1126.0)</f>
        <v>1126</v>
      </c>
      <c r="G193" s="14" t="str">
        <f t="shared" si="2"/>
        <v>CHART</v>
      </c>
    </row>
    <row r="194">
      <c r="A194" s="11" t="str">
        <f t="shared" si="3"/>
        <v>X</v>
      </c>
      <c r="B194" s="12">
        <f>IFERROR(__xludf.DUMMYFUNCTION("""COMPUTED_VALUE"""),191.0)</f>
        <v>191</v>
      </c>
      <c r="C194" s="12" t="str">
        <f>IFERROR(__xludf.DUMMYFUNCTION("""COMPUTED_VALUE"""),"IREDA")</f>
        <v>IREDA</v>
      </c>
      <c r="D194" s="13">
        <f>IFERROR(__xludf.DUMMYFUNCTION("""COMPUTED_VALUE"""),129.83)</f>
        <v>129.83</v>
      </c>
      <c r="E194" s="13">
        <f>IFERROR(__xludf.DUMMYFUNCTION("""COMPUTED_VALUE"""),122.5)</f>
        <v>122.5</v>
      </c>
      <c r="F194" s="13">
        <f>IFERROR(__xludf.DUMMYFUNCTION("IFERROR(GOOGLEFINANCE(""NSE:""&amp;C194,""PRICE""),"""")"),130.01)</f>
        <v>130.01</v>
      </c>
      <c r="G194" s="14" t="str">
        <f t="shared" si="2"/>
        <v>CHART</v>
      </c>
    </row>
    <row r="195">
      <c r="A195" s="11" t="str">
        <f t="shared" si="3"/>
        <v/>
      </c>
      <c r="B195" s="12">
        <f>IFERROR(__xludf.DUMMYFUNCTION("""COMPUTED_VALUE"""),192.0)</f>
        <v>192</v>
      </c>
      <c r="C195" s="12" t="str">
        <f>IFERROR(__xludf.DUMMYFUNCTION("""COMPUTED_VALUE"""),"FORTIS")</f>
        <v>FORTIS</v>
      </c>
      <c r="D195" s="13">
        <f>IFERROR(__xludf.DUMMYFUNCTION("""COMPUTED_VALUE"""),992.7)</f>
        <v>992.7</v>
      </c>
      <c r="E195" s="13">
        <f>IFERROR(__xludf.DUMMYFUNCTION("""COMPUTED_VALUE"""),945.1)</f>
        <v>945.1</v>
      </c>
      <c r="F195" s="13">
        <f>IFERROR(__xludf.DUMMYFUNCTION("IFERROR(GOOGLEFINANCE(""NSE:""&amp;C195,""PRICE""),"""")"),959.4)</f>
        <v>959.4</v>
      </c>
      <c r="G195" s="14" t="str">
        <f t="shared" si="2"/>
        <v>CHART</v>
      </c>
    </row>
    <row r="196">
      <c r="A196" s="11" t="str">
        <f t="shared" si="3"/>
        <v/>
      </c>
      <c r="B196" s="12">
        <f>IFERROR(__xludf.DUMMYFUNCTION("""COMPUTED_VALUE"""),193.0)</f>
        <v>193</v>
      </c>
      <c r="C196" s="12" t="str">
        <f>IFERROR(__xludf.DUMMYFUNCTION("""COMPUTED_VALUE"""),"IEX")</f>
        <v>IEX</v>
      </c>
      <c r="D196" s="13">
        <f>IFERROR(__xludf.DUMMYFUNCTION("""COMPUTED_VALUE"""),127.5)</f>
        <v>127.5</v>
      </c>
      <c r="E196" s="13">
        <f>IFERROR(__xludf.DUMMYFUNCTION("""COMPUTED_VALUE"""),121.47)</f>
        <v>121.47</v>
      </c>
      <c r="F196" s="13">
        <f>IFERROR(__xludf.DUMMYFUNCTION("IFERROR(GOOGLEFINANCE(""NSE:""&amp;C196,""PRICE""),"""")"),126.98)</f>
        <v>126.98</v>
      </c>
      <c r="G196" s="14" t="str">
        <f t="shared" si="2"/>
        <v>CHART</v>
      </c>
    </row>
    <row r="197">
      <c r="A197" s="11" t="str">
        <f t="shared" si="3"/>
        <v/>
      </c>
      <c r="B197" s="12">
        <f>IFERROR(__xludf.DUMMYFUNCTION("""COMPUTED_VALUE"""),194.0)</f>
        <v>194</v>
      </c>
      <c r="C197" s="12" t="str">
        <f>IFERROR(__xludf.DUMMYFUNCTION("""COMPUTED_VALUE"""),"PHOENIXLTD")</f>
        <v>PHOENIXLTD</v>
      </c>
      <c r="D197" s="13">
        <f>IFERROR(__xludf.DUMMYFUNCTION("""COMPUTED_VALUE"""),1805.0)</f>
        <v>1805</v>
      </c>
      <c r="E197" s="13">
        <f>IFERROR(__xludf.DUMMYFUNCTION("""COMPUTED_VALUE"""),1688.0)</f>
        <v>1688</v>
      </c>
      <c r="F197" s="13">
        <f>IFERROR(__xludf.DUMMYFUNCTION("IFERROR(GOOGLEFINANCE(""NSE:""&amp;C197,""PRICE""),"""")"),1784.5)</f>
        <v>1784.5</v>
      </c>
      <c r="G197" s="14" t="str">
        <f t="shared" si="2"/>
        <v>CHART</v>
      </c>
    </row>
    <row r="198">
      <c r="A198" s="11" t="str">
        <f t="shared" si="3"/>
        <v/>
      </c>
      <c r="B198" s="12">
        <f>IFERROR(__xludf.DUMMYFUNCTION("""COMPUTED_VALUE"""),195.0)</f>
        <v>195</v>
      </c>
      <c r="C198" s="12" t="str">
        <f>IFERROR(__xludf.DUMMYFUNCTION("""COMPUTED_VALUE"""),"UNITDSPR")</f>
        <v>UNITDSPR</v>
      </c>
      <c r="D198" s="13">
        <f>IFERROR(__xludf.DUMMYFUNCTION("""COMPUTED_VALUE"""),1342.1)</f>
        <v>1342.1</v>
      </c>
      <c r="E198" s="13">
        <f>IFERROR(__xludf.DUMMYFUNCTION("""COMPUTED_VALUE"""),1270.1)</f>
        <v>1270.1</v>
      </c>
      <c r="F198" s="13">
        <f>IFERROR(__xludf.DUMMYFUNCTION("IFERROR(GOOGLEFINANCE(""NSE:""&amp;C198,""PRICE""),"""")"),1303.4)</f>
        <v>1303.4</v>
      </c>
      <c r="G198" s="14" t="str">
        <f t="shared" si="2"/>
        <v>CHART</v>
      </c>
    </row>
    <row r="199">
      <c r="A199" s="11" t="str">
        <f t="shared" si="3"/>
        <v/>
      </c>
      <c r="B199" s="12">
        <f>IFERROR(__xludf.DUMMYFUNCTION("""COMPUTED_VALUE"""),196.0)</f>
        <v>196</v>
      </c>
      <c r="C199" s="12" t="str">
        <f>IFERROR(__xludf.DUMMYFUNCTION("""COMPUTED_VALUE"""),"LICHSGFIN")</f>
        <v>LICHSGFIN</v>
      </c>
      <c r="D199" s="13">
        <f>IFERROR(__xludf.DUMMYFUNCTION("""COMPUTED_VALUE"""),564.0)</f>
        <v>564</v>
      </c>
      <c r="E199" s="13">
        <f>IFERROR(__xludf.DUMMYFUNCTION("""COMPUTED_VALUE"""),533.75)</f>
        <v>533.75</v>
      </c>
      <c r="F199" s="13">
        <f>IFERROR(__xludf.DUMMYFUNCTION("IFERROR(GOOGLEFINANCE(""NSE:""&amp;C199,""PRICE""),"""")"),545.3)</f>
        <v>545.3</v>
      </c>
      <c r="G199" s="14" t="str">
        <f t="shared" si="2"/>
        <v>CHART</v>
      </c>
    </row>
    <row r="200">
      <c r="A200" s="11" t="str">
        <f t="shared" si="3"/>
        <v>X</v>
      </c>
      <c r="B200" s="12">
        <f>IFERROR(__xludf.DUMMYFUNCTION("""COMPUTED_VALUE"""),197.0)</f>
        <v>197</v>
      </c>
      <c r="C200" s="12" t="str">
        <f>IFERROR(__xludf.DUMMYFUNCTION("""COMPUTED_VALUE"""),"DALBHARAT")</f>
        <v>DALBHARAT</v>
      </c>
      <c r="D200" s="13">
        <f>IFERROR(__xludf.DUMMYFUNCTION("""COMPUTED_VALUE"""),1770.5)</f>
        <v>1770.5</v>
      </c>
      <c r="E200" s="13">
        <f>IFERROR(__xludf.DUMMYFUNCTION("""COMPUTED_VALUE"""),1675.1)</f>
        <v>1675.1</v>
      </c>
      <c r="F200" s="13">
        <f>IFERROR(__xludf.DUMMYFUNCTION("IFERROR(GOOGLEFINANCE(""NSE:""&amp;C200,""PRICE""),"""")"),1800.6)</f>
        <v>1800.6</v>
      </c>
      <c r="G200" s="14" t="str">
        <f t="shared" si="2"/>
        <v>CHART</v>
      </c>
    </row>
    <row r="201">
      <c r="A201" s="11" t="str">
        <f t="shared" si="3"/>
        <v/>
      </c>
      <c r="B201" s="12">
        <f>IFERROR(__xludf.DUMMYFUNCTION("""COMPUTED_VALUE"""),198.0)</f>
        <v>198</v>
      </c>
      <c r="C201" s="12" t="str">
        <f>IFERROR(__xludf.DUMMYFUNCTION("""COMPUTED_VALUE"""),"IRFC")</f>
        <v>IRFC</v>
      </c>
      <c r="D201" s="13">
        <f>IFERROR(__xludf.DUMMYFUNCTION("""COMPUTED_VALUE"""),100.93)</f>
        <v>100.93</v>
      </c>
      <c r="E201" s="13">
        <f>IFERROR(__xludf.DUMMYFUNCTION("""COMPUTED_VALUE"""),95.17)</f>
        <v>95.17</v>
      </c>
      <c r="F201" s="13">
        <f>IFERROR(__xludf.DUMMYFUNCTION("IFERROR(GOOGLEFINANCE(""NSE:""&amp;C201,""PRICE""),"""")"),99.54)</f>
        <v>99.54</v>
      </c>
      <c r="G201" s="14" t="str">
        <f t="shared" si="2"/>
        <v>CHART</v>
      </c>
    </row>
    <row r="202">
      <c r="A202" s="11" t="str">
        <f t="shared" si="3"/>
        <v>Y</v>
      </c>
      <c r="B202" s="12">
        <f>IFERROR(__xludf.DUMMYFUNCTION("""COMPUTED_VALUE"""),199.0)</f>
        <v>199</v>
      </c>
      <c r="C202" s="12" t="str">
        <f>IFERROR(__xludf.DUMMYFUNCTION("""COMPUTED_VALUE"""),"MANKIND")</f>
        <v>MANKIND</v>
      </c>
      <c r="D202" s="13">
        <f>IFERROR(__xludf.DUMMYFUNCTION("""COMPUTED_VALUE"""),2638.6)</f>
        <v>2638.6</v>
      </c>
      <c r="E202" s="13">
        <f>IFERROR(__xludf.DUMMYFUNCTION("""COMPUTED_VALUE"""),2449.3)</f>
        <v>2449.3</v>
      </c>
      <c r="F202" s="13">
        <f>IFERROR(__xludf.DUMMYFUNCTION("IFERROR(GOOGLEFINANCE(""NSE:""&amp;C202,""PRICE""),"""")"),2422.5)</f>
        <v>2422.5</v>
      </c>
      <c r="G202" s="14" t="str">
        <f t="shared" si="2"/>
        <v>CHART</v>
      </c>
    </row>
    <row r="203">
      <c r="A203" s="11" t="str">
        <f t="shared" si="3"/>
        <v/>
      </c>
      <c r="B203" s="12">
        <f>IFERROR(__xludf.DUMMYFUNCTION("""COMPUTED_VALUE"""),200.0)</f>
        <v>200</v>
      </c>
      <c r="C203" s="12" t="str">
        <f>IFERROR(__xludf.DUMMYFUNCTION("""COMPUTED_VALUE"""),"ALKEM")</f>
        <v>ALKEM</v>
      </c>
      <c r="D203" s="13">
        <f>IFERROR(__xludf.DUMMYFUNCTION("""COMPUTED_VALUE"""),5638.5)</f>
        <v>5638.5</v>
      </c>
      <c r="E203" s="13">
        <f>IFERROR(__xludf.DUMMYFUNCTION("""COMPUTED_VALUE"""),5390.0)</f>
        <v>5390</v>
      </c>
      <c r="F203" s="13">
        <f>IFERROR(__xludf.DUMMYFUNCTION("IFERROR(GOOGLEFINANCE(""NSE:""&amp;C203,""PRICE""),"""")"),5399.5)</f>
        <v>5399.5</v>
      </c>
      <c r="G203" s="14" t="str">
        <f t="shared" si="2"/>
        <v>CHART</v>
      </c>
    </row>
  </sheetData>
  <mergeCells count="1">
    <mergeCell ref="B1:G1"/>
  </mergeCells>
  <conditionalFormatting sqref="F4:F203">
    <cfRule type="expression" dxfId="0" priority="1">
      <formula>A4="X"</formula>
    </cfRule>
  </conditionalFormatting>
  <conditionalFormatting sqref="F4:F203">
    <cfRule type="expression" dxfId="1" priority="2">
      <formula>A4="Y"</formula>
    </cfRule>
  </conditionalFormatting>
  <hyperlinks>
    <hyperlink r:id="rId1" ref="H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13"/>
    <col customWidth="1" min="2" max="2" width="5.25"/>
    <col customWidth="1" min="3" max="3" width="15.75"/>
    <col customWidth="1" min="4" max="7" width="8.38"/>
    <col customWidth="1" min="8" max="8" width="10.38"/>
    <col customWidth="1" min="9" max="9" width="8.88"/>
    <col customWidth="1" min="10" max="10" width="12.0"/>
    <col customWidth="1" min="11" max="11" width="4.63"/>
    <col customWidth="1" min="12" max="12" width="13.5"/>
    <col customWidth="1" min="13" max="13" width="7.63"/>
    <col customWidth="1" hidden="1" min="14" max="14" width="3.13"/>
    <col customWidth="1" min="15" max="15" width="10.0"/>
    <col customWidth="1" min="16" max="16" width="2.0"/>
    <col customWidth="1" min="17" max="17" width="5.5"/>
    <col customWidth="1" min="18" max="18" width="14.5"/>
    <col customWidth="1" min="19" max="19" width="7.5"/>
    <col customWidth="1" hidden="1" min="20" max="20" width="5.88"/>
    <col customWidth="1" min="21" max="23" width="7.88"/>
    <col customWidth="1" min="24" max="24" width="11.88"/>
    <col customWidth="1" min="25" max="26" width="7.88"/>
  </cols>
  <sheetData>
    <row r="1">
      <c r="B1" s="4" t="s">
        <v>16</v>
      </c>
      <c r="L1" s="22" t="str">
        <f>HYPERLINK("https://www.youtube.com/channel/UCDbfoNplY71wi5e_qiO_szg?view_as=subscriber","SUBSCRIBE")</f>
        <v>SUBSCRIBE</v>
      </c>
      <c r="O1" s="18"/>
      <c r="P1" s="23"/>
      <c r="Q1" s="18" t="s">
        <v>17</v>
      </c>
    </row>
    <row r="2">
      <c r="B2" s="24" t="str">
        <f>IFERROR(__xludf.DUMMYFUNCTION("IMPORTRANGE(""1PCXNsBSpUGPqmNqCbCH6zcHMM6vPMwil9lVfWp5vb4s"",""COMBO!J1:P201"")"),"No.")</f>
        <v>No.</v>
      </c>
      <c r="C2" s="24" t="str">
        <f>IFERROR(__xludf.DUMMYFUNCTION("""COMPUTED_VALUE"""),"SYMBOL")</f>
        <v>SYMBOL</v>
      </c>
      <c r="D2" s="24" t="str">
        <f>IFERROR(__xludf.DUMMYFUNCTION("""COMPUTED_VALUE"""),"RSI")</f>
        <v>RSI</v>
      </c>
      <c r="E2" s="25" t="str">
        <f>IFERROR(__xludf.DUMMYFUNCTION("""COMPUTED_VALUE"""),"ADX")</f>
        <v>ADX</v>
      </c>
      <c r="F2" s="24" t="str">
        <f>IFERROR(__xludf.DUMMYFUNCTION("""COMPUTED_VALUE"""),"DM +")</f>
        <v>DM +</v>
      </c>
      <c r="G2" s="25" t="str">
        <f>IFERROR(__xludf.DUMMYFUNCTION("""COMPUTED_VALUE"""),"DM -")</f>
        <v>DM -</v>
      </c>
      <c r="H2" s="24" t="str">
        <f>IFERROR(__xludf.DUMMYFUNCTION("""COMPUTED_VALUE"""),"REMARKS")</f>
        <v>REMARKS</v>
      </c>
      <c r="I2" s="26" t="s">
        <v>18</v>
      </c>
      <c r="K2" s="26">
        <f>IFERROR(__xludf.DUMMYFUNCTION("IMPORTRANGE(""1PCXNsBSpUGPqmNqCbCH6zcHMM6vPMwil9lVfWp5vb4s"",""COMBO!S1:V26"")"),8.0)</f>
        <v>8</v>
      </c>
      <c r="L2" s="26" t="str">
        <f>IFERROR(__xludf.DUMMYFUNCTION("""COMPUTED_VALUE"""),"SYMBOL")</f>
        <v>SYMBOL</v>
      </c>
      <c r="M2" s="26" t="str">
        <f>IFERROR(__xludf.DUMMYFUNCTION("""COMPUTED_VALUE"""),"RANK")</f>
        <v>RANK</v>
      </c>
      <c r="N2" s="27"/>
      <c r="O2" s="26" t="s">
        <v>18</v>
      </c>
      <c r="P2" s="23"/>
      <c r="Q2" s="26">
        <f>IFERROR(__xludf.DUMMYFUNCTION("IMPORTRANGE(""1PCXNsBSpUGPqmNqCbCH6zcHMM6vPMwil9lVfWp5vb4s"",""COMBO!W1:Z26"")"),6.0)</f>
        <v>6</v>
      </c>
      <c r="R2" s="26" t="str">
        <f>IFERROR(__xludf.DUMMYFUNCTION("""COMPUTED_VALUE"""),"SYMBOL")</f>
        <v>SYMBOL</v>
      </c>
      <c r="S2" s="26" t="str">
        <f>IFERROR(__xludf.DUMMYFUNCTION("""COMPUTED_VALUE"""),"RANK")</f>
        <v>RANK</v>
      </c>
      <c r="T2" s="27" t="str">
        <f>IFERROR(__xludf.DUMMYFUNCTION("""COMPUTED_VALUE"""),"")</f>
        <v/>
      </c>
      <c r="U2" s="26" t="s">
        <v>18</v>
      </c>
      <c r="V2" s="28"/>
      <c r="W2" s="28"/>
      <c r="X2" s="28" t="str">
        <f>IFERROR(__xludf.DUMMYFUNCTION("IMPORTRANGE(""1K7O3rY24rZMYf-Syxe54FY5AtpLkJvD_Cgr9wcfWRE0"",""COMBO!AX1:AX21"")"),"SYMBOL")</f>
        <v>SYMBOL</v>
      </c>
      <c r="Y2" s="28"/>
      <c r="Z2" s="28"/>
    </row>
    <row r="3">
      <c r="A3" s="29" t="str">
        <f t="shared" ref="A3:A52" si="1">IF(H3&gt;E3,"X",IF(H3&lt;F3,"Y",""))</f>
        <v>X</v>
      </c>
      <c r="B3" s="12">
        <f>IFERROR(__xludf.DUMMYFUNCTION("""COMPUTED_VALUE"""),1.0)</f>
        <v>1</v>
      </c>
      <c r="C3" s="12" t="str">
        <f>IFERROR(__xludf.DUMMYFUNCTION("""COMPUTED_VALUE"""),"COALINDIA")</f>
        <v>COALINDIA</v>
      </c>
      <c r="D3" s="30">
        <f>IFERROR(__xludf.DUMMYFUNCTION("""COMPUTED_VALUE"""),44.64185993873367)</f>
        <v>44.64185994</v>
      </c>
      <c r="E3" s="30">
        <f>IFERROR(__xludf.DUMMYFUNCTION("""COMPUTED_VALUE"""),8.890137456682861)</f>
        <v>8.890137457</v>
      </c>
      <c r="F3" s="30">
        <f>IFERROR(__xludf.DUMMYFUNCTION("""COMPUTED_VALUE"""),58.17315659948943)</f>
        <v>58.1731566</v>
      </c>
      <c r="G3" s="30">
        <f>IFERROR(__xludf.DUMMYFUNCTION("""COMPUTED_VALUE"""),69.33299182073107)</f>
        <v>69.33299182</v>
      </c>
      <c r="H3" s="31" t="str">
        <f>IFERROR(__xludf.DUMMYFUNCTION("""COMPUTED_VALUE"""),"")</f>
        <v/>
      </c>
      <c r="I3" s="14" t="str">
        <f t="shared" ref="I3:I202" si="2">IF(C3="","",HYPERLINK("https://in.tradingview.com/chart/?symbol=NSE:"&amp;C3,"CHART"))</f>
        <v>CHART</v>
      </c>
      <c r="K3" s="32">
        <f>IFERROR(__xludf.DUMMYFUNCTION("""COMPUTED_VALUE"""),1.0)</f>
        <v>1</v>
      </c>
      <c r="L3" s="32" t="str">
        <f>IFERROR(__xludf.DUMMYFUNCTION("""COMPUTED_VALUE"""),"BSE")</f>
        <v>BSE</v>
      </c>
      <c r="M3" s="32">
        <f>IFERROR(__xludf.DUMMYFUNCTION("""COMPUTED_VALUE"""),5.0)</f>
        <v>5</v>
      </c>
      <c r="N3" s="23" t="str">
        <f>IFERROR(__xludf.DUMMYFUNCTION("""COMPUTED_VALUE"""),"Y")</f>
        <v>Y</v>
      </c>
      <c r="O3" s="14" t="str">
        <f t="shared" ref="O3:O27" si="3">IF(L3="","",HYPERLINK("https://in.tradingview.com/chart/?symbol=NSE:"&amp;L3,"CHART"))</f>
        <v>CHART</v>
      </c>
      <c r="P3" s="23"/>
      <c r="Q3" s="32">
        <f>IFERROR(__xludf.DUMMYFUNCTION("""COMPUTED_VALUE"""),1.0)</f>
        <v>1</v>
      </c>
      <c r="R3" s="32" t="str">
        <f>IFERROR(__xludf.DUMMYFUNCTION("""COMPUTED_VALUE"""),"CONCOR")</f>
        <v>CONCOR</v>
      </c>
      <c r="S3" s="32">
        <f>IFERROR(__xludf.DUMMYFUNCTION("""COMPUTED_VALUE"""),-3.0)</f>
        <v>-3</v>
      </c>
      <c r="T3" s="33" t="str">
        <f>IFERROR(__xludf.DUMMYFUNCTION("""COMPUTED_VALUE"""),"#VALUE!")</f>
        <v>#VALUE!</v>
      </c>
      <c r="U3" s="14" t="str">
        <f t="shared" ref="U3:U27" si="4">IF(R3="","",HYPERLINK("https://in.tradingview.com/chart/?symbol=NSE:"&amp;R3,"CHART"))</f>
        <v>CHART</v>
      </c>
      <c r="V3" s="28" t="str">
        <f>IFERROR(__xludf.DUMMYFUNCTION("IF(L3="""","""",IF(GOOGLEFINANCE(""NSE:""&amp;L3)&gt;0.994*GOOGLEFINANCE(""NSE:""&amp;L3,""HIGH""),""X"",""""))"),"")</f>
        <v/>
      </c>
      <c r="W3" s="28" t="str">
        <f>IFERROR(__xludf.DUMMYFUNCTION("IF(R3="""","""",IF(GOOGLEFINANCE(""NSE:""&amp;R3)&lt;1.006*GOOGLEFINANCE(""NSE:""&amp;R3,""LOW""),""X"",""""))"),"X")</f>
        <v>X</v>
      </c>
      <c r="X3" s="28" t="str">
        <f>IFERROR(__xludf.DUMMYFUNCTION("""COMPUTED_VALUE"""),"")</f>
        <v/>
      </c>
      <c r="Y3" s="28" t="str">
        <f t="shared" ref="Y3:Y17" si="5">IFERROR(IF(L3="","",IF(L3=VLOOKUP(L3,X$3:X$52,1,0),"X","")),"")</f>
        <v/>
      </c>
      <c r="Z3" s="28" t="str">
        <f t="shared" ref="Z3:Z17" si="6">IFERROR(IF(R3="","",IF(R3=VLOOKUP(R3,X$3:X$52,1,0),"X","")),"")</f>
        <v/>
      </c>
    </row>
    <row r="4">
      <c r="A4" s="29" t="str">
        <f t="shared" si="1"/>
        <v>X</v>
      </c>
      <c r="B4" s="12">
        <f>IFERROR(__xludf.DUMMYFUNCTION("""COMPUTED_VALUE"""),2.0)</f>
        <v>2</v>
      </c>
      <c r="C4" s="12" t="str">
        <f>IFERROR(__xludf.DUMMYFUNCTION("""COMPUTED_VALUE"""),"HDFCBANK")</f>
        <v>HDFCBANK</v>
      </c>
      <c r="D4" s="30">
        <f>IFERROR(__xludf.DUMMYFUNCTION("""COMPUTED_VALUE"""),45.85898256362447)</f>
        <v>45.85898256</v>
      </c>
      <c r="E4" s="30">
        <f>IFERROR(__xludf.DUMMYFUNCTION("""COMPUTED_VALUE"""),18.91503430922143)</f>
        <v>18.91503431</v>
      </c>
      <c r="F4" s="30">
        <f>IFERROR(__xludf.DUMMYFUNCTION("""COMPUTED_VALUE"""),27.86737934152985)</f>
        <v>27.86737934</v>
      </c>
      <c r="G4" s="30">
        <f>IFERROR(__xludf.DUMMYFUNCTION("""COMPUTED_VALUE"""),34.29340320036315)</f>
        <v>34.2934032</v>
      </c>
      <c r="H4" s="31" t="str">
        <f>IFERROR(__xludf.DUMMYFUNCTION("""COMPUTED_VALUE"""),"NEUTRAL")</f>
        <v>NEUTRAL</v>
      </c>
      <c r="I4" s="14" t="str">
        <f t="shared" si="2"/>
        <v>CHART</v>
      </c>
      <c r="K4" s="32">
        <f>IFERROR(__xludf.DUMMYFUNCTION("""COMPUTED_VALUE"""),2.0)</f>
        <v>2</v>
      </c>
      <c r="L4" s="32" t="str">
        <f>IFERROR(__xludf.DUMMYFUNCTION("""COMPUTED_VALUE"""),"BHEL")</f>
        <v>BHEL</v>
      </c>
      <c r="M4" s="32">
        <f>IFERROR(__xludf.DUMMYFUNCTION("""COMPUTED_VALUE"""),5.0)</f>
        <v>5</v>
      </c>
      <c r="N4" s="23" t="str">
        <f>IFERROR(__xludf.DUMMYFUNCTION("""COMPUTED_VALUE"""),"Y")</f>
        <v>Y</v>
      </c>
      <c r="O4" s="14" t="str">
        <f t="shared" si="3"/>
        <v>CHART</v>
      </c>
      <c r="P4" s="23"/>
      <c r="Q4" s="32">
        <f>IFERROR(__xludf.DUMMYFUNCTION("""COMPUTED_VALUE"""),2.0)</f>
        <v>2</v>
      </c>
      <c r="R4" s="32" t="str">
        <f>IFERROR(__xludf.DUMMYFUNCTION("""COMPUTED_VALUE"""),"RVNL")</f>
        <v>RVNL</v>
      </c>
      <c r="S4" s="32">
        <f>IFERROR(__xludf.DUMMYFUNCTION("""COMPUTED_VALUE"""),-5.0)</f>
        <v>-5</v>
      </c>
      <c r="T4" s="33" t="str">
        <f>IFERROR(__xludf.DUMMYFUNCTION("""COMPUTED_VALUE"""),"R")</f>
        <v>R</v>
      </c>
      <c r="U4" s="14" t="str">
        <f t="shared" si="4"/>
        <v>CHART</v>
      </c>
      <c r="V4" s="28" t="str">
        <f>IFERROR(__xludf.DUMMYFUNCTION("IF(L4="""","""",IF(GOOGLEFINANCE(""NSE:""&amp;L4)&gt;0.994*GOOGLEFINANCE(""NSE:""&amp;L4,""HIGH""),""X"",""""))"),"")</f>
        <v/>
      </c>
      <c r="W4" s="28" t="str">
        <f>IFERROR(__xludf.DUMMYFUNCTION("IF(R4="""","""",IF(GOOGLEFINANCE(""NSE:""&amp;R4)&lt;1.006*GOOGLEFINANCE(""NSE:""&amp;R4,""LOW""),""X"",""""))"),"X")</f>
        <v>X</v>
      </c>
      <c r="X4" s="28" t="str">
        <f>IFERROR(__xludf.DUMMYFUNCTION("""COMPUTED_VALUE"""),"")</f>
        <v/>
      </c>
      <c r="Y4" s="28" t="str">
        <f t="shared" si="5"/>
        <v/>
      </c>
      <c r="Z4" s="28" t="str">
        <f t="shared" si="6"/>
        <v/>
      </c>
    </row>
    <row r="5">
      <c r="A5" s="29" t="str">
        <f t="shared" si="1"/>
        <v>X</v>
      </c>
      <c r="B5" s="12">
        <f>IFERROR(__xludf.DUMMYFUNCTION("""COMPUTED_VALUE"""),3.0)</f>
        <v>3</v>
      </c>
      <c r="C5" s="12" t="str">
        <f>IFERROR(__xludf.DUMMYFUNCTION("""COMPUTED_VALUE"""),"ADANIENT")</f>
        <v>ADANIENT</v>
      </c>
      <c r="D5" s="30">
        <f>IFERROR(__xludf.DUMMYFUNCTION("""COMPUTED_VALUE"""),81.05848867460237)</f>
        <v>81.05848867</v>
      </c>
      <c r="E5" s="30">
        <f>IFERROR(__xludf.DUMMYFUNCTION("""COMPUTED_VALUE"""),50.03146154900755)</f>
        <v>50.03146155</v>
      </c>
      <c r="F5" s="30">
        <f>IFERROR(__xludf.DUMMYFUNCTION("""COMPUTED_VALUE"""),57.969447466112534)</f>
        <v>57.96944747</v>
      </c>
      <c r="G5" s="30">
        <f>IFERROR(__xludf.DUMMYFUNCTION("""COMPUTED_VALUE"""),9.335850146437545)</f>
        <v>9.335850146</v>
      </c>
      <c r="H5" s="31" t="str">
        <f>IFERROR(__xludf.DUMMYFUNCTION("""COMPUTED_VALUE"""),"")</f>
        <v/>
      </c>
      <c r="I5" s="14" t="str">
        <f t="shared" si="2"/>
        <v>CHART</v>
      </c>
      <c r="K5" s="32">
        <f>IFERROR(__xludf.DUMMYFUNCTION("""COMPUTED_VALUE"""),3.0)</f>
        <v>3</v>
      </c>
      <c r="L5" s="32" t="str">
        <f>IFERROR(__xludf.DUMMYFUNCTION("""COMPUTED_VALUE"""),"IDEA")</f>
        <v>IDEA</v>
      </c>
      <c r="M5" s="32">
        <f>IFERROR(__xludf.DUMMYFUNCTION("""COMPUTED_VALUE"""),5.0)</f>
        <v>5</v>
      </c>
      <c r="N5" s="23" t="str">
        <f>IFERROR(__xludf.DUMMYFUNCTION("""COMPUTED_VALUE"""),"Y")</f>
        <v>Y</v>
      </c>
      <c r="O5" s="14" t="str">
        <f t="shared" si="3"/>
        <v>CHART</v>
      </c>
      <c r="P5" s="23"/>
      <c r="Q5" s="32">
        <f>IFERROR(__xludf.DUMMYFUNCTION("""COMPUTED_VALUE"""),3.0)</f>
        <v>3</v>
      </c>
      <c r="R5" s="32" t="str">
        <f>IFERROR(__xludf.DUMMYFUNCTION("""COMPUTED_VALUE"""),"PGEL")</f>
        <v>PGEL</v>
      </c>
      <c r="S5" s="32">
        <f>IFERROR(__xludf.DUMMYFUNCTION("""COMPUTED_VALUE"""),-3.0)</f>
        <v>-3</v>
      </c>
      <c r="T5" s="34" t="str">
        <f>IFERROR(__xludf.DUMMYFUNCTION("""COMPUTED_VALUE"""),"Y")</f>
        <v>Y</v>
      </c>
      <c r="U5" s="14" t="str">
        <f t="shared" si="4"/>
        <v>CHART</v>
      </c>
      <c r="V5" s="28" t="str">
        <f>IFERROR(__xludf.DUMMYFUNCTION("IF(L5="""","""",IF(GOOGLEFINANCE(""NSE:""&amp;L5)&gt;0.994*GOOGLEFINANCE(""NSE:""&amp;L5,""HIGH""),""X"",""""))"),"X")</f>
        <v>X</v>
      </c>
      <c r="W5" s="28" t="str">
        <f>IFERROR(__xludf.DUMMYFUNCTION("IF(R5="""","""",IF(GOOGLEFINANCE(""NSE:""&amp;R5)&lt;1.006*GOOGLEFINANCE(""NSE:""&amp;R5,""LOW""),""X"",""""))"),"")</f>
        <v/>
      </c>
      <c r="X5" s="28" t="str">
        <f>IFERROR(__xludf.DUMMYFUNCTION("""COMPUTED_VALUE"""),"")</f>
        <v/>
      </c>
      <c r="Y5" s="28" t="str">
        <f t="shared" si="5"/>
        <v/>
      </c>
      <c r="Z5" s="28" t="str">
        <f t="shared" si="6"/>
        <v/>
      </c>
    </row>
    <row r="6">
      <c r="A6" s="29" t="str">
        <f t="shared" si="1"/>
        <v>X</v>
      </c>
      <c r="B6" s="12">
        <f>IFERROR(__xludf.DUMMYFUNCTION("""COMPUTED_VALUE"""),4.0)</f>
        <v>4</v>
      </c>
      <c r="C6" s="12" t="str">
        <f>IFERROR(__xludf.DUMMYFUNCTION("""COMPUTED_VALUE"""),"ADANIENSOL")</f>
        <v>ADANIENSOL</v>
      </c>
      <c r="D6" s="30">
        <f>IFERROR(__xludf.DUMMYFUNCTION("""COMPUTED_VALUE"""),75.34422346156205)</f>
        <v>75.34422346</v>
      </c>
      <c r="E6" s="30">
        <f>IFERROR(__xludf.DUMMYFUNCTION("""COMPUTED_VALUE"""),19.279252102664035)</f>
        <v>19.2792521</v>
      </c>
      <c r="F6" s="30">
        <f>IFERROR(__xludf.DUMMYFUNCTION("""COMPUTED_VALUE"""),37.7549293418894)</f>
        <v>37.75492934</v>
      </c>
      <c r="G6" s="30">
        <f>IFERROR(__xludf.DUMMYFUNCTION("""COMPUTED_VALUE"""),16.69854816689189)</f>
        <v>16.69854817</v>
      </c>
      <c r="H6" s="31" t="str">
        <f>IFERROR(__xludf.DUMMYFUNCTION("""COMPUTED_VALUE"""),"")</f>
        <v/>
      </c>
      <c r="I6" s="14" t="str">
        <f t="shared" si="2"/>
        <v>CHART</v>
      </c>
      <c r="K6" s="32">
        <f>IFERROR(__xludf.DUMMYFUNCTION("""COMPUTED_VALUE"""),4.0)</f>
        <v>4</v>
      </c>
      <c r="L6" s="32" t="str">
        <f>IFERROR(__xludf.DUMMYFUNCTION("""COMPUTED_VALUE"""),"LAURUSLABS")</f>
        <v>LAURUSLABS</v>
      </c>
      <c r="M6" s="32">
        <f>IFERROR(__xludf.DUMMYFUNCTION("""COMPUTED_VALUE"""),5.0)</f>
        <v>5</v>
      </c>
      <c r="N6" s="23" t="str">
        <f>IFERROR(__xludf.DUMMYFUNCTION("""COMPUTED_VALUE"""),"Y")</f>
        <v>Y</v>
      </c>
      <c r="O6" s="14" t="str">
        <f t="shared" si="3"/>
        <v>CHART</v>
      </c>
      <c r="P6" s="23"/>
      <c r="Q6" s="32">
        <f>IFERROR(__xludf.DUMMYFUNCTION("""COMPUTED_VALUE"""),4.0)</f>
        <v>4</v>
      </c>
      <c r="R6" s="32" t="str">
        <f>IFERROR(__xludf.DUMMYFUNCTION("""COMPUTED_VALUE"""),"KALYANKJIL")</f>
        <v>KALYANKJIL</v>
      </c>
      <c r="S6" s="32">
        <f>IFERROR(__xludf.DUMMYFUNCTION("""COMPUTED_VALUE"""),-3.0)</f>
        <v>-3</v>
      </c>
      <c r="T6" s="34" t="str">
        <f>IFERROR(__xludf.DUMMYFUNCTION("""COMPUTED_VALUE"""),"Y")</f>
        <v>Y</v>
      </c>
      <c r="U6" s="14" t="str">
        <f t="shared" si="4"/>
        <v>CHART</v>
      </c>
      <c r="V6" s="28" t="str">
        <f>IFERROR(__xludf.DUMMYFUNCTION("IF(L6="""","""",IF(GOOGLEFINANCE(""NSE:""&amp;L6)&gt;0.994*GOOGLEFINANCE(""NSE:""&amp;L6,""HIGH""),""X"",""""))"),"X")</f>
        <v>X</v>
      </c>
      <c r="W6" s="28" t="str">
        <f>IFERROR(__xludf.DUMMYFUNCTION("IF(R6="""","""",IF(GOOGLEFINANCE(""NSE:""&amp;R6)&lt;1.006*GOOGLEFINANCE(""NSE:""&amp;R6,""LOW""),""X"",""""))"),"X")</f>
        <v>X</v>
      </c>
      <c r="X6" s="28" t="str">
        <f>IFERROR(__xludf.DUMMYFUNCTION("""COMPUTED_VALUE"""),"")</f>
        <v/>
      </c>
      <c r="Y6" s="28" t="str">
        <f t="shared" si="5"/>
        <v/>
      </c>
      <c r="Z6" s="28" t="str">
        <f t="shared" si="6"/>
        <v/>
      </c>
    </row>
    <row r="7">
      <c r="A7" s="29" t="str">
        <f t="shared" si="1"/>
        <v>X</v>
      </c>
      <c r="B7" s="12">
        <f>IFERROR(__xludf.DUMMYFUNCTION("""COMPUTED_VALUE"""),5.0)</f>
        <v>5</v>
      </c>
      <c r="C7" s="12" t="str">
        <f>IFERROR(__xludf.DUMMYFUNCTION("""COMPUTED_VALUE"""),"HINDALCO")</f>
        <v>HINDALCO</v>
      </c>
      <c r="D7" s="30">
        <f>IFERROR(__xludf.DUMMYFUNCTION("""COMPUTED_VALUE"""),68.257451283382)</f>
        <v>68.25745128</v>
      </c>
      <c r="E7" s="30">
        <f>IFERROR(__xludf.DUMMYFUNCTION("""COMPUTED_VALUE"""),29.58116727028384)</f>
        <v>29.58116727</v>
      </c>
      <c r="F7" s="30">
        <f>IFERROR(__xludf.DUMMYFUNCTION("""COMPUTED_VALUE"""),39.593510979321806)</f>
        <v>39.59351098</v>
      </c>
      <c r="G7" s="30">
        <f>IFERROR(__xludf.DUMMYFUNCTION("""COMPUTED_VALUE"""),16.891598055632087)</f>
        <v>16.89159806</v>
      </c>
      <c r="H7" s="31" t="str">
        <f>IFERROR(__xludf.DUMMYFUNCTION("""COMPUTED_VALUE"""),"")</f>
        <v/>
      </c>
      <c r="I7" s="14" t="str">
        <f t="shared" si="2"/>
        <v>CHART</v>
      </c>
      <c r="K7" s="32">
        <f>IFERROR(__xludf.DUMMYFUNCTION("""COMPUTED_VALUE"""),5.0)</f>
        <v>5</v>
      </c>
      <c r="L7" s="32" t="str">
        <f>IFERROR(__xludf.DUMMYFUNCTION("""COMPUTED_VALUE"""),"BIOCON")</f>
        <v>BIOCON</v>
      </c>
      <c r="M7" s="32">
        <f>IFERROR(__xludf.DUMMYFUNCTION("""COMPUTED_VALUE"""),5.0)</f>
        <v>5</v>
      </c>
      <c r="N7" s="23" t="str">
        <f>IFERROR(__xludf.DUMMYFUNCTION("""COMPUTED_VALUE"""),"Y")</f>
        <v>Y</v>
      </c>
      <c r="O7" s="14" t="str">
        <f t="shared" si="3"/>
        <v>CHART</v>
      </c>
      <c r="P7" s="23"/>
      <c r="Q7" s="32">
        <f>IFERROR(__xludf.DUMMYFUNCTION("""COMPUTED_VALUE"""),5.0)</f>
        <v>5</v>
      </c>
      <c r="R7" s="32" t="str">
        <f>IFERROR(__xludf.DUMMYFUNCTION("""COMPUTED_VALUE"""),"DMART")</f>
        <v>DMART</v>
      </c>
      <c r="S7" s="32">
        <f>IFERROR(__xludf.DUMMYFUNCTION("""COMPUTED_VALUE"""),-4.0)</f>
        <v>-4</v>
      </c>
      <c r="T7" s="34" t="str">
        <f>IFERROR(__xludf.DUMMYFUNCTION("""COMPUTED_VALUE"""),"Y")</f>
        <v>Y</v>
      </c>
      <c r="U7" s="14" t="str">
        <f t="shared" si="4"/>
        <v>CHART</v>
      </c>
      <c r="V7" s="28" t="str">
        <f>IFERROR(__xludf.DUMMYFUNCTION("IF(L7="""","""",IF(GOOGLEFINANCE(""NSE:""&amp;L7)&gt;0.994*GOOGLEFINANCE(""NSE:""&amp;L7,""HIGH""),""X"",""""))"),"")</f>
        <v/>
      </c>
      <c r="W7" s="28" t="str">
        <f>IFERROR(__xludf.DUMMYFUNCTION("IF(R7="""","""",IF(GOOGLEFINANCE(""NSE:""&amp;R7)&lt;1.006*GOOGLEFINANCE(""NSE:""&amp;R7,""LOW""),""X"",""""))"),"X")</f>
        <v>X</v>
      </c>
      <c r="X7" s="28" t="str">
        <f>IFERROR(__xludf.DUMMYFUNCTION("""COMPUTED_VALUE"""),"")</f>
        <v/>
      </c>
      <c r="Y7" s="28" t="str">
        <f t="shared" si="5"/>
        <v/>
      </c>
      <c r="Z7" s="28" t="str">
        <f t="shared" si="6"/>
        <v/>
      </c>
    </row>
    <row r="8">
      <c r="A8" s="29" t="str">
        <f t="shared" si="1"/>
        <v>X</v>
      </c>
      <c r="B8" s="12">
        <f>IFERROR(__xludf.DUMMYFUNCTION("""COMPUTED_VALUE"""),6.0)</f>
        <v>6</v>
      </c>
      <c r="C8" s="12" t="str">
        <f>IFERROR(__xludf.DUMMYFUNCTION("""COMPUTED_VALUE"""),"ADANIPOWER")</f>
        <v>ADANIPOWER</v>
      </c>
      <c r="D8" s="30">
        <f>IFERROR(__xludf.DUMMYFUNCTION("""COMPUTED_VALUE"""),76.78561929417646)</f>
        <v>76.78561929</v>
      </c>
      <c r="E8" s="30">
        <f>IFERROR(__xludf.DUMMYFUNCTION("""COMPUTED_VALUE"""),32.367986968088395)</f>
        <v>32.36798697</v>
      </c>
      <c r="F8" s="30">
        <f>IFERROR(__xludf.DUMMYFUNCTION("""COMPUTED_VALUE"""),48.01326929054544)</f>
        <v>48.01326929</v>
      </c>
      <c r="G8" s="30">
        <f>IFERROR(__xludf.DUMMYFUNCTION("""COMPUTED_VALUE"""),14.08212365436779)</f>
        <v>14.08212365</v>
      </c>
      <c r="H8" s="31" t="str">
        <f>IFERROR(__xludf.DUMMYFUNCTION("""COMPUTED_VALUE"""),"")</f>
        <v/>
      </c>
      <c r="I8" s="14" t="str">
        <f t="shared" si="2"/>
        <v>CHART</v>
      </c>
      <c r="K8" s="32">
        <f>IFERROR(__xludf.DUMMYFUNCTION("""COMPUTED_VALUE"""),6.0)</f>
        <v>6</v>
      </c>
      <c r="L8" s="32" t="str">
        <f>IFERROR(__xludf.DUMMYFUNCTION("""COMPUTED_VALUE"""),"SOLARINDS")</f>
        <v>SOLARINDS</v>
      </c>
      <c r="M8" s="32">
        <f>IFERROR(__xludf.DUMMYFUNCTION("""COMPUTED_VALUE"""),5.0)</f>
        <v>5</v>
      </c>
      <c r="N8" s="23" t="str">
        <f>IFERROR(__xludf.DUMMYFUNCTION("""COMPUTED_VALUE"""),"Y")</f>
        <v>Y</v>
      </c>
      <c r="O8" s="14" t="str">
        <f t="shared" si="3"/>
        <v>CHART</v>
      </c>
      <c r="P8" s="23"/>
      <c r="Q8" s="32">
        <f>IFERROR(__xludf.DUMMYFUNCTION("""COMPUTED_VALUE"""),6.0)</f>
        <v>6</v>
      </c>
      <c r="R8" s="32" t="str">
        <f>IFERROR(__xludf.DUMMYFUNCTION("""COMPUTED_VALUE"""),"BRITANNIA")</f>
        <v>BRITANNIA</v>
      </c>
      <c r="S8" s="32">
        <f>IFERROR(__xludf.DUMMYFUNCTION("""COMPUTED_VALUE"""),-3.0)</f>
        <v>-3</v>
      </c>
      <c r="T8" s="34" t="str">
        <f>IFERROR(__xludf.DUMMYFUNCTION("""COMPUTED_VALUE"""),"Y")</f>
        <v>Y</v>
      </c>
      <c r="U8" s="14" t="str">
        <f t="shared" si="4"/>
        <v>CHART</v>
      </c>
      <c r="V8" s="28" t="str">
        <f>IFERROR(__xludf.DUMMYFUNCTION("IF(L8="""","""",IF(GOOGLEFINANCE(""NSE:""&amp;L8)&gt;0.994*GOOGLEFINANCE(""NSE:""&amp;L8,""HIGH""),""X"",""""))"),"X")</f>
        <v>X</v>
      </c>
      <c r="W8" s="28" t="str">
        <f>IFERROR(__xludf.DUMMYFUNCTION("IF(R8="""","""",IF(GOOGLEFINANCE(""NSE:""&amp;R8)&lt;1.006*GOOGLEFINANCE(""NSE:""&amp;R8,""LOW""),""X"",""""))"),"X")</f>
        <v>X</v>
      </c>
      <c r="X8" s="28" t="str">
        <f>IFERROR(__xludf.DUMMYFUNCTION("""COMPUTED_VALUE"""),"")</f>
        <v/>
      </c>
      <c r="Y8" s="28" t="str">
        <f t="shared" si="5"/>
        <v/>
      </c>
      <c r="Z8" s="28" t="str">
        <f t="shared" si="6"/>
        <v/>
      </c>
    </row>
    <row r="9">
      <c r="A9" s="29" t="str">
        <f t="shared" si="1"/>
        <v>Y</v>
      </c>
      <c r="B9" s="12">
        <f>IFERROR(__xludf.DUMMYFUNCTION("""COMPUTED_VALUE"""),7.0)</f>
        <v>7</v>
      </c>
      <c r="C9" s="12" t="str">
        <f>IFERROR(__xludf.DUMMYFUNCTION("""COMPUTED_VALUE"""),"BSE")</f>
        <v>BSE</v>
      </c>
      <c r="D9" s="30">
        <f>IFERROR(__xludf.DUMMYFUNCTION("""COMPUTED_VALUE"""),80.71764173074695)</f>
        <v>80.71764173</v>
      </c>
      <c r="E9" s="30">
        <f>IFERROR(__xludf.DUMMYFUNCTION("""COMPUTED_VALUE"""),55.591008663449934)</f>
        <v>55.59100866</v>
      </c>
      <c r="F9" s="30">
        <f>IFERROR(__xludf.DUMMYFUNCTION("""COMPUTED_VALUE"""),50.19384995444061)</f>
        <v>50.19384995</v>
      </c>
      <c r="G9" s="30">
        <f>IFERROR(__xludf.DUMMYFUNCTION("""COMPUTED_VALUE"""),5.6022400691082375)</f>
        <v>5.602240069</v>
      </c>
      <c r="H9" s="31">
        <f>IFERROR(__xludf.DUMMYFUNCTION("""COMPUTED_VALUE"""),5.0)</f>
        <v>5</v>
      </c>
      <c r="I9" s="14" t="str">
        <f t="shared" si="2"/>
        <v>CHART</v>
      </c>
      <c r="K9" s="32">
        <f>IFERROR(__xludf.DUMMYFUNCTION("""COMPUTED_VALUE"""),7.0)</f>
        <v>7</v>
      </c>
      <c r="L9" s="32" t="str">
        <f>IFERROR(__xludf.DUMMYFUNCTION("""COMPUTED_VALUE"""),"PNBHOUSING")</f>
        <v>PNBHOUSING</v>
      </c>
      <c r="M9" s="32">
        <f>IFERROR(__xludf.DUMMYFUNCTION("""COMPUTED_VALUE"""),4.0)</f>
        <v>4</v>
      </c>
      <c r="N9" s="23" t="str">
        <f>IFERROR(__xludf.DUMMYFUNCTION("""COMPUTED_VALUE"""),"Y")</f>
        <v>Y</v>
      </c>
      <c r="O9" s="14" t="str">
        <f t="shared" si="3"/>
        <v>CHART</v>
      </c>
      <c r="P9" s="23"/>
      <c r="Q9" s="32" t="str">
        <f>IFERROR(__xludf.DUMMYFUNCTION("""COMPUTED_VALUE"""),"")</f>
        <v/>
      </c>
      <c r="R9" s="32" t="str">
        <f>IFERROR(__xludf.DUMMYFUNCTION("""COMPUTED_VALUE"""),"")</f>
        <v/>
      </c>
      <c r="S9" s="32" t="str">
        <f>IFERROR(__xludf.DUMMYFUNCTION("""COMPUTED_VALUE"""),"")</f>
        <v/>
      </c>
      <c r="T9" s="34" t="str">
        <f>IFERROR(__xludf.DUMMYFUNCTION("""COMPUTED_VALUE"""),"")</f>
        <v/>
      </c>
      <c r="U9" s="35" t="str">
        <f t="shared" si="4"/>
        <v/>
      </c>
      <c r="V9" s="28" t="str">
        <f>IFERROR(__xludf.DUMMYFUNCTION("IF(L9="""","""",IF(GOOGLEFINANCE(""NSE:""&amp;L9)&gt;0.994*GOOGLEFINANCE(""NSE:""&amp;L9,""HIGH""),""X"",""""))"),"")</f>
        <v/>
      </c>
      <c r="W9" s="28" t="str">
        <f>IFERROR(__xludf.DUMMYFUNCTION("IF(R9="""","""",IF(GOOGLEFINANCE(""NSE:""&amp;R9)&lt;1.006*GOOGLEFINANCE(""NSE:""&amp;R9,""LOW""),""X"",""""))"),"")</f>
        <v/>
      </c>
      <c r="X9" s="28" t="str">
        <f>IFERROR(__xludf.DUMMYFUNCTION("""COMPUTED_VALUE"""),"")</f>
        <v/>
      </c>
      <c r="Y9" s="28" t="str">
        <f t="shared" si="5"/>
        <v/>
      </c>
      <c r="Z9" s="28" t="str">
        <f t="shared" si="6"/>
        <v/>
      </c>
    </row>
    <row r="10">
      <c r="A10" s="29" t="str">
        <f t="shared" si="1"/>
        <v>X</v>
      </c>
      <c r="B10" s="12">
        <f>IFERROR(__xludf.DUMMYFUNCTION("""COMPUTED_VALUE"""),8.0)</f>
        <v>8</v>
      </c>
      <c r="C10" s="12" t="str">
        <f>IFERROR(__xludf.DUMMYFUNCTION("""COMPUTED_VALUE"""),"NATIONALUM")</f>
        <v>NATIONALUM</v>
      </c>
      <c r="D10" s="30">
        <f>IFERROR(__xludf.DUMMYFUNCTION("""COMPUTED_VALUE"""),61.61225290775062)</f>
        <v>61.61225291</v>
      </c>
      <c r="E10" s="30">
        <f>IFERROR(__xludf.DUMMYFUNCTION("""COMPUTED_VALUE"""),17.14703565199772)</f>
        <v>17.14703565</v>
      </c>
      <c r="F10" s="30">
        <f>IFERROR(__xludf.DUMMYFUNCTION("""COMPUTED_VALUE"""),33.776032243212434)</f>
        <v>33.77603224</v>
      </c>
      <c r="G10" s="30">
        <f>IFERROR(__xludf.DUMMYFUNCTION("""COMPUTED_VALUE"""),22.31754353651106)</f>
        <v>22.31754354</v>
      </c>
      <c r="H10" s="31" t="str">
        <f>IFERROR(__xludf.DUMMYFUNCTION("""COMPUTED_VALUE"""),"")</f>
        <v/>
      </c>
      <c r="I10" s="14" t="str">
        <f t="shared" si="2"/>
        <v>CHART</v>
      </c>
      <c r="K10" s="32">
        <f>IFERROR(__xludf.DUMMYFUNCTION("""COMPUTED_VALUE"""),8.0)</f>
        <v>8</v>
      </c>
      <c r="L10" s="32" t="str">
        <f>IFERROR(__xludf.DUMMYFUNCTION("""COMPUTED_VALUE"""),"GVT&amp;D")</f>
        <v>GVT&amp;D</v>
      </c>
      <c r="M10" s="32">
        <f>IFERROR(__xludf.DUMMYFUNCTION("""COMPUTED_VALUE"""),5.0)</f>
        <v>5</v>
      </c>
      <c r="N10" s="23" t="str">
        <f>IFERROR(__xludf.DUMMYFUNCTION("""COMPUTED_VALUE"""),"G")</f>
        <v>G</v>
      </c>
      <c r="O10" s="14" t="str">
        <f t="shared" si="3"/>
        <v>CHART</v>
      </c>
      <c r="P10" s="23"/>
      <c r="Q10" s="32" t="str">
        <f>IFERROR(__xludf.DUMMYFUNCTION("""COMPUTED_VALUE"""),"")</f>
        <v/>
      </c>
      <c r="R10" s="32" t="str">
        <f>IFERROR(__xludf.DUMMYFUNCTION("""COMPUTED_VALUE"""),"")</f>
        <v/>
      </c>
      <c r="S10" s="32" t="str">
        <f>IFERROR(__xludf.DUMMYFUNCTION("""COMPUTED_VALUE"""),"")</f>
        <v/>
      </c>
      <c r="T10" s="34" t="str">
        <f>IFERROR(__xludf.DUMMYFUNCTION("""COMPUTED_VALUE"""),"")</f>
        <v/>
      </c>
      <c r="U10" s="35" t="str">
        <f t="shared" si="4"/>
        <v/>
      </c>
      <c r="V10" s="28" t="str">
        <f>IFERROR(__xludf.DUMMYFUNCTION("IF(L10="""","""",IF(GOOGLEFINANCE(""NSE:""&amp;L10)&gt;0.994*GOOGLEFINANCE(""NSE:""&amp;L10,""HIGH""),""X"",""""))"),"")</f>
        <v/>
      </c>
      <c r="W10" s="28" t="str">
        <f>IFERROR(__xludf.DUMMYFUNCTION("IF(R10="""","""",IF(GOOGLEFINANCE(""NSE:""&amp;R10)&lt;1.006*GOOGLEFINANCE(""NSE:""&amp;R10,""LOW""),""X"",""""))"),"")</f>
        <v/>
      </c>
      <c r="X10" s="28" t="str">
        <f>IFERROR(__xludf.DUMMYFUNCTION("""COMPUTED_VALUE"""),"")</f>
        <v/>
      </c>
      <c r="Y10" s="28" t="str">
        <f t="shared" si="5"/>
        <v/>
      </c>
      <c r="Z10" s="28" t="str">
        <f t="shared" si="6"/>
        <v/>
      </c>
    </row>
    <row r="11">
      <c r="A11" s="29" t="str">
        <f t="shared" si="1"/>
        <v>X</v>
      </c>
      <c r="B11" s="12">
        <f>IFERROR(__xludf.DUMMYFUNCTION("""COMPUTED_VALUE"""),9.0)</f>
        <v>9</v>
      </c>
      <c r="C11" s="12" t="str">
        <f>IFERROR(__xludf.DUMMYFUNCTION("""COMPUTED_VALUE"""),"ADANIGREEN")</f>
        <v>ADANIGREEN</v>
      </c>
      <c r="D11" s="30">
        <f>IFERROR(__xludf.DUMMYFUNCTION("""COMPUTED_VALUE"""),75.36661171813067)</f>
        <v>75.36661172</v>
      </c>
      <c r="E11" s="30">
        <f>IFERROR(__xludf.DUMMYFUNCTION("""COMPUTED_VALUE"""),41.05556903401778)</f>
        <v>41.05556903</v>
      </c>
      <c r="F11" s="30">
        <f>IFERROR(__xludf.DUMMYFUNCTION("""COMPUTED_VALUE"""),48.32985548050175)</f>
        <v>48.32985548</v>
      </c>
      <c r="G11" s="30">
        <f>IFERROR(__xludf.DUMMYFUNCTION("""COMPUTED_VALUE"""),14.607357710241242)</f>
        <v>14.60735771</v>
      </c>
      <c r="H11" s="31" t="str">
        <f>IFERROR(__xludf.DUMMYFUNCTION("""COMPUTED_VALUE"""),"")</f>
        <v/>
      </c>
      <c r="I11" s="14" t="str">
        <f t="shared" si="2"/>
        <v>CHART</v>
      </c>
      <c r="K11" s="32" t="str">
        <f>IFERROR(__xludf.DUMMYFUNCTION("""COMPUTED_VALUE"""),"")</f>
        <v/>
      </c>
      <c r="L11" s="32" t="str">
        <f>IFERROR(__xludf.DUMMYFUNCTION("""COMPUTED_VALUE"""),"")</f>
        <v/>
      </c>
      <c r="M11" s="32" t="str">
        <f>IFERROR(__xludf.DUMMYFUNCTION("""COMPUTED_VALUE"""),"")</f>
        <v/>
      </c>
      <c r="N11" s="23" t="str">
        <f>IFERROR(__xludf.DUMMYFUNCTION("""COMPUTED_VALUE"""),"")</f>
        <v/>
      </c>
      <c r="O11" s="35" t="str">
        <f t="shared" si="3"/>
        <v/>
      </c>
      <c r="P11" s="23"/>
      <c r="Q11" s="32" t="str">
        <f>IFERROR(__xludf.DUMMYFUNCTION("""COMPUTED_VALUE"""),"")</f>
        <v/>
      </c>
      <c r="R11" s="32" t="str">
        <f>IFERROR(__xludf.DUMMYFUNCTION("""COMPUTED_VALUE"""),"")</f>
        <v/>
      </c>
      <c r="S11" s="32" t="str">
        <f>IFERROR(__xludf.DUMMYFUNCTION("""COMPUTED_VALUE"""),"")</f>
        <v/>
      </c>
      <c r="T11" s="34" t="str">
        <f>IFERROR(__xludf.DUMMYFUNCTION("""COMPUTED_VALUE"""),"")</f>
        <v/>
      </c>
      <c r="U11" s="35" t="str">
        <f t="shared" si="4"/>
        <v/>
      </c>
      <c r="V11" s="28" t="str">
        <f>IFERROR(__xludf.DUMMYFUNCTION("IF(L11="""","""",IF(GOOGLEFINANCE(""NSE:""&amp;L11)&gt;0.994*GOOGLEFINANCE(""NSE:""&amp;L11,""HIGH""),""X"",""""))"),"")</f>
        <v/>
      </c>
      <c r="W11" s="28" t="str">
        <f>IFERROR(__xludf.DUMMYFUNCTION("IF(R11="""","""",IF(GOOGLEFINANCE(""NSE:""&amp;R11)&lt;1.006*GOOGLEFINANCE(""NSE:""&amp;R11,""LOW""),""X"",""""))"),"")</f>
        <v/>
      </c>
      <c r="X11" s="28" t="str">
        <f>IFERROR(__xludf.DUMMYFUNCTION("""COMPUTED_VALUE"""),"")</f>
        <v/>
      </c>
      <c r="Y11" s="28" t="str">
        <f t="shared" si="5"/>
        <v/>
      </c>
      <c r="Z11" s="28" t="str">
        <f t="shared" si="6"/>
        <v/>
      </c>
    </row>
    <row r="12">
      <c r="A12" s="29" t="str">
        <f t="shared" si="1"/>
        <v>X</v>
      </c>
      <c r="B12" s="12">
        <f>IFERROR(__xludf.DUMMYFUNCTION("""COMPUTED_VALUE"""),10.0)</f>
        <v>10</v>
      </c>
      <c r="C12" s="12" t="str">
        <f>IFERROR(__xludf.DUMMYFUNCTION("""COMPUTED_VALUE"""),"TATASTEEL")</f>
        <v>TATASTEEL</v>
      </c>
      <c r="D12" s="30">
        <f>IFERROR(__xludf.DUMMYFUNCTION("""COMPUTED_VALUE"""),58.14613448276305)</f>
        <v>58.14613448</v>
      </c>
      <c r="E12" s="30">
        <f>IFERROR(__xludf.DUMMYFUNCTION("""COMPUTED_VALUE"""),16.821909678798427)</f>
        <v>16.82190968</v>
      </c>
      <c r="F12" s="30">
        <f>IFERROR(__xludf.DUMMYFUNCTION("""COMPUTED_VALUE"""),36.02579039614365)</f>
        <v>36.0257904</v>
      </c>
      <c r="G12" s="30">
        <f>IFERROR(__xludf.DUMMYFUNCTION("""COMPUTED_VALUE"""),30.107294193258866)</f>
        <v>30.10729419</v>
      </c>
      <c r="H12" s="31" t="str">
        <f>IFERROR(__xludf.DUMMYFUNCTION("""COMPUTED_VALUE"""),"")</f>
        <v/>
      </c>
      <c r="I12" s="14" t="str">
        <f t="shared" si="2"/>
        <v>CHART</v>
      </c>
      <c r="K12" s="32" t="str">
        <f>IFERROR(__xludf.DUMMYFUNCTION("""COMPUTED_VALUE"""),"")</f>
        <v/>
      </c>
      <c r="L12" s="32" t="str">
        <f>IFERROR(__xludf.DUMMYFUNCTION("""COMPUTED_VALUE"""),"")</f>
        <v/>
      </c>
      <c r="M12" s="32" t="str">
        <f>IFERROR(__xludf.DUMMYFUNCTION("""COMPUTED_VALUE"""),"")</f>
        <v/>
      </c>
      <c r="N12" s="23" t="str">
        <f>IFERROR(__xludf.DUMMYFUNCTION("""COMPUTED_VALUE"""),"")</f>
        <v/>
      </c>
      <c r="O12" s="35" t="str">
        <f t="shared" si="3"/>
        <v/>
      </c>
      <c r="P12" s="23"/>
      <c r="Q12" s="32" t="str">
        <f>IFERROR(__xludf.DUMMYFUNCTION("""COMPUTED_VALUE"""),"")</f>
        <v/>
      </c>
      <c r="R12" s="32" t="str">
        <f>IFERROR(__xludf.DUMMYFUNCTION("""COMPUTED_VALUE"""),"")</f>
        <v/>
      </c>
      <c r="S12" s="32" t="str">
        <f>IFERROR(__xludf.DUMMYFUNCTION("""COMPUTED_VALUE"""),"")</f>
        <v/>
      </c>
      <c r="T12" s="34" t="str">
        <f>IFERROR(__xludf.DUMMYFUNCTION("""COMPUTED_VALUE"""),"")</f>
        <v/>
      </c>
      <c r="U12" s="35" t="str">
        <f t="shared" si="4"/>
        <v/>
      </c>
      <c r="V12" s="28" t="str">
        <f>IFERROR(__xludf.DUMMYFUNCTION("IF(L12="""","""",IF(GOOGLEFINANCE(""NSE:""&amp;L12)&gt;0.994*GOOGLEFINANCE(""NSE:""&amp;L12,""HIGH""),""X"",""""))"),"")</f>
        <v/>
      </c>
      <c r="W12" s="28" t="str">
        <f>IFERROR(__xludf.DUMMYFUNCTION("IF(R12="""","""",IF(GOOGLEFINANCE(""NSE:""&amp;R12)&lt;1.006*GOOGLEFINANCE(""NSE:""&amp;R12,""LOW""),""X"",""""))"),"")</f>
        <v/>
      </c>
      <c r="X12" s="28" t="str">
        <f>IFERROR(__xludf.DUMMYFUNCTION("""COMPUTED_VALUE"""),"")</f>
        <v/>
      </c>
      <c r="Y12" s="28" t="str">
        <f t="shared" si="5"/>
        <v/>
      </c>
      <c r="Z12" s="28" t="str">
        <f t="shared" si="6"/>
        <v/>
      </c>
    </row>
    <row r="13">
      <c r="A13" s="29" t="str">
        <f t="shared" si="1"/>
        <v>X</v>
      </c>
      <c r="B13" s="12">
        <f>IFERROR(__xludf.DUMMYFUNCTION("""COMPUTED_VALUE"""),11.0)</f>
        <v>11</v>
      </c>
      <c r="C13" s="12" t="str">
        <f>IFERROR(__xludf.DUMMYFUNCTION("""COMPUTED_VALUE"""),"ICICIBANK")</f>
        <v>ICICIBANK</v>
      </c>
      <c r="D13" s="30">
        <f>IFERROR(__xludf.DUMMYFUNCTION("""COMPUTED_VALUE"""),54.629241721823064)</f>
        <v>54.62924172</v>
      </c>
      <c r="E13" s="30">
        <f>IFERROR(__xludf.DUMMYFUNCTION("""COMPUTED_VALUE"""),16.308562111999514)</f>
        <v>16.30856211</v>
      </c>
      <c r="F13" s="30">
        <f>IFERROR(__xludf.DUMMYFUNCTION("""COMPUTED_VALUE"""),30.50524997708302)</f>
        <v>30.50524998</v>
      </c>
      <c r="G13" s="30">
        <f>IFERROR(__xludf.DUMMYFUNCTION("""COMPUTED_VALUE"""),24.945462887023044)</f>
        <v>24.94546289</v>
      </c>
      <c r="H13" s="31" t="str">
        <f>IFERROR(__xludf.DUMMYFUNCTION("""COMPUTED_VALUE"""),"NEUTRAL")</f>
        <v>NEUTRAL</v>
      </c>
      <c r="I13" s="14" t="str">
        <f t="shared" si="2"/>
        <v>CHART</v>
      </c>
      <c r="K13" s="32" t="str">
        <f>IFERROR(__xludf.DUMMYFUNCTION("""COMPUTED_VALUE"""),"")</f>
        <v/>
      </c>
      <c r="L13" s="32" t="str">
        <f>IFERROR(__xludf.DUMMYFUNCTION("""COMPUTED_VALUE"""),"")</f>
        <v/>
      </c>
      <c r="M13" s="32" t="str">
        <f>IFERROR(__xludf.DUMMYFUNCTION("""COMPUTED_VALUE"""),"")</f>
        <v/>
      </c>
      <c r="N13" s="23" t="str">
        <f>IFERROR(__xludf.DUMMYFUNCTION("""COMPUTED_VALUE"""),"")</f>
        <v/>
      </c>
      <c r="O13" s="35" t="str">
        <f t="shared" si="3"/>
        <v/>
      </c>
      <c r="P13" s="23"/>
      <c r="Q13" s="32" t="str">
        <f>IFERROR(__xludf.DUMMYFUNCTION("""COMPUTED_VALUE"""),"")</f>
        <v/>
      </c>
      <c r="R13" s="32" t="str">
        <f>IFERROR(__xludf.DUMMYFUNCTION("""COMPUTED_VALUE"""),"")</f>
        <v/>
      </c>
      <c r="S13" s="32" t="str">
        <f>IFERROR(__xludf.DUMMYFUNCTION("""COMPUTED_VALUE"""),"")</f>
        <v/>
      </c>
      <c r="T13" s="34" t="str">
        <f>IFERROR(__xludf.DUMMYFUNCTION("""COMPUTED_VALUE"""),"")</f>
        <v/>
      </c>
      <c r="U13" s="35" t="str">
        <f t="shared" si="4"/>
        <v/>
      </c>
      <c r="V13" s="28" t="str">
        <f>IFERROR(__xludf.DUMMYFUNCTION("IF(L13="""","""",IF(GOOGLEFINANCE(""NSE:""&amp;L13)&gt;0.994*GOOGLEFINANCE(""NSE:""&amp;L13,""HIGH""),""X"",""""))"),"")</f>
        <v/>
      </c>
      <c r="W13" s="28" t="str">
        <f>IFERROR(__xludf.DUMMYFUNCTION("IF(R13="""","""",IF(GOOGLEFINANCE(""NSE:""&amp;R13)&lt;1.006*GOOGLEFINANCE(""NSE:""&amp;R13,""LOW""),""X"",""""))"),"")</f>
        <v/>
      </c>
      <c r="X13" s="28" t="str">
        <f>IFERROR(__xludf.DUMMYFUNCTION("""COMPUTED_VALUE"""),"")</f>
        <v/>
      </c>
      <c r="Y13" s="28" t="str">
        <f t="shared" si="5"/>
        <v/>
      </c>
      <c r="Z13" s="28" t="str">
        <f t="shared" si="6"/>
        <v/>
      </c>
    </row>
    <row r="14">
      <c r="A14" s="29" t="str">
        <f t="shared" si="1"/>
        <v>X</v>
      </c>
      <c r="B14" s="12">
        <f>IFERROR(__xludf.DUMMYFUNCTION("""COMPUTED_VALUE"""),12.0)</f>
        <v>12</v>
      </c>
      <c r="C14" s="12" t="str">
        <f>IFERROR(__xludf.DUMMYFUNCTION("""COMPUTED_VALUE"""),"SIEMENS")</f>
        <v>SIEMENS</v>
      </c>
      <c r="D14" s="30">
        <f>IFERROR(__xludf.DUMMYFUNCTION("""COMPUTED_VALUE"""),56.62677436194626)</f>
        <v>56.62677436</v>
      </c>
      <c r="E14" s="30">
        <f>IFERROR(__xludf.DUMMYFUNCTION("""COMPUTED_VALUE"""),20.347613655515804)</f>
        <v>20.34761366</v>
      </c>
      <c r="F14" s="30">
        <f>IFERROR(__xludf.DUMMYFUNCTION("""COMPUTED_VALUE"""),22.08257578590495)</f>
        <v>22.08257579</v>
      </c>
      <c r="G14" s="30">
        <f>IFERROR(__xludf.DUMMYFUNCTION("""COMPUTED_VALUE"""),22.899153368725457)</f>
        <v>22.89915337</v>
      </c>
      <c r="H14" s="31" t="str">
        <f>IFERROR(__xludf.DUMMYFUNCTION("""COMPUTED_VALUE"""),"")</f>
        <v/>
      </c>
      <c r="I14" s="14" t="str">
        <f t="shared" si="2"/>
        <v>CHART</v>
      </c>
      <c r="K14" s="32" t="str">
        <f>IFERROR(__xludf.DUMMYFUNCTION("""COMPUTED_VALUE"""),"")</f>
        <v/>
      </c>
      <c r="L14" s="32" t="str">
        <f>IFERROR(__xludf.DUMMYFUNCTION("""COMPUTED_VALUE"""),"")</f>
        <v/>
      </c>
      <c r="M14" s="32" t="str">
        <f>IFERROR(__xludf.DUMMYFUNCTION("""COMPUTED_VALUE"""),"")</f>
        <v/>
      </c>
      <c r="N14" s="23" t="str">
        <f>IFERROR(__xludf.DUMMYFUNCTION("""COMPUTED_VALUE"""),"")</f>
        <v/>
      </c>
      <c r="O14" s="35" t="str">
        <f t="shared" si="3"/>
        <v/>
      </c>
      <c r="P14" s="23"/>
      <c r="Q14" s="32" t="str">
        <f>IFERROR(__xludf.DUMMYFUNCTION("""COMPUTED_VALUE"""),"")</f>
        <v/>
      </c>
      <c r="R14" s="32" t="str">
        <f>IFERROR(__xludf.DUMMYFUNCTION("""COMPUTED_VALUE"""),"")</f>
        <v/>
      </c>
      <c r="S14" s="32" t="str">
        <f>IFERROR(__xludf.DUMMYFUNCTION("""COMPUTED_VALUE"""),"")</f>
        <v/>
      </c>
      <c r="T14" s="34" t="str">
        <f>IFERROR(__xludf.DUMMYFUNCTION("""COMPUTED_VALUE"""),"")</f>
        <v/>
      </c>
      <c r="U14" s="35" t="str">
        <f t="shared" si="4"/>
        <v/>
      </c>
      <c r="V14" s="28" t="str">
        <f>IFERROR(__xludf.DUMMYFUNCTION("IF(L14="""","""",IF(GOOGLEFINANCE(""NSE:""&amp;L14)&gt;0.994*GOOGLEFINANCE(""NSE:""&amp;L14,""HIGH""),""X"",""""))"),"")</f>
        <v/>
      </c>
      <c r="W14" s="28" t="str">
        <f>IFERROR(__xludf.DUMMYFUNCTION("IF(R14="""","""",IF(GOOGLEFINANCE(""NSE:""&amp;R14)&lt;1.006*GOOGLEFINANCE(""NSE:""&amp;R14,""LOW""),""X"",""""))"),"")</f>
        <v/>
      </c>
      <c r="X14" s="28" t="str">
        <f>IFERROR(__xludf.DUMMYFUNCTION("""COMPUTED_VALUE"""),"")</f>
        <v/>
      </c>
      <c r="Y14" s="28" t="str">
        <f t="shared" si="5"/>
        <v/>
      </c>
      <c r="Z14" s="28" t="str">
        <f t="shared" si="6"/>
        <v/>
      </c>
    </row>
    <row r="15">
      <c r="A15" s="29" t="str">
        <f t="shared" si="1"/>
        <v>X</v>
      </c>
      <c r="B15" s="12">
        <f>IFERROR(__xludf.DUMMYFUNCTION("""COMPUTED_VALUE"""),13.0)</f>
        <v>13</v>
      </c>
      <c r="C15" s="12" t="str">
        <f>IFERROR(__xludf.DUMMYFUNCTION("""COMPUTED_VALUE"""),"POWERINDIA")</f>
        <v>POWERINDIA</v>
      </c>
      <c r="D15" s="30">
        <f>IFERROR(__xludf.DUMMYFUNCTION("""COMPUTED_VALUE"""),71.7482989263306)</f>
        <v>71.74829893</v>
      </c>
      <c r="E15" s="30">
        <f>IFERROR(__xludf.DUMMYFUNCTION("""COMPUTED_VALUE"""),39.322158158157535)</f>
        <v>39.32215816</v>
      </c>
      <c r="F15" s="30">
        <f>IFERROR(__xludf.DUMMYFUNCTION("""COMPUTED_VALUE"""),39.322630602518686)</f>
        <v>39.3226306</v>
      </c>
      <c r="G15" s="30">
        <f>IFERROR(__xludf.DUMMYFUNCTION("""COMPUTED_VALUE"""),14.375568950922071)</f>
        <v>14.37556895</v>
      </c>
      <c r="H15" s="31" t="str">
        <f>IFERROR(__xludf.DUMMYFUNCTION("""COMPUTED_VALUE"""),"")</f>
        <v/>
      </c>
      <c r="I15" s="14" t="str">
        <f t="shared" si="2"/>
        <v>CHART</v>
      </c>
      <c r="K15" s="32" t="str">
        <f>IFERROR(__xludf.DUMMYFUNCTION("""COMPUTED_VALUE"""),"")</f>
        <v/>
      </c>
      <c r="L15" s="32" t="str">
        <f>IFERROR(__xludf.DUMMYFUNCTION("""COMPUTED_VALUE"""),"")</f>
        <v/>
      </c>
      <c r="M15" s="32" t="str">
        <f>IFERROR(__xludf.DUMMYFUNCTION("""COMPUTED_VALUE"""),"")</f>
        <v/>
      </c>
      <c r="N15" s="23" t="str">
        <f>IFERROR(__xludf.DUMMYFUNCTION("""COMPUTED_VALUE"""),"")</f>
        <v/>
      </c>
      <c r="O15" s="35" t="str">
        <f t="shared" si="3"/>
        <v/>
      </c>
      <c r="P15" s="23"/>
      <c r="Q15" s="32" t="str">
        <f>IFERROR(__xludf.DUMMYFUNCTION("""COMPUTED_VALUE"""),"")</f>
        <v/>
      </c>
      <c r="R15" s="32" t="str">
        <f>IFERROR(__xludf.DUMMYFUNCTION("""COMPUTED_VALUE"""),"")</f>
        <v/>
      </c>
      <c r="S15" s="32" t="str">
        <f>IFERROR(__xludf.DUMMYFUNCTION("""COMPUTED_VALUE"""),"")</f>
        <v/>
      </c>
      <c r="T15" s="34" t="str">
        <f>IFERROR(__xludf.DUMMYFUNCTION("""COMPUTED_VALUE"""),"")</f>
        <v/>
      </c>
      <c r="U15" s="35" t="str">
        <f t="shared" si="4"/>
        <v/>
      </c>
      <c r="V15" s="28" t="str">
        <f>IFERROR(__xludf.DUMMYFUNCTION("IF(L15="""","""",IF(GOOGLEFINANCE(""NSE:""&amp;L15)&gt;0.994*GOOGLEFINANCE(""NSE:""&amp;L15,""HIGH""),""X"",""""))"),"")</f>
        <v/>
      </c>
      <c r="W15" s="28" t="str">
        <f>IFERROR(__xludf.DUMMYFUNCTION("IF(R15="""","""",IF(GOOGLEFINANCE(""NSE:""&amp;R15)&lt;1.006*GOOGLEFINANCE(""NSE:""&amp;R15,""LOW""),""X"",""""))"),"")</f>
        <v/>
      </c>
      <c r="X15" s="28" t="str">
        <f>IFERROR(__xludf.DUMMYFUNCTION("""COMPUTED_VALUE"""),"")</f>
        <v/>
      </c>
      <c r="Y15" s="28" t="str">
        <f t="shared" si="5"/>
        <v/>
      </c>
      <c r="Z15" s="28" t="str">
        <f t="shared" si="6"/>
        <v/>
      </c>
    </row>
    <row r="16">
      <c r="A16" s="29" t="str">
        <f t="shared" si="1"/>
        <v>X</v>
      </c>
      <c r="B16" s="12">
        <f>IFERROR(__xludf.DUMMYFUNCTION("""COMPUTED_VALUE"""),14.0)</f>
        <v>14</v>
      </c>
      <c r="C16" s="12" t="str">
        <f>IFERROR(__xludf.DUMMYFUNCTION("""COMPUTED_VALUE"""),"ETERNAL")</f>
        <v>ETERNAL</v>
      </c>
      <c r="D16" s="30">
        <f>IFERROR(__xludf.DUMMYFUNCTION("""COMPUTED_VALUE"""),56.549914595996796)</f>
        <v>56.5499146</v>
      </c>
      <c r="E16" s="30">
        <f>IFERROR(__xludf.DUMMYFUNCTION("""COMPUTED_VALUE"""),12.6361681795117)</f>
        <v>12.63616818</v>
      </c>
      <c r="F16" s="30">
        <f>IFERROR(__xludf.DUMMYFUNCTION("""COMPUTED_VALUE"""),32.06145674269228)</f>
        <v>32.06145674</v>
      </c>
      <c r="G16" s="30">
        <f>IFERROR(__xludf.DUMMYFUNCTION("""COMPUTED_VALUE"""),25.457848267120408)</f>
        <v>25.45784827</v>
      </c>
      <c r="H16" s="31" t="str">
        <f>IFERROR(__xludf.DUMMYFUNCTION("""COMPUTED_VALUE"""),"")</f>
        <v/>
      </c>
      <c r="I16" s="14" t="str">
        <f t="shared" si="2"/>
        <v>CHART</v>
      </c>
      <c r="K16" s="32" t="str">
        <f>IFERROR(__xludf.DUMMYFUNCTION("""COMPUTED_VALUE"""),"")</f>
        <v/>
      </c>
      <c r="L16" s="32" t="str">
        <f>IFERROR(__xludf.DUMMYFUNCTION("""COMPUTED_VALUE"""),"")</f>
        <v/>
      </c>
      <c r="M16" s="32" t="str">
        <f>IFERROR(__xludf.DUMMYFUNCTION("""COMPUTED_VALUE"""),"")</f>
        <v/>
      </c>
      <c r="N16" s="23" t="str">
        <f>IFERROR(__xludf.DUMMYFUNCTION("""COMPUTED_VALUE"""),"")</f>
        <v/>
      </c>
      <c r="O16" s="35" t="str">
        <f t="shared" si="3"/>
        <v/>
      </c>
      <c r="P16" s="23"/>
      <c r="Q16" s="32" t="str">
        <f>IFERROR(__xludf.DUMMYFUNCTION("""COMPUTED_VALUE"""),"")</f>
        <v/>
      </c>
      <c r="R16" s="32" t="str">
        <f>IFERROR(__xludf.DUMMYFUNCTION("""COMPUTED_VALUE"""),"")</f>
        <v/>
      </c>
      <c r="S16" s="32" t="str">
        <f>IFERROR(__xludf.DUMMYFUNCTION("""COMPUTED_VALUE"""),"")</f>
        <v/>
      </c>
      <c r="T16" s="34" t="str">
        <f>IFERROR(__xludf.DUMMYFUNCTION("""COMPUTED_VALUE"""),"")</f>
        <v/>
      </c>
      <c r="U16" s="35" t="str">
        <f t="shared" si="4"/>
        <v/>
      </c>
      <c r="V16" s="28" t="str">
        <f>IFERROR(__xludf.DUMMYFUNCTION("IF(L16="""","""",IF(GOOGLEFINANCE(""NSE:""&amp;L16)&gt;0.994*GOOGLEFINANCE(""NSE:""&amp;L16,""HIGH""),""X"",""""))"),"")</f>
        <v/>
      </c>
      <c r="W16" s="28" t="str">
        <f>IFERROR(__xludf.DUMMYFUNCTION("IF(R16="""","""",IF(GOOGLEFINANCE(""NSE:""&amp;R16)&lt;1.006*GOOGLEFINANCE(""NSE:""&amp;R16,""LOW""),""X"",""""))"),"")</f>
        <v/>
      </c>
      <c r="X16" s="28" t="str">
        <f>IFERROR(__xludf.DUMMYFUNCTION("""COMPUTED_VALUE"""),"")</f>
        <v/>
      </c>
      <c r="Y16" s="28" t="str">
        <f t="shared" si="5"/>
        <v/>
      </c>
      <c r="Z16" s="28" t="str">
        <f t="shared" si="6"/>
        <v/>
      </c>
    </row>
    <row r="17">
      <c r="A17" s="29" t="str">
        <f t="shared" si="1"/>
        <v>X</v>
      </c>
      <c r="B17" s="12">
        <f>IFERROR(__xludf.DUMMYFUNCTION("""COMPUTED_VALUE"""),15.0)</f>
        <v>15</v>
      </c>
      <c r="C17" s="12" t="str">
        <f>IFERROR(__xludf.DUMMYFUNCTION("""COMPUTED_VALUE"""),"MCX")</f>
        <v>MCX</v>
      </c>
      <c r="D17" s="30">
        <f>IFERROR(__xludf.DUMMYFUNCTION("""COMPUTED_VALUE"""),60.013939899114064)</f>
        <v>60.0139399</v>
      </c>
      <c r="E17" s="30">
        <f>IFERROR(__xludf.DUMMYFUNCTION("""COMPUTED_VALUE"""),41.93753776912683)</f>
        <v>41.93753777</v>
      </c>
      <c r="F17" s="30">
        <f>IFERROR(__xludf.DUMMYFUNCTION("""COMPUTED_VALUE"""),29.43663323682652)</f>
        <v>29.43663324</v>
      </c>
      <c r="G17" s="30">
        <f>IFERROR(__xludf.DUMMYFUNCTION("""COMPUTED_VALUE"""),14.63298807351915)</f>
        <v>14.63298807</v>
      </c>
      <c r="H17" s="31" t="str">
        <f>IFERROR(__xludf.DUMMYFUNCTION("""COMPUTED_VALUE"""),"")</f>
        <v/>
      </c>
      <c r="I17" s="14" t="str">
        <f t="shared" si="2"/>
        <v>CHART</v>
      </c>
      <c r="K17" s="32" t="str">
        <f>IFERROR(__xludf.DUMMYFUNCTION("""COMPUTED_VALUE"""),"")</f>
        <v/>
      </c>
      <c r="L17" s="32" t="str">
        <f>IFERROR(__xludf.DUMMYFUNCTION("""COMPUTED_VALUE"""),"")</f>
        <v/>
      </c>
      <c r="M17" s="32" t="str">
        <f>IFERROR(__xludf.DUMMYFUNCTION("""COMPUTED_VALUE"""),"")</f>
        <v/>
      </c>
      <c r="N17" s="23" t="str">
        <f>IFERROR(__xludf.DUMMYFUNCTION("""COMPUTED_VALUE"""),"")</f>
        <v/>
      </c>
      <c r="O17" s="35" t="str">
        <f t="shared" si="3"/>
        <v/>
      </c>
      <c r="P17" s="23"/>
      <c r="Q17" s="32" t="str">
        <f>IFERROR(__xludf.DUMMYFUNCTION("""COMPUTED_VALUE"""),"")</f>
        <v/>
      </c>
      <c r="R17" s="32" t="str">
        <f>IFERROR(__xludf.DUMMYFUNCTION("""COMPUTED_VALUE"""),"")</f>
        <v/>
      </c>
      <c r="S17" s="32" t="str">
        <f>IFERROR(__xludf.DUMMYFUNCTION("""COMPUTED_VALUE"""),"")</f>
        <v/>
      </c>
      <c r="T17" s="34" t="str">
        <f>IFERROR(__xludf.DUMMYFUNCTION("""COMPUTED_VALUE"""),"")</f>
        <v/>
      </c>
      <c r="U17" s="35" t="str">
        <f t="shared" si="4"/>
        <v/>
      </c>
      <c r="V17" s="28" t="str">
        <f>IFERROR(__xludf.DUMMYFUNCTION("IF(L17="""","""",IF(GOOGLEFINANCE(""NSE:""&amp;L17)&gt;0.994*GOOGLEFINANCE(""NSE:""&amp;L17,""HIGH""),""X"",""""))"),"")</f>
        <v/>
      </c>
      <c r="W17" s="28" t="str">
        <f>IFERROR(__xludf.DUMMYFUNCTION("IF(R17="""","""",IF(GOOGLEFINANCE(""NSE:""&amp;R17)&lt;1.006*GOOGLEFINANCE(""NSE:""&amp;R17,""LOW""),""X"",""""))"),"")</f>
        <v/>
      </c>
      <c r="X17" s="28" t="str">
        <f>IFERROR(__xludf.DUMMYFUNCTION("""COMPUTED_VALUE"""),"")</f>
        <v/>
      </c>
      <c r="Y17" s="28" t="str">
        <f t="shared" si="5"/>
        <v/>
      </c>
      <c r="Z17" s="28" t="str">
        <f t="shared" si="6"/>
        <v/>
      </c>
    </row>
    <row r="18">
      <c r="A18" s="29" t="str">
        <f t="shared" si="1"/>
        <v>X</v>
      </c>
      <c r="B18" s="12">
        <f>IFERROR(__xludf.DUMMYFUNCTION("""COMPUTED_VALUE"""),16.0)</f>
        <v>16</v>
      </c>
      <c r="C18" s="12" t="str">
        <f>IFERROR(__xludf.DUMMYFUNCTION("""COMPUTED_VALUE"""),"SBIN")</f>
        <v>SBIN</v>
      </c>
      <c r="D18" s="30">
        <f>IFERROR(__xludf.DUMMYFUNCTION("""COMPUTED_VALUE"""),39.300939092435776)</f>
        <v>39.30093909</v>
      </c>
      <c r="E18" s="30">
        <f>IFERROR(__xludf.DUMMYFUNCTION("""COMPUTED_VALUE"""),29.48061318824744)</f>
        <v>29.48061319</v>
      </c>
      <c r="F18" s="30">
        <f>IFERROR(__xludf.DUMMYFUNCTION("""COMPUTED_VALUE"""),21.654693972931742)</f>
        <v>21.65469397</v>
      </c>
      <c r="G18" s="30">
        <f>IFERROR(__xludf.DUMMYFUNCTION("""COMPUTED_VALUE"""),37.81270880516017)</f>
        <v>37.81270881</v>
      </c>
      <c r="H18" s="31" t="str">
        <f>IFERROR(__xludf.DUMMYFUNCTION("""COMPUTED_VALUE"""),"")</f>
        <v/>
      </c>
      <c r="I18" s="14" t="str">
        <f t="shared" si="2"/>
        <v>CHART</v>
      </c>
      <c r="K18" s="32" t="str">
        <f>IFERROR(__xludf.DUMMYFUNCTION("""COMPUTED_VALUE"""),"")</f>
        <v/>
      </c>
      <c r="L18" s="32" t="str">
        <f>IFERROR(__xludf.DUMMYFUNCTION("""COMPUTED_VALUE"""),"")</f>
        <v/>
      </c>
      <c r="M18" s="32" t="str">
        <f>IFERROR(__xludf.DUMMYFUNCTION("""COMPUTED_VALUE"""),"")</f>
        <v/>
      </c>
      <c r="N18" s="23" t="str">
        <f>IFERROR(__xludf.DUMMYFUNCTION("""COMPUTED_VALUE"""),"")</f>
        <v/>
      </c>
      <c r="O18" s="35" t="str">
        <f t="shared" si="3"/>
        <v/>
      </c>
      <c r="Q18" s="32" t="str">
        <f>IFERROR(__xludf.DUMMYFUNCTION("""COMPUTED_VALUE"""),"")</f>
        <v/>
      </c>
      <c r="R18" s="32" t="str">
        <f>IFERROR(__xludf.DUMMYFUNCTION("""COMPUTED_VALUE"""),"")</f>
        <v/>
      </c>
      <c r="S18" s="32" t="str">
        <f>IFERROR(__xludf.DUMMYFUNCTION("""COMPUTED_VALUE"""),"")</f>
        <v/>
      </c>
      <c r="T18" s="34" t="str">
        <f>IFERROR(__xludf.DUMMYFUNCTION("""COMPUTED_VALUE"""),"")</f>
        <v/>
      </c>
      <c r="U18" s="35" t="str">
        <f t="shared" si="4"/>
        <v/>
      </c>
      <c r="V18" s="28" t="str">
        <f>IFERROR(__xludf.DUMMYFUNCTION("IF(L18="""","""",IF(GOOGLEFINANCE(""NSE:""&amp;L18)&gt;0.994*GOOGLEFINANCE(""NSE:""&amp;L18,""HIGH""),""X"",""""))"),"")</f>
        <v/>
      </c>
      <c r="W18" s="29"/>
      <c r="X18" s="29" t="str">
        <f>IFERROR(__xludf.DUMMYFUNCTION("""COMPUTED_VALUE"""),"")</f>
        <v/>
      </c>
      <c r="Y18" s="29"/>
      <c r="Z18" s="29"/>
    </row>
    <row r="19">
      <c r="A19" s="29" t="str">
        <f t="shared" si="1"/>
        <v>X</v>
      </c>
      <c r="B19" s="12">
        <f>IFERROR(__xludf.DUMMYFUNCTION("""COMPUTED_VALUE"""),17.0)</f>
        <v>17</v>
      </c>
      <c r="C19" s="12" t="str">
        <f>IFERROR(__xludf.DUMMYFUNCTION("""COMPUTED_VALUE"""),"ONGC")</f>
        <v>ONGC</v>
      </c>
      <c r="D19" s="30">
        <f>IFERROR(__xludf.DUMMYFUNCTION("""COMPUTED_VALUE"""),38.4630321526789)</f>
        <v>38.46303215</v>
      </c>
      <c r="E19" s="30">
        <f>IFERROR(__xludf.DUMMYFUNCTION("""COMPUTED_VALUE"""),24.488697076415015)</f>
        <v>24.48869708</v>
      </c>
      <c r="F19" s="30">
        <f>IFERROR(__xludf.DUMMYFUNCTION("""COMPUTED_VALUE"""),24.108420015134342)</f>
        <v>24.10842002</v>
      </c>
      <c r="G19" s="30">
        <f>IFERROR(__xludf.DUMMYFUNCTION("""COMPUTED_VALUE"""),31.451912548385934)</f>
        <v>31.45191255</v>
      </c>
      <c r="H19" s="31" t="str">
        <f>IFERROR(__xludf.DUMMYFUNCTION("""COMPUTED_VALUE"""),"")</f>
        <v/>
      </c>
      <c r="I19" s="14" t="str">
        <f t="shared" si="2"/>
        <v>CHART</v>
      </c>
      <c r="K19" s="32" t="str">
        <f>IFERROR(__xludf.DUMMYFUNCTION("""COMPUTED_VALUE"""),"")</f>
        <v/>
      </c>
      <c r="L19" s="32" t="str">
        <f>IFERROR(__xludf.DUMMYFUNCTION("""COMPUTED_VALUE"""),"")</f>
        <v/>
      </c>
      <c r="M19" s="32" t="str">
        <f>IFERROR(__xludf.DUMMYFUNCTION("""COMPUTED_VALUE"""),"")</f>
        <v/>
      </c>
      <c r="N19" s="23" t="str">
        <f>IFERROR(__xludf.DUMMYFUNCTION("""COMPUTED_VALUE"""),"")</f>
        <v/>
      </c>
      <c r="O19" s="35" t="str">
        <f t="shared" si="3"/>
        <v/>
      </c>
      <c r="Q19" s="32" t="str">
        <f>IFERROR(__xludf.DUMMYFUNCTION("""COMPUTED_VALUE"""),"")</f>
        <v/>
      </c>
      <c r="R19" s="32" t="str">
        <f>IFERROR(__xludf.DUMMYFUNCTION("""COMPUTED_VALUE"""),"")</f>
        <v/>
      </c>
      <c r="S19" s="32" t="str">
        <f>IFERROR(__xludf.DUMMYFUNCTION("""COMPUTED_VALUE"""),"")</f>
        <v/>
      </c>
      <c r="T19" s="34" t="str">
        <f>IFERROR(__xludf.DUMMYFUNCTION("""COMPUTED_VALUE"""),"")</f>
        <v/>
      </c>
      <c r="U19" s="36" t="str">
        <f t="shared" si="4"/>
        <v/>
      </c>
      <c r="V19" s="28" t="str">
        <f>IFERROR(__xludf.DUMMYFUNCTION("IF(L19="""","""",IF(GOOGLEFINANCE(""NSE:""&amp;L19)&gt;0.994*GOOGLEFINANCE(""NSE:""&amp;L19,""HIGH""),""X"",""""))"),"")</f>
        <v/>
      </c>
      <c r="W19" s="29"/>
      <c r="X19" s="29" t="str">
        <f>IFERROR(__xludf.DUMMYFUNCTION("""COMPUTED_VALUE"""),"")</f>
        <v/>
      </c>
      <c r="Y19" s="29"/>
      <c r="Z19" s="29"/>
    </row>
    <row r="20">
      <c r="A20" s="29" t="str">
        <f t="shared" si="1"/>
        <v>X</v>
      </c>
      <c r="B20" s="12">
        <f>IFERROR(__xludf.DUMMYFUNCTION("""COMPUTED_VALUE"""),18.0)</f>
        <v>18</v>
      </c>
      <c r="C20" s="12" t="str">
        <f>IFERROR(__xludf.DUMMYFUNCTION("""COMPUTED_VALUE"""),"EXIDEIND")</f>
        <v>EXIDEIND</v>
      </c>
      <c r="D20" s="30">
        <f>IFERROR(__xludf.DUMMYFUNCTION("""COMPUTED_VALUE"""),72.89965642344562)</f>
        <v>72.89965642</v>
      </c>
      <c r="E20" s="30">
        <f>IFERROR(__xludf.DUMMYFUNCTION("""COMPUTED_VALUE"""),20.988003969949606)</f>
        <v>20.98800397</v>
      </c>
      <c r="F20" s="30">
        <f>IFERROR(__xludf.DUMMYFUNCTION("""COMPUTED_VALUE"""),49.044627090068275)</f>
        <v>49.04462709</v>
      </c>
      <c r="G20" s="30">
        <f>IFERROR(__xludf.DUMMYFUNCTION("""COMPUTED_VALUE"""),20.937340987565896)</f>
        <v>20.93734099</v>
      </c>
      <c r="H20" s="31" t="str">
        <f>IFERROR(__xludf.DUMMYFUNCTION("""COMPUTED_VALUE"""),"")</f>
        <v/>
      </c>
      <c r="I20" s="14" t="str">
        <f t="shared" si="2"/>
        <v>CHART</v>
      </c>
      <c r="K20" s="32" t="str">
        <f>IFERROR(__xludf.DUMMYFUNCTION("""COMPUTED_VALUE"""),"")</f>
        <v/>
      </c>
      <c r="L20" s="32" t="str">
        <f>IFERROR(__xludf.DUMMYFUNCTION("""COMPUTED_VALUE"""),"")</f>
        <v/>
      </c>
      <c r="M20" s="32" t="str">
        <f>IFERROR(__xludf.DUMMYFUNCTION("""COMPUTED_VALUE"""),"")</f>
        <v/>
      </c>
      <c r="N20" s="23" t="str">
        <f>IFERROR(__xludf.DUMMYFUNCTION("""COMPUTED_VALUE"""),"")</f>
        <v/>
      </c>
      <c r="O20" s="35" t="str">
        <f t="shared" si="3"/>
        <v/>
      </c>
      <c r="Q20" s="32" t="str">
        <f>IFERROR(__xludf.DUMMYFUNCTION("""COMPUTED_VALUE"""),"")</f>
        <v/>
      </c>
      <c r="R20" s="32" t="str">
        <f>IFERROR(__xludf.DUMMYFUNCTION("""COMPUTED_VALUE"""),"")</f>
        <v/>
      </c>
      <c r="S20" s="32" t="str">
        <f>IFERROR(__xludf.DUMMYFUNCTION("""COMPUTED_VALUE"""),"")</f>
        <v/>
      </c>
      <c r="T20" s="34" t="str">
        <f>IFERROR(__xludf.DUMMYFUNCTION("""COMPUTED_VALUE"""),"")</f>
        <v/>
      </c>
      <c r="U20" s="36" t="str">
        <f t="shared" si="4"/>
        <v/>
      </c>
      <c r="V20" s="28" t="str">
        <f>IFERROR(__xludf.DUMMYFUNCTION("IF(L20="""","""",IF(GOOGLEFINANCE(""NSE:""&amp;L20)&gt;0.994*GOOGLEFINANCE(""NSE:""&amp;L20,""HIGH""),""X"",""""))"),"")</f>
        <v/>
      </c>
      <c r="W20" s="29"/>
      <c r="X20" s="29" t="str">
        <f>IFERROR(__xludf.DUMMYFUNCTION("""COMPUTED_VALUE"""),"")</f>
        <v/>
      </c>
      <c r="Y20" s="29"/>
      <c r="Z20" s="29"/>
    </row>
    <row r="21">
      <c r="A21" s="29" t="str">
        <f t="shared" si="1"/>
        <v>X</v>
      </c>
      <c r="B21" s="12">
        <f>IFERROR(__xludf.DUMMYFUNCTION("""COMPUTED_VALUE"""),19.0)</f>
        <v>19</v>
      </c>
      <c r="C21" s="12" t="str">
        <f>IFERROR(__xludf.DUMMYFUNCTION("""COMPUTED_VALUE"""),"RELIANCE")</f>
        <v>RELIANCE</v>
      </c>
      <c r="D21" s="30">
        <f>IFERROR(__xludf.DUMMYFUNCTION("""COMPUTED_VALUE"""),46.96792101823821)</f>
        <v>46.96792102</v>
      </c>
      <c r="E21" s="30">
        <f>IFERROR(__xludf.DUMMYFUNCTION("""COMPUTED_VALUE"""),16.94916974151308)</f>
        <v>16.94916974</v>
      </c>
      <c r="F21" s="30">
        <f>IFERROR(__xludf.DUMMYFUNCTION("""COMPUTED_VALUE"""),20.593386715763053)</f>
        <v>20.59338672</v>
      </c>
      <c r="G21" s="30">
        <f>IFERROR(__xludf.DUMMYFUNCTION("""COMPUTED_VALUE"""),25.71897684560979)</f>
        <v>25.71897685</v>
      </c>
      <c r="H21" s="31" t="str">
        <f>IFERROR(__xludf.DUMMYFUNCTION("""COMPUTED_VALUE"""),"NEUTRAL")</f>
        <v>NEUTRAL</v>
      </c>
      <c r="I21" s="14" t="str">
        <f t="shared" si="2"/>
        <v>CHART</v>
      </c>
      <c r="K21" s="32" t="str">
        <f>IFERROR(__xludf.DUMMYFUNCTION("""COMPUTED_VALUE"""),"")</f>
        <v/>
      </c>
      <c r="L21" s="32" t="str">
        <f>IFERROR(__xludf.DUMMYFUNCTION("""COMPUTED_VALUE"""),"")</f>
        <v/>
      </c>
      <c r="M21" s="32" t="str">
        <f>IFERROR(__xludf.DUMMYFUNCTION("""COMPUTED_VALUE"""),"")</f>
        <v/>
      </c>
      <c r="N21" s="23" t="str">
        <f>IFERROR(__xludf.DUMMYFUNCTION("""COMPUTED_VALUE"""),"")</f>
        <v/>
      </c>
      <c r="O21" s="35" t="str">
        <f t="shared" si="3"/>
        <v/>
      </c>
      <c r="Q21" s="32" t="str">
        <f>IFERROR(__xludf.DUMMYFUNCTION("""COMPUTED_VALUE"""),"")</f>
        <v/>
      </c>
      <c r="R21" s="32" t="str">
        <f>IFERROR(__xludf.DUMMYFUNCTION("""COMPUTED_VALUE"""),"")</f>
        <v/>
      </c>
      <c r="S21" s="32" t="str">
        <f>IFERROR(__xludf.DUMMYFUNCTION("""COMPUTED_VALUE"""),"")</f>
        <v/>
      </c>
      <c r="T21" s="34" t="str">
        <f>IFERROR(__xludf.DUMMYFUNCTION("""COMPUTED_VALUE"""),"")</f>
        <v/>
      </c>
      <c r="U21" s="36" t="str">
        <f t="shared" si="4"/>
        <v/>
      </c>
      <c r="V21" s="28" t="str">
        <f>IFERROR(__xludf.DUMMYFUNCTION("IF(L21="""","""",IF(GOOGLEFINANCE(""NSE:""&amp;L21)&gt;0.994*GOOGLEFINANCE(""NSE:""&amp;L21,""HIGH""),""X"",""""))"),"")</f>
        <v/>
      </c>
      <c r="W21" s="29"/>
      <c r="X21" s="29" t="str">
        <f>IFERROR(__xludf.DUMMYFUNCTION("""COMPUTED_VALUE"""),"")</f>
        <v/>
      </c>
      <c r="Y21" s="29"/>
      <c r="Z21" s="29"/>
    </row>
    <row r="22">
      <c r="A22" s="29" t="str">
        <f t="shared" si="1"/>
        <v>X</v>
      </c>
      <c r="B22" s="12">
        <f>IFERROR(__xludf.DUMMYFUNCTION("""COMPUTED_VALUE"""),20.0)</f>
        <v>20</v>
      </c>
      <c r="C22" s="12" t="str">
        <f>IFERROR(__xludf.DUMMYFUNCTION("""COMPUTED_VALUE"""),"ITC")</f>
        <v>ITC</v>
      </c>
      <c r="D22" s="30">
        <f>IFERROR(__xludf.DUMMYFUNCTION("""COMPUTED_VALUE"""),35.746949126265235)</f>
        <v>35.74694913</v>
      </c>
      <c r="E22" s="30">
        <f>IFERROR(__xludf.DUMMYFUNCTION("""COMPUTED_VALUE"""),13.208947498238073)</f>
        <v>13.2089475</v>
      </c>
      <c r="F22" s="30">
        <f>IFERROR(__xludf.DUMMYFUNCTION("""COMPUTED_VALUE"""),19.054125195691903)</f>
        <v>19.0541252</v>
      </c>
      <c r="G22" s="30">
        <f>IFERROR(__xludf.DUMMYFUNCTION("""COMPUTED_VALUE"""),36.37022449993809)</f>
        <v>36.3702245</v>
      </c>
      <c r="H22" s="31" t="str">
        <f>IFERROR(__xludf.DUMMYFUNCTION("""COMPUTED_VALUE"""),"")</f>
        <v/>
      </c>
      <c r="I22" s="14" t="str">
        <f t="shared" si="2"/>
        <v>CHART</v>
      </c>
      <c r="K22" s="32" t="str">
        <f>IFERROR(__xludf.DUMMYFUNCTION("""COMPUTED_VALUE"""),"")</f>
        <v/>
      </c>
      <c r="L22" s="32" t="str">
        <f>IFERROR(__xludf.DUMMYFUNCTION("""COMPUTED_VALUE"""),"")</f>
        <v/>
      </c>
      <c r="M22" s="32" t="str">
        <f>IFERROR(__xludf.DUMMYFUNCTION("""COMPUTED_VALUE"""),"")</f>
        <v/>
      </c>
      <c r="N22" s="23" t="str">
        <f>IFERROR(__xludf.DUMMYFUNCTION("""COMPUTED_VALUE"""),"")</f>
        <v/>
      </c>
      <c r="O22" s="35" t="str">
        <f t="shared" si="3"/>
        <v/>
      </c>
      <c r="Q22" s="32" t="str">
        <f>IFERROR(__xludf.DUMMYFUNCTION("""COMPUTED_VALUE"""),"")</f>
        <v/>
      </c>
      <c r="R22" s="32" t="str">
        <f>IFERROR(__xludf.DUMMYFUNCTION("""COMPUTED_VALUE"""),"")</f>
        <v/>
      </c>
      <c r="S22" s="32" t="str">
        <f>IFERROR(__xludf.DUMMYFUNCTION("""COMPUTED_VALUE"""),"")</f>
        <v/>
      </c>
      <c r="T22" s="34" t="str">
        <f>IFERROR(__xludf.DUMMYFUNCTION("""COMPUTED_VALUE"""),"")</f>
        <v/>
      </c>
      <c r="U22" s="36" t="str">
        <f t="shared" si="4"/>
        <v/>
      </c>
      <c r="V22" s="28" t="str">
        <f>IFERROR(__xludf.DUMMYFUNCTION("IF(L22="""","""",IF(GOOGLEFINANCE(""NSE:""&amp;L22)&gt;0.994*GOOGLEFINANCE(""NSE:""&amp;L22,""HIGH""),""X"",""""))"),"")</f>
        <v/>
      </c>
      <c r="W22" s="29"/>
      <c r="X22" s="29" t="str">
        <f>IFERROR(__xludf.DUMMYFUNCTION("""COMPUTED_VALUE"""),"")</f>
        <v/>
      </c>
      <c r="Y22" s="29"/>
      <c r="Z22" s="29"/>
    </row>
    <row r="23">
      <c r="A23" s="29" t="str">
        <f t="shared" si="1"/>
        <v>X</v>
      </c>
      <c r="B23" s="12">
        <f>IFERROR(__xludf.DUMMYFUNCTION("""COMPUTED_VALUE"""),21.0)</f>
        <v>21</v>
      </c>
      <c r="C23" s="12" t="str">
        <f>IFERROR(__xludf.DUMMYFUNCTION("""COMPUTED_VALUE"""),"SAIL")</f>
        <v>SAIL</v>
      </c>
      <c r="D23" s="30">
        <f>IFERROR(__xludf.DUMMYFUNCTION("""COMPUTED_VALUE"""),67.51142732850747)</f>
        <v>67.51142733</v>
      </c>
      <c r="E23" s="30">
        <f>IFERROR(__xludf.DUMMYFUNCTION("""COMPUTED_VALUE"""),34.43831385992022)</f>
        <v>34.43831386</v>
      </c>
      <c r="F23" s="30">
        <f>IFERROR(__xludf.DUMMYFUNCTION("""COMPUTED_VALUE"""),37.23387784847835)</f>
        <v>37.23387785</v>
      </c>
      <c r="G23" s="30">
        <f>IFERROR(__xludf.DUMMYFUNCTION("""COMPUTED_VALUE"""),14.952831740822207)</f>
        <v>14.95283174</v>
      </c>
      <c r="H23" s="31" t="str">
        <f>IFERROR(__xludf.DUMMYFUNCTION("""COMPUTED_VALUE"""),"")</f>
        <v/>
      </c>
      <c r="I23" s="14" t="str">
        <f t="shared" si="2"/>
        <v>CHART</v>
      </c>
      <c r="K23" s="32" t="str">
        <f>IFERROR(__xludf.DUMMYFUNCTION("""COMPUTED_VALUE"""),"")</f>
        <v/>
      </c>
      <c r="L23" s="32" t="str">
        <f>IFERROR(__xludf.DUMMYFUNCTION("""COMPUTED_VALUE"""),"")</f>
        <v/>
      </c>
      <c r="M23" s="32" t="str">
        <f>IFERROR(__xludf.DUMMYFUNCTION("""COMPUTED_VALUE"""),"")</f>
        <v/>
      </c>
      <c r="N23" s="23" t="str">
        <f>IFERROR(__xludf.DUMMYFUNCTION("""COMPUTED_VALUE"""),"")</f>
        <v/>
      </c>
      <c r="O23" s="35" t="str">
        <f t="shared" si="3"/>
        <v/>
      </c>
      <c r="Q23" s="32" t="str">
        <f>IFERROR(__xludf.DUMMYFUNCTION("""COMPUTED_VALUE"""),"")</f>
        <v/>
      </c>
      <c r="R23" s="32" t="str">
        <f>IFERROR(__xludf.DUMMYFUNCTION("""COMPUTED_VALUE"""),"")</f>
        <v/>
      </c>
      <c r="S23" s="32" t="str">
        <f>IFERROR(__xludf.DUMMYFUNCTION("""COMPUTED_VALUE"""),"")</f>
        <v/>
      </c>
      <c r="T23" s="34" t="str">
        <f>IFERROR(__xludf.DUMMYFUNCTION("""COMPUTED_VALUE"""),"")</f>
        <v/>
      </c>
      <c r="U23" s="36" t="str">
        <f t="shared" si="4"/>
        <v/>
      </c>
      <c r="V23" s="28" t="str">
        <f>IFERROR(__xludf.DUMMYFUNCTION("IF(L23="""","""",IF(GOOGLEFINANCE(""NSE:""&amp;L23)&gt;0.994*GOOGLEFINANCE(""NSE:""&amp;L23,""HIGH""),""X"",""""))"),"")</f>
        <v/>
      </c>
      <c r="W23" s="29"/>
      <c r="X23" s="29"/>
      <c r="Y23" s="29"/>
      <c r="Z23" s="29"/>
    </row>
    <row r="24">
      <c r="A24" s="29" t="str">
        <f t="shared" si="1"/>
        <v>X</v>
      </c>
      <c r="B24" s="12">
        <f>IFERROR(__xludf.DUMMYFUNCTION("""COMPUTED_VALUE"""),22.0)</f>
        <v>22</v>
      </c>
      <c r="C24" s="12" t="str">
        <f>IFERROR(__xludf.DUMMYFUNCTION("""COMPUTED_VALUE"""),"INFY")</f>
        <v>INFY</v>
      </c>
      <c r="D24" s="30">
        <f>IFERROR(__xludf.DUMMYFUNCTION("""COMPUTED_VALUE"""),44.1667008824632)</f>
        <v>44.16670088</v>
      </c>
      <c r="E24" s="30">
        <f>IFERROR(__xludf.DUMMYFUNCTION("""COMPUTED_VALUE"""),20.523928027778705)</f>
        <v>20.52392803</v>
      </c>
      <c r="F24" s="30">
        <f>IFERROR(__xludf.DUMMYFUNCTION("""COMPUTED_VALUE"""),25.025702186863786)</f>
        <v>25.02570219</v>
      </c>
      <c r="G24" s="30">
        <f>IFERROR(__xludf.DUMMYFUNCTION("""COMPUTED_VALUE"""),33.06834606883037)</f>
        <v>33.06834607</v>
      </c>
      <c r="H24" s="31" t="str">
        <f>IFERROR(__xludf.DUMMYFUNCTION("""COMPUTED_VALUE"""),"")</f>
        <v/>
      </c>
      <c r="I24" s="14" t="str">
        <f t="shared" si="2"/>
        <v>CHART</v>
      </c>
      <c r="K24" s="32" t="str">
        <f>IFERROR(__xludf.DUMMYFUNCTION("""COMPUTED_VALUE"""),"")</f>
        <v/>
      </c>
      <c r="L24" s="32" t="str">
        <f>IFERROR(__xludf.DUMMYFUNCTION("""COMPUTED_VALUE"""),"")</f>
        <v/>
      </c>
      <c r="M24" s="32" t="str">
        <f>IFERROR(__xludf.DUMMYFUNCTION("""COMPUTED_VALUE"""),"")</f>
        <v/>
      </c>
      <c r="N24" s="23" t="str">
        <f>IFERROR(__xludf.DUMMYFUNCTION("""COMPUTED_VALUE"""),"")</f>
        <v/>
      </c>
      <c r="O24" s="35" t="str">
        <f t="shared" si="3"/>
        <v/>
      </c>
      <c r="Q24" s="32" t="str">
        <f>IFERROR(__xludf.DUMMYFUNCTION("""COMPUTED_VALUE"""),"")</f>
        <v/>
      </c>
      <c r="R24" s="32" t="str">
        <f>IFERROR(__xludf.DUMMYFUNCTION("""COMPUTED_VALUE"""),"")</f>
        <v/>
      </c>
      <c r="S24" s="32" t="str">
        <f>IFERROR(__xludf.DUMMYFUNCTION("""COMPUTED_VALUE"""),"")</f>
        <v/>
      </c>
      <c r="T24" s="34" t="str">
        <f>IFERROR(__xludf.DUMMYFUNCTION("""COMPUTED_VALUE"""),"")</f>
        <v/>
      </c>
      <c r="U24" s="36" t="str">
        <f t="shared" si="4"/>
        <v/>
      </c>
      <c r="V24" s="28" t="str">
        <f>IFERROR(__xludf.DUMMYFUNCTION("IF(L24="""","""",IF(GOOGLEFINANCE(""NSE:""&amp;L24)&gt;0.994*GOOGLEFINANCE(""NSE:""&amp;L24,""HIGH""),""X"",""""))"),"")</f>
        <v/>
      </c>
      <c r="W24" s="29"/>
      <c r="X24" s="29"/>
      <c r="Y24" s="29"/>
      <c r="Z24" s="29"/>
    </row>
    <row r="25">
      <c r="A25" s="29" t="str">
        <f t="shared" si="1"/>
        <v>X</v>
      </c>
      <c r="B25" s="12">
        <f>IFERROR(__xludf.DUMMYFUNCTION("""COMPUTED_VALUE"""),23.0)</f>
        <v>23</v>
      </c>
      <c r="C25" s="12" t="str">
        <f>IFERROR(__xludf.DUMMYFUNCTION("""COMPUTED_VALUE"""),"VEDL")</f>
        <v>VEDL</v>
      </c>
      <c r="D25" s="30">
        <f>IFERROR(__xludf.DUMMYFUNCTION("""COMPUTED_VALUE"""),35.32446049564109)</f>
        <v>35.3244605</v>
      </c>
      <c r="E25" s="30">
        <f>IFERROR(__xludf.DUMMYFUNCTION("""COMPUTED_VALUE"""),40.168498304111644)</f>
        <v>40.1684983</v>
      </c>
      <c r="F25" s="30">
        <f>IFERROR(__xludf.DUMMYFUNCTION("""COMPUTED_VALUE"""),42.66579092185585)</f>
        <v>42.66579092</v>
      </c>
      <c r="G25" s="30">
        <f>IFERROR(__xludf.DUMMYFUNCTION("""COMPUTED_VALUE"""),77.05064369723922)</f>
        <v>77.0506437</v>
      </c>
      <c r="H25" s="31" t="str">
        <f>IFERROR(__xludf.DUMMYFUNCTION("""COMPUTED_VALUE"""),"")</f>
        <v/>
      </c>
      <c r="I25" s="14" t="str">
        <f t="shared" si="2"/>
        <v>CHART</v>
      </c>
      <c r="K25" s="32" t="str">
        <f>IFERROR(__xludf.DUMMYFUNCTION("""COMPUTED_VALUE"""),"")</f>
        <v/>
      </c>
      <c r="L25" s="32" t="str">
        <f>IFERROR(__xludf.DUMMYFUNCTION("""COMPUTED_VALUE"""),"")</f>
        <v/>
      </c>
      <c r="M25" s="32" t="str">
        <f>IFERROR(__xludf.DUMMYFUNCTION("""COMPUTED_VALUE"""),"")</f>
        <v/>
      </c>
      <c r="N25" s="23" t="str">
        <f>IFERROR(__xludf.DUMMYFUNCTION("""COMPUTED_VALUE"""),"")</f>
        <v/>
      </c>
      <c r="O25" s="35" t="str">
        <f t="shared" si="3"/>
        <v/>
      </c>
      <c r="Q25" s="32" t="str">
        <f>IFERROR(__xludf.DUMMYFUNCTION("""COMPUTED_VALUE"""),"")</f>
        <v/>
      </c>
      <c r="R25" s="32" t="str">
        <f>IFERROR(__xludf.DUMMYFUNCTION("""COMPUTED_VALUE"""),"")</f>
        <v/>
      </c>
      <c r="S25" s="32" t="str">
        <f>IFERROR(__xludf.DUMMYFUNCTION("""COMPUTED_VALUE"""),"")</f>
        <v/>
      </c>
      <c r="T25" s="34" t="str">
        <f>IFERROR(__xludf.DUMMYFUNCTION("""COMPUTED_VALUE"""),"")</f>
        <v/>
      </c>
      <c r="U25" s="36" t="str">
        <f t="shared" si="4"/>
        <v/>
      </c>
      <c r="V25" s="28" t="str">
        <f>IFERROR(__xludf.DUMMYFUNCTION("IF(L25="""","""",IF(GOOGLEFINANCE(""NSE:""&amp;L25)&gt;0.994*GOOGLEFINANCE(""NSE:""&amp;L25,""HIGH""),""X"",""""))"),"")</f>
        <v/>
      </c>
      <c r="W25" s="29"/>
      <c r="X25" s="29"/>
      <c r="Y25" s="29"/>
      <c r="Z25" s="29"/>
    </row>
    <row r="26">
      <c r="A26" s="29" t="str">
        <f t="shared" si="1"/>
        <v>X</v>
      </c>
      <c r="B26" s="12">
        <f>IFERROR(__xludf.DUMMYFUNCTION("""COMPUTED_VALUE"""),24.0)</f>
        <v>24</v>
      </c>
      <c r="C26" s="12" t="str">
        <f>IFERROR(__xludf.DUMMYFUNCTION("""COMPUTED_VALUE"""),"LT")</f>
        <v>LT</v>
      </c>
      <c r="D26" s="30">
        <f>IFERROR(__xludf.DUMMYFUNCTION("""COMPUTED_VALUE"""),59.2883149126575)</f>
        <v>59.28831491</v>
      </c>
      <c r="E26" s="30">
        <f>IFERROR(__xludf.DUMMYFUNCTION("""COMPUTED_VALUE"""),7.718272162368668)</f>
        <v>7.718272162</v>
      </c>
      <c r="F26" s="30">
        <f>IFERROR(__xludf.DUMMYFUNCTION("""COMPUTED_VALUE"""),39.06732006548055)</f>
        <v>39.06732007</v>
      </c>
      <c r="G26" s="30">
        <f>IFERROR(__xludf.DUMMYFUNCTION("""COMPUTED_VALUE"""),35.14757494570968)</f>
        <v>35.14757495</v>
      </c>
      <c r="H26" s="31" t="str">
        <f>IFERROR(__xludf.DUMMYFUNCTION("""COMPUTED_VALUE"""),"")</f>
        <v/>
      </c>
      <c r="I26" s="14" t="str">
        <f t="shared" si="2"/>
        <v>CHART</v>
      </c>
      <c r="K26" s="32" t="str">
        <f>IFERROR(__xludf.DUMMYFUNCTION("""COMPUTED_VALUE"""),"")</f>
        <v/>
      </c>
      <c r="L26" s="32" t="str">
        <f>IFERROR(__xludf.DUMMYFUNCTION("""COMPUTED_VALUE"""),"")</f>
        <v/>
      </c>
      <c r="M26" s="32" t="str">
        <f>IFERROR(__xludf.DUMMYFUNCTION("""COMPUTED_VALUE"""),"")</f>
        <v/>
      </c>
      <c r="N26" s="23" t="str">
        <f>IFERROR(__xludf.DUMMYFUNCTION("""COMPUTED_VALUE"""),"")</f>
        <v/>
      </c>
      <c r="O26" s="35" t="str">
        <f t="shared" si="3"/>
        <v/>
      </c>
      <c r="Q26" s="32" t="str">
        <f>IFERROR(__xludf.DUMMYFUNCTION("""COMPUTED_VALUE"""),"")</f>
        <v/>
      </c>
      <c r="R26" s="32" t="str">
        <f>IFERROR(__xludf.DUMMYFUNCTION("""COMPUTED_VALUE"""),"")</f>
        <v/>
      </c>
      <c r="S26" s="32" t="str">
        <f>IFERROR(__xludf.DUMMYFUNCTION("""COMPUTED_VALUE"""),"")</f>
        <v/>
      </c>
      <c r="T26" s="34" t="str">
        <f>IFERROR(__xludf.DUMMYFUNCTION("""COMPUTED_VALUE"""),"")</f>
        <v/>
      </c>
      <c r="U26" s="36" t="str">
        <f t="shared" si="4"/>
        <v/>
      </c>
      <c r="V26" s="28" t="str">
        <f>IFERROR(__xludf.DUMMYFUNCTION("IF(L26="""","""",IF(GOOGLEFINANCE(""NSE:""&amp;L26)&gt;0.994*GOOGLEFINANCE(""NSE:""&amp;L26,""HIGH""),""X"",""""))"),"")</f>
        <v/>
      </c>
      <c r="W26" s="29"/>
      <c r="X26" s="29"/>
      <c r="Y26" s="29"/>
      <c r="Z26" s="29"/>
    </row>
    <row r="27">
      <c r="A27" s="29" t="str">
        <f t="shared" si="1"/>
        <v>X</v>
      </c>
      <c r="B27" s="12">
        <f>IFERROR(__xludf.DUMMYFUNCTION("""COMPUTED_VALUE"""),25.0)</f>
        <v>25</v>
      </c>
      <c r="C27" s="12" t="str">
        <f>IFERROR(__xludf.DUMMYFUNCTION("""COMPUTED_VALUE"""),"CGPOWER")</f>
        <v>CGPOWER</v>
      </c>
      <c r="D27" s="30">
        <f>IFERROR(__xludf.DUMMYFUNCTION("""COMPUTED_VALUE"""),71.21491010302799)</f>
        <v>71.2149101</v>
      </c>
      <c r="E27" s="30">
        <f>IFERROR(__xludf.DUMMYFUNCTION("""COMPUTED_VALUE"""),24.989877443374475)</f>
        <v>24.98987744</v>
      </c>
      <c r="F27" s="30">
        <f>IFERROR(__xludf.DUMMYFUNCTION("""COMPUTED_VALUE"""),37.5910965648027)</f>
        <v>37.59109656</v>
      </c>
      <c r="G27" s="30">
        <f>IFERROR(__xludf.DUMMYFUNCTION("""COMPUTED_VALUE"""),14.34658458373302)</f>
        <v>14.34658458</v>
      </c>
      <c r="H27" s="31" t="str">
        <f>IFERROR(__xludf.DUMMYFUNCTION("""COMPUTED_VALUE"""),"")</f>
        <v/>
      </c>
      <c r="I27" s="14" t="str">
        <f t="shared" si="2"/>
        <v>CHART</v>
      </c>
      <c r="K27" s="32" t="str">
        <f>IFERROR(__xludf.DUMMYFUNCTION("""COMPUTED_VALUE"""),"")</f>
        <v/>
      </c>
      <c r="L27" s="32" t="str">
        <f>IFERROR(__xludf.DUMMYFUNCTION("""COMPUTED_VALUE"""),"")</f>
        <v/>
      </c>
      <c r="M27" s="32" t="str">
        <f>IFERROR(__xludf.DUMMYFUNCTION("""COMPUTED_VALUE"""),"")</f>
        <v/>
      </c>
      <c r="N27" s="23" t="str">
        <f>IFERROR(__xludf.DUMMYFUNCTION("""COMPUTED_VALUE"""),"")</f>
        <v/>
      </c>
      <c r="O27" s="35" t="str">
        <f t="shared" si="3"/>
        <v/>
      </c>
      <c r="Q27" s="32" t="str">
        <f>IFERROR(__xludf.DUMMYFUNCTION("""COMPUTED_VALUE"""),"")</f>
        <v/>
      </c>
      <c r="R27" s="32" t="str">
        <f>IFERROR(__xludf.DUMMYFUNCTION("""COMPUTED_VALUE"""),"")</f>
        <v/>
      </c>
      <c r="S27" s="32" t="str">
        <f>IFERROR(__xludf.DUMMYFUNCTION("""COMPUTED_VALUE"""),"")</f>
        <v/>
      </c>
      <c r="T27" s="34" t="str">
        <f>IFERROR(__xludf.DUMMYFUNCTION("""COMPUTED_VALUE"""),"")</f>
        <v/>
      </c>
      <c r="U27" s="36" t="str">
        <f t="shared" si="4"/>
        <v/>
      </c>
      <c r="V27" s="28" t="str">
        <f>IFERROR(__xludf.DUMMYFUNCTION("IF(L27="""","""",IF(GOOGLEFINANCE(""NSE:""&amp;L27)&gt;0.994*GOOGLEFINANCE(""NSE:""&amp;L27,""HIGH""),""X"",""""))"),"")</f>
        <v/>
      </c>
      <c r="W27" s="29"/>
      <c r="X27" s="29"/>
      <c r="Y27" s="29"/>
      <c r="Z27" s="29"/>
    </row>
    <row r="28">
      <c r="A28" s="29" t="str">
        <f t="shared" si="1"/>
        <v>X</v>
      </c>
      <c r="B28" s="12">
        <f>IFERROR(__xludf.DUMMYFUNCTION("""COMPUTED_VALUE"""),26.0)</f>
        <v>26</v>
      </c>
      <c r="C28" s="12" t="str">
        <f>IFERROR(__xludf.DUMMYFUNCTION("""COMPUTED_VALUE"""),"DIXON")</f>
        <v>DIXON</v>
      </c>
      <c r="D28" s="30">
        <f>IFERROR(__xludf.DUMMYFUNCTION("""COMPUTED_VALUE"""),62.09276970385686)</f>
        <v>62.0927697</v>
      </c>
      <c r="E28" s="30">
        <f>IFERROR(__xludf.DUMMYFUNCTION("""COMPUTED_VALUE"""),8.645508441146541)</f>
        <v>8.645508441</v>
      </c>
      <c r="F28" s="30">
        <f>IFERROR(__xludf.DUMMYFUNCTION("""COMPUTED_VALUE"""),63.43571145513788)</f>
        <v>63.43571146</v>
      </c>
      <c r="G28" s="30">
        <f>IFERROR(__xludf.DUMMYFUNCTION("""COMPUTED_VALUE"""),47.35557297121719)</f>
        <v>47.35557297</v>
      </c>
      <c r="H28" s="31" t="str">
        <f>IFERROR(__xludf.DUMMYFUNCTION("""COMPUTED_VALUE"""),"")</f>
        <v/>
      </c>
      <c r="I28" s="14" t="str">
        <f t="shared" si="2"/>
        <v>CHART</v>
      </c>
      <c r="L28" s="37" t="s">
        <v>0</v>
      </c>
      <c r="M28" s="38"/>
      <c r="N28" s="39">
        <f>IFERROR(__xludf.DUMMYFUNCTION("GOOGLEFINANCE(""NSE:SBIN"",""TRADETIME"")"),46169.47828703704)</f>
        <v>46169.47829</v>
      </c>
      <c r="O28" s="40"/>
      <c r="P28" s="40"/>
      <c r="Q28" s="38"/>
    </row>
    <row r="29">
      <c r="A29" s="29" t="str">
        <f t="shared" si="1"/>
        <v>X</v>
      </c>
      <c r="B29" s="12">
        <f>IFERROR(__xludf.DUMMYFUNCTION("""COMPUTED_VALUE"""),27.0)</f>
        <v>27</v>
      </c>
      <c r="C29" s="12" t="str">
        <f>IFERROR(__xludf.DUMMYFUNCTION("""COMPUTED_VALUE"""),"ABB")</f>
        <v>ABB</v>
      </c>
      <c r="D29" s="30">
        <f>IFERROR(__xludf.DUMMYFUNCTION("""COMPUTED_VALUE"""),59.51430277335894)</f>
        <v>59.51430277</v>
      </c>
      <c r="E29" s="30">
        <f>IFERROR(__xludf.DUMMYFUNCTION("""COMPUTED_VALUE"""),24.338159427367053)</f>
        <v>24.33815943</v>
      </c>
      <c r="F29" s="30">
        <f>IFERROR(__xludf.DUMMYFUNCTION("""COMPUTED_VALUE"""),29.81768035551739)</f>
        <v>29.81768036</v>
      </c>
      <c r="G29" s="30">
        <f>IFERROR(__xludf.DUMMYFUNCTION("""COMPUTED_VALUE"""),22.975252940090922)</f>
        <v>22.97525294</v>
      </c>
      <c r="H29" s="31" t="str">
        <f>IFERROR(__xludf.DUMMYFUNCTION("""COMPUTED_VALUE"""),"")</f>
        <v/>
      </c>
      <c r="I29" s="14" t="str">
        <f t="shared" si="2"/>
        <v>CHART</v>
      </c>
      <c r="K29" s="41" t="s">
        <v>19</v>
      </c>
      <c r="P29" s="23"/>
    </row>
    <row r="30">
      <c r="A30" s="29" t="str">
        <f t="shared" si="1"/>
        <v>X</v>
      </c>
      <c r="B30" s="12">
        <f>IFERROR(__xludf.DUMMYFUNCTION("""COMPUTED_VALUE"""),28.0)</f>
        <v>28</v>
      </c>
      <c r="C30" s="12" t="str">
        <f>IFERROR(__xludf.DUMMYFUNCTION("""COMPUTED_VALUE"""),"AXISBANK")</f>
        <v>AXISBANK</v>
      </c>
      <c r="D30" s="30">
        <f>IFERROR(__xludf.DUMMYFUNCTION("""COMPUTED_VALUE"""),58.71167462639751)</f>
        <v>58.71167463</v>
      </c>
      <c r="E30" s="30">
        <f>IFERROR(__xludf.DUMMYFUNCTION("""COMPUTED_VALUE"""),17.61807388742563)</f>
        <v>17.61807389</v>
      </c>
      <c r="F30" s="30">
        <f>IFERROR(__xludf.DUMMYFUNCTION("""COMPUTED_VALUE"""),27.72331668748692)</f>
        <v>27.72331669</v>
      </c>
      <c r="G30" s="30">
        <f>IFERROR(__xludf.DUMMYFUNCTION("""COMPUTED_VALUE"""),23.735843024544373)</f>
        <v>23.73584302</v>
      </c>
      <c r="H30" s="31" t="str">
        <f>IFERROR(__xludf.DUMMYFUNCTION("""COMPUTED_VALUE"""),"")</f>
        <v/>
      </c>
      <c r="I30" s="14" t="str">
        <f t="shared" si="2"/>
        <v>CHART</v>
      </c>
      <c r="K30" s="42" t="s">
        <v>20</v>
      </c>
      <c r="P30" s="23"/>
    </row>
    <row r="31">
      <c r="A31" s="29" t="str">
        <f t="shared" si="1"/>
        <v>X</v>
      </c>
      <c r="B31" s="12">
        <f>IFERROR(__xludf.DUMMYFUNCTION("""COMPUTED_VALUE"""),29.0)</f>
        <v>29</v>
      </c>
      <c r="C31" s="12" t="str">
        <f>IFERROR(__xludf.DUMMYFUNCTION("""COMPUTED_VALUE"""),"WIPRO")</f>
        <v>WIPRO</v>
      </c>
      <c r="D31" s="30">
        <f>IFERROR(__xludf.DUMMYFUNCTION("""COMPUTED_VALUE"""),58.19870532704082)</f>
        <v>58.19870533</v>
      </c>
      <c r="E31" s="30">
        <f>IFERROR(__xludf.DUMMYFUNCTION("""COMPUTED_VALUE"""),18.01030154855616)</f>
        <v>18.01030155</v>
      </c>
      <c r="F31" s="30">
        <f>IFERROR(__xludf.DUMMYFUNCTION("""COMPUTED_VALUE"""),35.07891595058542)</f>
        <v>35.07891595</v>
      </c>
      <c r="G31" s="30">
        <f>IFERROR(__xludf.DUMMYFUNCTION("""COMPUTED_VALUE"""),21.17839928476085)</f>
        <v>21.17839928</v>
      </c>
      <c r="H31" s="31" t="str">
        <f>IFERROR(__xludf.DUMMYFUNCTION("""COMPUTED_VALUE"""),"")</f>
        <v/>
      </c>
      <c r="I31" s="14" t="str">
        <f t="shared" si="2"/>
        <v>CHART</v>
      </c>
      <c r="L31" s="18" t="s">
        <v>21</v>
      </c>
      <c r="P31" s="23"/>
    </row>
    <row r="32">
      <c r="A32" s="29" t="str">
        <f t="shared" si="1"/>
        <v>X</v>
      </c>
      <c r="B32" s="12">
        <f>IFERROR(__xludf.DUMMYFUNCTION("""COMPUTED_VALUE"""),30.0)</f>
        <v>30</v>
      </c>
      <c r="C32" s="12" t="str">
        <f>IFERROR(__xludf.DUMMYFUNCTION("""COMPUTED_VALUE"""),"BHARTIARTL")</f>
        <v>BHARTIARTL</v>
      </c>
      <c r="D32" s="30">
        <f>IFERROR(__xludf.DUMMYFUNCTION("""COMPUTED_VALUE"""),51.0890311027435)</f>
        <v>51.0890311</v>
      </c>
      <c r="E32" s="30">
        <f>IFERROR(__xludf.DUMMYFUNCTION("""COMPUTED_VALUE"""),20.705967877891307)</f>
        <v>20.70596788</v>
      </c>
      <c r="F32" s="30">
        <f>IFERROR(__xludf.DUMMYFUNCTION("""COMPUTED_VALUE"""),24.99268827592858)</f>
        <v>24.99268828</v>
      </c>
      <c r="G32" s="30">
        <f>IFERROR(__xludf.DUMMYFUNCTION("""COMPUTED_VALUE"""),25.097597831556612)</f>
        <v>25.09759783</v>
      </c>
      <c r="H32" s="31" t="str">
        <f>IFERROR(__xludf.DUMMYFUNCTION("""COMPUTED_VALUE"""),"NEUTRAL")</f>
        <v>NEUTRAL</v>
      </c>
      <c r="I32" s="14" t="str">
        <f t="shared" si="2"/>
        <v>CHART</v>
      </c>
      <c r="K32" s="18" t="s">
        <v>22</v>
      </c>
      <c r="L32" s="18" t="s">
        <v>23</v>
      </c>
      <c r="P32" s="23"/>
    </row>
    <row r="33">
      <c r="A33" s="29" t="str">
        <f t="shared" si="1"/>
        <v>X</v>
      </c>
      <c r="B33" s="12">
        <f>IFERROR(__xludf.DUMMYFUNCTION("""COMPUTED_VALUE"""),31.0)</f>
        <v>31</v>
      </c>
      <c r="C33" s="12" t="str">
        <f>IFERROR(__xludf.DUMMYFUNCTION("""COMPUTED_VALUE"""),"ADANIPORTS")</f>
        <v>ADANIPORTS</v>
      </c>
      <c r="D33" s="30">
        <f>IFERROR(__xludf.DUMMYFUNCTION("""COMPUTED_VALUE"""),69.85835338883233)</f>
        <v>69.85835339</v>
      </c>
      <c r="E33" s="30">
        <f>IFERROR(__xludf.DUMMYFUNCTION("""COMPUTED_VALUE"""),29.48301060496677)</f>
        <v>29.4830106</v>
      </c>
      <c r="F33" s="30">
        <f>IFERROR(__xludf.DUMMYFUNCTION("""COMPUTED_VALUE"""),35.521183676319566)</f>
        <v>35.52118368</v>
      </c>
      <c r="G33" s="30">
        <f>IFERROR(__xludf.DUMMYFUNCTION("""COMPUTED_VALUE"""),15.545996957678545)</f>
        <v>15.54599696</v>
      </c>
      <c r="H33" s="31" t="str">
        <f>IFERROR(__xludf.DUMMYFUNCTION("""COMPUTED_VALUE"""),"")</f>
        <v/>
      </c>
      <c r="I33" s="14" t="str">
        <f t="shared" si="2"/>
        <v>CHART</v>
      </c>
      <c r="K33" s="43"/>
      <c r="L33" s="18" t="s">
        <v>24</v>
      </c>
      <c r="P33" s="23"/>
    </row>
    <row r="34">
      <c r="A34" s="29" t="str">
        <f t="shared" si="1"/>
        <v>X</v>
      </c>
      <c r="B34" s="12">
        <f>IFERROR(__xludf.DUMMYFUNCTION("""COMPUTED_VALUE"""),32.0)</f>
        <v>32</v>
      </c>
      <c r="C34" s="12" t="str">
        <f>IFERROR(__xludf.DUMMYFUNCTION("""COMPUTED_VALUE"""),"PAYTM")</f>
        <v>PAYTM</v>
      </c>
      <c r="D34" s="30">
        <f>IFERROR(__xludf.DUMMYFUNCTION("""COMPUTED_VALUE"""),51.935518486929475)</f>
        <v>51.93551849</v>
      </c>
      <c r="E34" s="30">
        <f>IFERROR(__xludf.DUMMYFUNCTION("""COMPUTED_VALUE"""),16.623788634398306)</f>
        <v>16.62378863</v>
      </c>
      <c r="F34" s="30">
        <f>IFERROR(__xludf.DUMMYFUNCTION("""COMPUTED_VALUE"""),24.171228647538115)</f>
        <v>24.17122865</v>
      </c>
      <c r="G34" s="30">
        <f>IFERROR(__xludf.DUMMYFUNCTION("""COMPUTED_VALUE"""),30.366123254261783)</f>
        <v>30.36612325</v>
      </c>
      <c r="H34" s="31" t="str">
        <f>IFERROR(__xludf.DUMMYFUNCTION("""COMPUTED_VALUE"""),"NEUTRAL")</f>
        <v>NEUTRAL</v>
      </c>
      <c r="I34" s="14" t="str">
        <f t="shared" si="2"/>
        <v>CHART</v>
      </c>
      <c r="K34" s="18" t="s">
        <v>25</v>
      </c>
      <c r="L34" s="18" t="s">
        <v>26</v>
      </c>
      <c r="P34" s="23"/>
    </row>
    <row r="35">
      <c r="A35" s="29" t="str">
        <f t="shared" si="1"/>
        <v>X</v>
      </c>
      <c r="B35" s="12">
        <f>IFERROR(__xludf.DUMMYFUNCTION("""COMPUTED_VALUE"""),33.0)</f>
        <v>33</v>
      </c>
      <c r="C35" s="12" t="str">
        <f>IFERROR(__xludf.DUMMYFUNCTION("""COMPUTED_VALUE"""),"OFSS")</f>
        <v>OFSS</v>
      </c>
      <c r="D35" s="30">
        <f>IFERROR(__xludf.DUMMYFUNCTION("""COMPUTED_VALUE"""),75.12564065178726)</f>
        <v>75.12564065</v>
      </c>
      <c r="E35" s="30">
        <f>IFERROR(__xludf.DUMMYFUNCTION("""COMPUTED_VALUE"""),40.413775611530404)</f>
        <v>40.41377561</v>
      </c>
      <c r="F35" s="30">
        <f>IFERROR(__xludf.DUMMYFUNCTION("""COMPUTED_VALUE"""),45.19078293518366)</f>
        <v>45.19078294</v>
      </c>
      <c r="G35" s="30">
        <f>IFERROR(__xludf.DUMMYFUNCTION("""COMPUTED_VALUE"""),17.217090029014667)</f>
        <v>17.21709003</v>
      </c>
      <c r="H35" s="31" t="str">
        <f>IFERROR(__xludf.DUMMYFUNCTION("""COMPUTED_VALUE"""),"")</f>
        <v/>
      </c>
      <c r="I35" s="14" t="str">
        <f t="shared" si="2"/>
        <v>CHART</v>
      </c>
      <c r="K35" s="43"/>
      <c r="L35" s="18" t="s">
        <v>27</v>
      </c>
      <c r="P35" s="23"/>
    </row>
    <row r="36">
      <c r="A36" s="29" t="str">
        <f t="shared" si="1"/>
        <v>Y</v>
      </c>
      <c r="B36" s="12">
        <f>IFERROR(__xludf.DUMMYFUNCTION("""COMPUTED_VALUE"""),34.0)</f>
        <v>34</v>
      </c>
      <c r="C36" s="12" t="str">
        <f>IFERROR(__xludf.DUMMYFUNCTION("""COMPUTED_VALUE"""),"BHEL")</f>
        <v>BHEL</v>
      </c>
      <c r="D36" s="30">
        <f>IFERROR(__xludf.DUMMYFUNCTION("""COMPUTED_VALUE"""),72.60842605604063)</f>
        <v>72.60842606</v>
      </c>
      <c r="E36" s="30">
        <f>IFERROR(__xludf.DUMMYFUNCTION("""COMPUTED_VALUE"""),50.862505196342674)</f>
        <v>50.8625052</v>
      </c>
      <c r="F36" s="30">
        <f>IFERROR(__xludf.DUMMYFUNCTION("""COMPUTED_VALUE"""),37.32279460687623)</f>
        <v>37.32279461</v>
      </c>
      <c r="G36" s="30">
        <f>IFERROR(__xludf.DUMMYFUNCTION("""COMPUTED_VALUE"""),11.184134603692012)</f>
        <v>11.1841346</v>
      </c>
      <c r="H36" s="31">
        <f>IFERROR(__xludf.DUMMYFUNCTION("""COMPUTED_VALUE"""),5.0)</f>
        <v>5</v>
      </c>
      <c r="I36" s="14" t="str">
        <f t="shared" si="2"/>
        <v>CHART</v>
      </c>
      <c r="K36" s="43"/>
      <c r="L36" s="18" t="s">
        <v>28</v>
      </c>
      <c r="P36" s="23"/>
    </row>
    <row r="37">
      <c r="A37" s="29" t="str">
        <f t="shared" si="1"/>
        <v>Y</v>
      </c>
      <c r="B37" s="12">
        <f>IFERROR(__xludf.DUMMYFUNCTION("""COMPUTED_VALUE"""),35.0)</f>
        <v>35</v>
      </c>
      <c r="C37" s="12" t="str">
        <f>IFERROR(__xludf.DUMMYFUNCTION("""COMPUTED_VALUE"""),"IDEA")</f>
        <v>IDEA</v>
      </c>
      <c r="D37" s="30">
        <f>IFERROR(__xludf.DUMMYFUNCTION("""COMPUTED_VALUE"""),85.85085137670188)</f>
        <v>85.85085138</v>
      </c>
      <c r="E37" s="30">
        <f>IFERROR(__xludf.DUMMYFUNCTION("""COMPUTED_VALUE"""),53.735224765099936)</f>
        <v>53.73522477</v>
      </c>
      <c r="F37" s="30">
        <f>IFERROR(__xludf.DUMMYFUNCTION("""COMPUTED_VALUE"""),43.81261612164905)</f>
        <v>43.81261612</v>
      </c>
      <c r="G37" s="30">
        <f>IFERROR(__xludf.DUMMYFUNCTION("""COMPUTED_VALUE"""),6.5287711423797035)</f>
        <v>6.528771142</v>
      </c>
      <c r="H37" s="31">
        <f>IFERROR(__xludf.DUMMYFUNCTION("""COMPUTED_VALUE"""),5.0)</f>
        <v>5</v>
      </c>
      <c r="I37" s="14" t="str">
        <f t="shared" si="2"/>
        <v>CHART</v>
      </c>
      <c r="K37" s="43"/>
      <c r="L37" s="18" t="s">
        <v>29</v>
      </c>
      <c r="P37" s="23"/>
    </row>
    <row r="38">
      <c r="A38" s="29" t="str">
        <f t="shared" si="1"/>
        <v>X</v>
      </c>
      <c r="B38" s="12">
        <f>IFERROR(__xludf.DUMMYFUNCTION("""COMPUTED_VALUE"""),36.0)</f>
        <v>36</v>
      </c>
      <c r="C38" s="12" t="str">
        <f>IFERROR(__xludf.DUMMYFUNCTION("""COMPUTED_VALUE"""),"TMPV")</f>
        <v>TMPV</v>
      </c>
      <c r="D38" s="30">
        <f>IFERROR(__xludf.DUMMYFUNCTION("""COMPUTED_VALUE"""),73.0405589628356)</f>
        <v>73.04055896</v>
      </c>
      <c r="E38" s="30">
        <f>IFERROR(__xludf.DUMMYFUNCTION("""COMPUTED_VALUE"""),23.55685042337803)</f>
        <v>23.55685042</v>
      </c>
      <c r="F38" s="30">
        <f>IFERROR(__xludf.DUMMYFUNCTION("""COMPUTED_VALUE"""),53.89619398755616)</f>
        <v>53.89619399</v>
      </c>
      <c r="G38" s="30">
        <f>IFERROR(__xludf.DUMMYFUNCTION("""COMPUTED_VALUE"""),17.8431624240313)</f>
        <v>17.84316242</v>
      </c>
      <c r="H38" s="31" t="str">
        <f>IFERROR(__xludf.DUMMYFUNCTION("""COMPUTED_VALUE"""),"")</f>
        <v/>
      </c>
      <c r="I38" s="14" t="str">
        <f t="shared" si="2"/>
        <v>CHART</v>
      </c>
      <c r="K38" s="18" t="s">
        <v>30</v>
      </c>
      <c r="L38" s="44" t="s">
        <v>31</v>
      </c>
    </row>
    <row r="39">
      <c r="A39" s="29" t="str">
        <f t="shared" si="1"/>
        <v>X</v>
      </c>
      <c r="B39" s="12">
        <f>IFERROR(__xludf.DUMMYFUNCTION("""COMPUTED_VALUE"""),37.0)</f>
        <v>37</v>
      </c>
      <c r="C39" s="12" t="str">
        <f>IFERROR(__xludf.DUMMYFUNCTION("""COMPUTED_VALUE"""),"NTPC")</f>
        <v>NTPC</v>
      </c>
      <c r="D39" s="30">
        <f>IFERROR(__xludf.DUMMYFUNCTION("""COMPUTED_VALUE"""),53.23696234699494)</f>
        <v>53.23696235</v>
      </c>
      <c r="E39" s="30">
        <f>IFERROR(__xludf.DUMMYFUNCTION("""COMPUTED_VALUE"""),14.761238088114132)</f>
        <v>14.76123809</v>
      </c>
      <c r="F39" s="30">
        <f>IFERROR(__xludf.DUMMYFUNCTION("""COMPUTED_VALUE"""),22.76711828740462)</f>
        <v>22.76711829</v>
      </c>
      <c r="G39" s="30">
        <f>IFERROR(__xludf.DUMMYFUNCTION("""COMPUTED_VALUE"""),18.011506179964616)</f>
        <v>18.01150618</v>
      </c>
      <c r="H39" s="31" t="str">
        <f>IFERROR(__xludf.DUMMYFUNCTION("""COMPUTED_VALUE"""),"NEUTRAL")</f>
        <v>NEUTRAL</v>
      </c>
      <c r="I39" s="14" t="str">
        <f t="shared" si="2"/>
        <v>CHART</v>
      </c>
      <c r="K39" s="43"/>
      <c r="L39" s="44" t="s">
        <v>32</v>
      </c>
    </row>
    <row r="40">
      <c r="A40" s="29" t="str">
        <f t="shared" si="1"/>
        <v>X</v>
      </c>
      <c r="B40" s="12">
        <f>IFERROR(__xludf.DUMMYFUNCTION("""COMPUTED_VALUE"""),38.0)</f>
        <v>38</v>
      </c>
      <c r="C40" s="12" t="str">
        <f>IFERROR(__xludf.DUMMYFUNCTION("""COMPUTED_VALUE"""),"AMBER")</f>
        <v>AMBER</v>
      </c>
      <c r="D40" s="30">
        <f>IFERROR(__xludf.DUMMYFUNCTION("""COMPUTED_VALUE"""),46.50464272522311)</f>
        <v>46.50464273</v>
      </c>
      <c r="E40" s="30">
        <f>IFERROR(__xludf.DUMMYFUNCTION("""COMPUTED_VALUE"""),23.13474842898327)</f>
        <v>23.13474843</v>
      </c>
      <c r="F40" s="30">
        <f>IFERROR(__xludf.DUMMYFUNCTION("""COMPUTED_VALUE"""),25.669945424503098)</f>
        <v>25.66994542</v>
      </c>
      <c r="G40" s="30">
        <f>IFERROR(__xludf.DUMMYFUNCTION("""COMPUTED_VALUE"""),31.804207759047237)</f>
        <v>31.80420776</v>
      </c>
      <c r="H40" s="31" t="str">
        <f>IFERROR(__xludf.DUMMYFUNCTION("""COMPUTED_VALUE"""),"NEUTRAL")</f>
        <v>NEUTRAL</v>
      </c>
      <c r="I40" s="14" t="str">
        <f t="shared" si="2"/>
        <v>CHART</v>
      </c>
    </row>
    <row r="41">
      <c r="A41" s="29" t="str">
        <f t="shared" si="1"/>
        <v>X</v>
      </c>
      <c r="B41" s="12">
        <f>IFERROR(__xludf.DUMMYFUNCTION("""COMPUTED_VALUE"""),39.0)</f>
        <v>39</v>
      </c>
      <c r="C41" s="12" t="str">
        <f>IFERROR(__xludf.DUMMYFUNCTION("""COMPUTED_VALUE"""),"AMBUJACEM")</f>
        <v>AMBUJACEM</v>
      </c>
      <c r="D41" s="30">
        <f>IFERROR(__xludf.DUMMYFUNCTION("""COMPUTED_VALUE"""),59.25173371118626)</f>
        <v>59.25173371</v>
      </c>
      <c r="E41" s="30">
        <f>IFERROR(__xludf.DUMMYFUNCTION("""COMPUTED_VALUE"""),11.148878896667659)</f>
        <v>11.1488789</v>
      </c>
      <c r="F41" s="30">
        <f>IFERROR(__xludf.DUMMYFUNCTION("""COMPUTED_VALUE"""),36.56163538005094)</f>
        <v>36.56163538</v>
      </c>
      <c r="G41" s="30">
        <f>IFERROR(__xludf.DUMMYFUNCTION("""COMPUTED_VALUE"""),21.04909244573089)</f>
        <v>21.04909245</v>
      </c>
      <c r="H41" s="31" t="str">
        <f>IFERROR(__xludf.DUMMYFUNCTION("""COMPUTED_VALUE"""),"")</f>
        <v/>
      </c>
      <c r="I41" s="14" t="str">
        <f t="shared" si="2"/>
        <v>CHART</v>
      </c>
      <c r="K41" s="45" t="s">
        <v>33</v>
      </c>
      <c r="L41" s="18"/>
      <c r="P41" s="23"/>
    </row>
    <row r="42">
      <c r="A42" s="29" t="str">
        <f t="shared" si="1"/>
        <v>X</v>
      </c>
      <c r="B42" s="12">
        <f>IFERROR(__xludf.DUMMYFUNCTION("""COMPUTED_VALUE"""),40.0)</f>
        <v>40</v>
      </c>
      <c r="C42" s="12" t="str">
        <f>IFERROR(__xludf.DUMMYFUNCTION("""COMPUTED_VALUE"""),"JSWSTEEL")</f>
        <v>JSWSTEEL</v>
      </c>
      <c r="D42" s="30">
        <f>IFERROR(__xludf.DUMMYFUNCTION("""COMPUTED_VALUE"""),64.7266170253182)</f>
        <v>64.72661703</v>
      </c>
      <c r="E42" s="30">
        <f>IFERROR(__xludf.DUMMYFUNCTION("""COMPUTED_VALUE"""),16.247201618517085)</f>
        <v>16.24720162</v>
      </c>
      <c r="F42" s="30">
        <f>IFERROR(__xludf.DUMMYFUNCTION("""COMPUTED_VALUE"""),31.41826597934317)</f>
        <v>31.41826598</v>
      </c>
      <c r="G42" s="30">
        <f>IFERROR(__xludf.DUMMYFUNCTION("""COMPUTED_VALUE"""),18.830773347670466)</f>
        <v>18.83077335</v>
      </c>
      <c r="H42" s="31" t="str">
        <f>IFERROR(__xludf.DUMMYFUNCTION("""COMPUTED_VALUE"""),"")</f>
        <v/>
      </c>
      <c r="I42" s="14" t="str">
        <f t="shared" si="2"/>
        <v>CHART</v>
      </c>
      <c r="K42" s="46" t="s">
        <v>34</v>
      </c>
      <c r="L42" s="18"/>
      <c r="P42" s="23"/>
    </row>
    <row r="43">
      <c r="A43" s="29" t="str">
        <f t="shared" si="1"/>
        <v>X</v>
      </c>
      <c r="B43" s="12">
        <f>IFERROR(__xludf.DUMMYFUNCTION("""COMPUTED_VALUE"""),41.0)</f>
        <v>41</v>
      </c>
      <c r="C43" s="12" t="str">
        <f>IFERROR(__xludf.DUMMYFUNCTION("""COMPUTED_VALUE"""),"JSWENERGY")</f>
        <v>JSWENERGY</v>
      </c>
      <c r="D43" s="30">
        <f>IFERROR(__xludf.DUMMYFUNCTION("""COMPUTED_VALUE"""),71.07936905837452)</f>
        <v>71.07936906</v>
      </c>
      <c r="E43" s="30">
        <f>IFERROR(__xludf.DUMMYFUNCTION("""COMPUTED_VALUE"""),15.88725419379852)</f>
        <v>15.88725419</v>
      </c>
      <c r="F43" s="30">
        <f>IFERROR(__xludf.DUMMYFUNCTION("""COMPUTED_VALUE"""),44.566063405957195)</f>
        <v>44.56606341</v>
      </c>
      <c r="G43" s="30">
        <f>IFERROR(__xludf.DUMMYFUNCTION("""COMPUTED_VALUE"""),22.293961616803397)</f>
        <v>22.29396162</v>
      </c>
      <c r="H43" s="31" t="str">
        <f>IFERROR(__xludf.DUMMYFUNCTION("""COMPUTED_VALUE"""),"")</f>
        <v/>
      </c>
      <c r="I43" s="14" t="str">
        <f t="shared" si="2"/>
        <v>CHART</v>
      </c>
      <c r="K43" s="46" t="s">
        <v>35</v>
      </c>
      <c r="P43" s="23"/>
    </row>
    <row r="44">
      <c r="A44" s="29" t="str">
        <f t="shared" si="1"/>
        <v>X</v>
      </c>
      <c r="B44" s="12">
        <f>IFERROR(__xludf.DUMMYFUNCTION("""COMPUTED_VALUE"""),42.0)</f>
        <v>42</v>
      </c>
      <c r="C44" s="12" t="str">
        <f>IFERROR(__xludf.DUMMYFUNCTION("""COMPUTED_VALUE"""),"NMDC")</f>
        <v>NMDC</v>
      </c>
      <c r="D44" s="30">
        <f>IFERROR(__xludf.DUMMYFUNCTION("""COMPUTED_VALUE"""),61.14483508549381)</f>
        <v>61.14483509</v>
      </c>
      <c r="E44" s="30">
        <f>IFERROR(__xludf.DUMMYFUNCTION("""COMPUTED_VALUE"""),14.413442384524076)</f>
        <v>14.41344238</v>
      </c>
      <c r="F44" s="30">
        <f>IFERROR(__xludf.DUMMYFUNCTION("""COMPUTED_VALUE"""),33.06952342025134)</f>
        <v>33.06952342</v>
      </c>
      <c r="G44" s="30">
        <f>IFERROR(__xludf.DUMMYFUNCTION("""COMPUTED_VALUE"""),23.51980710971604)</f>
        <v>23.51980711</v>
      </c>
      <c r="H44" s="31" t="str">
        <f>IFERROR(__xludf.DUMMYFUNCTION("""COMPUTED_VALUE"""),"")</f>
        <v/>
      </c>
      <c r="I44" s="14" t="str">
        <f t="shared" si="2"/>
        <v>CHART</v>
      </c>
      <c r="K44" s="46" t="s">
        <v>2</v>
      </c>
      <c r="P44" s="23"/>
    </row>
    <row r="45">
      <c r="A45" s="29" t="str">
        <f t="shared" si="1"/>
        <v>X</v>
      </c>
      <c r="B45" s="12">
        <f>IFERROR(__xludf.DUMMYFUNCTION("""COMPUTED_VALUE"""),43.0)</f>
        <v>43</v>
      </c>
      <c r="C45" s="12" t="str">
        <f>IFERROR(__xludf.DUMMYFUNCTION("""COMPUTED_VALUE"""),"TCS")</f>
        <v>TCS</v>
      </c>
      <c r="D45" s="30">
        <f>IFERROR(__xludf.DUMMYFUNCTION("""COMPUTED_VALUE"""),34.74589378424386)</f>
        <v>34.74589378</v>
      </c>
      <c r="E45" s="30">
        <f>IFERROR(__xludf.DUMMYFUNCTION("""COMPUTED_VALUE"""),6.676286683368638)</f>
        <v>6.676286683</v>
      </c>
      <c r="F45" s="30">
        <f>IFERROR(__xludf.DUMMYFUNCTION("""COMPUTED_VALUE"""),80.80210918210881)</f>
        <v>80.80210918</v>
      </c>
      <c r="G45" s="30">
        <f>IFERROR(__xludf.DUMMYFUNCTION("""COMPUTED_VALUE"""),89.21749721814693)</f>
        <v>89.21749722</v>
      </c>
      <c r="H45" s="31" t="str">
        <f>IFERROR(__xludf.DUMMYFUNCTION("""COMPUTED_VALUE"""),"")</f>
        <v/>
      </c>
      <c r="I45" s="14" t="str">
        <f t="shared" si="2"/>
        <v>CHART</v>
      </c>
      <c r="K45" s="46" t="s">
        <v>3</v>
      </c>
      <c r="P45" s="23"/>
    </row>
    <row r="46">
      <c r="A46" s="29" t="str">
        <f t="shared" si="1"/>
        <v>X</v>
      </c>
      <c r="B46" s="12">
        <f>IFERROR(__xludf.DUMMYFUNCTION("""COMPUTED_VALUE"""),44.0)</f>
        <v>44</v>
      </c>
      <c r="C46" s="12" t="str">
        <f>IFERROR(__xludf.DUMMYFUNCTION("""COMPUTED_VALUE"""),"BAJFINANCE")</f>
        <v>BAJFINANCE</v>
      </c>
      <c r="D46" s="30">
        <f>IFERROR(__xludf.DUMMYFUNCTION("""COMPUTED_VALUE"""),52.18794299949519)</f>
        <v>52.187943</v>
      </c>
      <c r="E46" s="30">
        <f>IFERROR(__xludf.DUMMYFUNCTION("""COMPUTED_VALUE"""),12.359323433115682)</f>
        <v>12.35932343</v>
      </c>
      <c r="F46" s="30">
        <f>IFERROR(__xludf.DUMMYFUNCTION("""COMPUTED_VALUE"""),28.44001528470735)</f>
        <v>28.44001528</v>
      </c>
      <c r="G46" s="30">
        <f>IFERROR(__xludf.DUMMYFUNCTION("""COMPUTED_VALUE"""),26.41447586404136)</f>
        <v>26.41447586</v>
      </c>
      <c r="H46" s="31" t="str">
        <f>IFERROR(__xludf.DUMMYFUNCTION("""COMPUTED_VALUE"""),"NEUTRAL")</f>
        <v>NEUTRAL</v>
      </c>
      <c r="I46" s="14" t="str">
        <f t="shared" si="2"/>
        <v>CHART</v>
      </c>
      <c r="L46" s="47" t="str">
        <f>HYPERLINK("https://www.youtube.com/channel/UCDbfoNplY71wi5e_qiO_szg?view_as=subscriber","SUBSCRIBE")</f>
        <v>SUBSCRIBE</v>
      </c>
      <c r="P46" s="23"/>
    </row>
    <row r="47">
      <c r="A47" s="29" t="str">
        <f t="shared" si="1"/>
        <v>X</v>
      </c>
      <c r="B47" s="12">
        <f>IFERROR(__xludf.DUMMYFUNCTION("""COMPUTED_VALUE"""),45.0)</f>
        <v>45</v>
      </c>
      <c r="C47" s="12" t="str">
        <f>IFERROR(__xludf.DUMMYFUNCTION("""COMPUTED_VALUE"""),"JINDALSTEL")</f>
        <v>JINDALSTEL</v>
      </c>
      <c r="D47" s="30">
        <f>IFERROR(__xludf.DUMMYFUNCTION("""COMPUTED_VALUE"""),52.0181857538272)</f>
        <v>52.01818575</v>
      </c>
      <c r="E47" s="30">
        <f>IFERROR(__xludf.DUMMYFUNCTION("""COMPUTED_VALUE"""),15.404400877018743)</f>
        <v>15.40440088</v>
      </c>
      <c r="F47" s="30">
        <f>IFERROR(__xludf.DUMMYFUNCTION("""COMPUTED_VALUE"""),21.47553885667487)</f>
        <v>21.47553886</v>
      </c>
      <c r="G47" s="30">
        <f>IFERROR(__xludf.DUMMYFUNCTION("""COMPUTED_VALUE"""),22.459575192764504)</f>
        <v>22.45957519</v>
      </c>
      <c r="H47" s="31" t="str">
        <f>IFERROR(__xludf.DUMMYFUNCTION("""COMPUTED_VALUE"""),"NEUTRAL")</f>
        <v>NEUTRAL</v>
      </c>
      <c r="I47" s="14" t="str">
        <f t="shared" si="2"/>
        <v>CHART</v>
      </c>
      <c r="K47" s="48" t="s">
        <v>6</v>
      </c>
      <c r="P47" s="23"/>
    </row>
    <row r="48">
      <c r="A48" s="29" t="str">
        <f t="shared" si="1"/>
        <v>X</v>
      </c>
      <c r="B48" s="12">
        <f>IFERROR(__xludf.DUMMYFUNCTION("""COMPUTED_VALUE"""),46.0)</f>
        <v>46</v>
      </c>
      <c r="C48" s="12" t="str">
        <f>IFERROR(__xludf.DUMMYFUNCTION("""COMPUTED_VALUE"""),"POLYCAB")</f>
        <v>POLYCAB</v>
      </c>
      <c r="D48" s="30">
        <f>IFERROR(__xludf.DUMMYFUNCTION("""COMPUTED_VALUE"""),78.11782291897418)</f>
        <v>78.11782292</v>
      </c>
      <c r="E48" s="30">
        <f>IFERROR(__xludf.DUMMYFUNCTION("""COMPUTED_VALUE"""),37.93038534554659)</f>
        <v>37.93038535</v>
      </c>
      <c r="F48" s="30">
        <f>IFERROR(__xludf.DUMMYFUNCTION("""COMPUTED_VALUE"""),46.01170725574611)</f>
        <v>46.01170726</v>
      </c>
      <c r="G48" s="30">
        <f>IFERROR(__xludf.DUMMYFUNCTION("""COMPUTED_VALUE"""),14.470150169327296)</f>
        <v>14.47015017</v>
      </c>
      <c r="H48" s="31" t="str">
        <f>IFERROR(__xludf.DUMMYFUNCTION("""COMPUTED_VALUE"""),"")</f>
        <v/>
      </c>
      <c r="I48" s="14" t="str">
        <f t="shared" si="2"/>
        <v>CHART</v>
      </c>
      <c r="K48" s="48" t="s">
        <v>7</v>
      </c>
      <c r="P48" s="23"/>
    </row>
    <row r="49">
      <c r="A49" s="29" t="str">
        <f t="shared" si="1"/>
        <v>X</v>
      </c>
      <c r="B49" s="12">
        <f>IFERROR(__xludf.DUMMYFUNCTION("""COMPUTED_VALUE"""),47.0)</f>
        <v>47</v>
      </c>
      <c r="C49" s="12" t="str">
        <f>IFERROR(__xludf.DUMMYFUNCTION("""COMPUTED_VALUE"""),"SAMMAANCAP")</f>
        <v>SAMMAANCAP</v>
      </c>
      <c r="D49" s="30">
        <f>IFERROR(__xludf.DUMMYFUNCTION("""COMPUTED_VALUE"""),73.6252976474861)</f>
        <v>73.62529765</v>
      </c>
      <c r="E49" s="30">
        <f>IFERROR(__xludf.DUMMYFUNCTION("""COMPUTED_VALUE"""),19.775854956102318)</f>
        <v>19.77585496</v>
      </c>
      <c r="F49" s="30">
        <f>IFERROR(__xludf.DUMMYFUNCTION("""COMPUTED_VALUE"""),45.96794252325914)</f>
        <v>45.96794252</v>
      </c>
      <c r="G49" s="30">
        <f>IFERROR(__xludf.DUMMYFUNCTION("""COMPUTED_VALUE"""),12.897677918550112)</f>
        <v>12.89767792</v>
      </c>
      <c r="H49" s="31" t="str">
        <f>IFERROR(__xludf.DUMMYFUNCTION("""COMPUTED_VALUE"""),"")</f>
        <v/>
      </c>
      <c r="I49" s="14" t="str">
        <f t="shared" si="2"/>
        <v>CHART</v>
      </c>
      <c r="K49" s="49" t="s">
        <v>36</v>
      </c>
      <c r="P49" s="23"/>
    </row>
    <row r="50">
      <c r="A50" s="29" t="str">
        <f t="shared" si="1"/>
        <v>X</v>
      </c>
      <c r="B50" s="12">
        <f>IFERROR(__xludf.DUMMYFUNCTION("""COMPUTED_VALUE"""),48.0)</f>
        <v>48</v>
      </c>
      <c r="C50" s="12" t="str">
        <f>IFERROR(__xludf.DUMMYFUNCTION("""COMPUTED_VALUE"""),"MARUTI")</f>
        <v>MARUTI</v>
      </c>
      <c r="D50" s="30">
        <f>IFERROR(__xludf.DUMMYFUNCTION("""COMPUTED_VALUE"""),50.03670643801135)</f>
        <v>50.03670644</v>
      </c>
      <c r="E50" s="30">
        <f>IFERROR(__xludf.DUMMYFUNCTION("""COMPUTED_VALUE"""),15.409849671254394)</f>
        <v>15.40984967</v>
      </c>
      <c r="F50" s="30">
        <f>IFERROR(__xludf.DUMMYFUNCTION("""COMPUTED_VALUE"""),21.03901762152966)</f>
        <v>21.03901762</v>
      </c>
      <c r="G50" s="30">
        <f>IFERROR(__xludf.DUMMYFUNCTION("""COMPUTED_VALUE"""),27.049220476762052)</f>
        <v>27.04922048</v>
      </c>
      <c r="H50" s="31" t="str">
        <f>IFERROR(__xludf.DUMMYFUNCTION("""COMPUTED_VALUE"""),"NEUTRAL")</f>
        <v>NEUTRAL</v>
      </c>
      <c r="I50" s="14" t="str">
        <f t="shared" si="2"/>
        <v>CHART</v>
      </c>
      <c r="K50" s="48" t="s">
        <v>9</v>
      </c>
      <c r="P50" s="23"/>
    </row>
    <row r="51">
      <c r="A51" s="29" t="str">
        <f t="shared" si="1"/>
        <v>X</v>
      </c>
      <c r="B51" s="12">
        <f>IFERROR(__xludf.DUMMYFUNCTION("""COMPUTED_VALUE"""),49.0)</f>
        <v>49</v>
      </c>
      <c r="C51" s="12" t="str">
        <f>IFERROR(__xludf.DUMMYFUNCTION("""COMPUTED_VALUE"""),"TATAPOWER")</f>
        <v>TATAPOWER</v>
      </c>
      <c r="D51" s="30">
        <f>IFERROR(__xludf.DUMMYFUNCTION("""COMPUTED_VALUE"""),56.66000712302491)</f>
        <v>56.66000712</v>
      </c>
      <c r="E51" s="30">
        <f>IFERROR(__xludf.DUMMYFUNCTION("""COMPUTED_VALUE"""),22.31726279674692)</f>
        <v>22.3172628</v>
      </c>
      <c r="F51" s="30">
        <f>IFERROR(__xludf.DUMMYFUNCTION("""COMPUTED_VALUE"""),30.011565479530034)</f>
        <v>30.01156548</v>
      </c>
      <c r="G51" s="30">
        <f>IFERROR(__xludf.DUMMYFUNCTION("""COMPUTED_VALUE"""),29.90269205124145)</f>
        <v>29.90269205</v>
      </c>
      <c r="H51" s="31" t="str">
        <f>IFERROR(__xludf.DUMMYFUNCTION("""COMPUTED_VALUE"""),"")</f>
        <v/>
      </c>
      <c r="I51" s="14" t="str">
        <f t="shared" si="2"/>
        <v>CHART</v>
      </c>
      <c r="P51" s="23"/>
    </row>
    <row r="52">
      <c r="A52" s="29" t="str">
        <f t="shared" si="1"/>
        <v>X</v>
      </c>
      <c r="B52" s="12">
        <f>IFERROR(__xludf.DUMMYFUNCTION("""COMPUTED_VALUE"""),50.0)</f>
        <v>50</v>
      </c>
      <c r="C52" s="12" t="str">
        <f>IFERROR(__xludf.DUMMYFUNCTION("""COMPUTED_VALUE"""),"INDIGO")</f>
        <v>INDIGO</v>
      </c>
      <c r="D52" s="30">
        <f>IFERROR(__xludf.DUMMYFUNCTION("""COMPUTED_VALUE"""),55.76183495375719)</f>
        <v>55.76183495</v>
      </c>
      <c r="E52" s="30">
        <f>IFERROR(__xludf.DUMMYFUNCTION("""COMPUTED_VALUE"""),7.73649280313513)</f>
        <v>7.736492803</v>
      </c>
      <c r="F52" s="30">
        <f>IFERROR(__xludf.DUMMYFUNCTION("""COMPUTED_VALUE"""),39.97134131728238)</f>
        <v>39.97134132</v>
      </c>
      <c r="G52" s="30">
        <f>IFERROR(__xludf.DUMMYFUNCTION("""COMPUTED_VALUE"""),34.0484885516313)</f>
        <v>34.04848855</v>
      </c>
      <c r="H52" s="31" t="str">
        <f>IFERROR(__xludf.DUMMYFUNCTION("""COMPUTED_VALUE"""),"")</f>
        <v/>
      </c>
      <c r="I52" s="14" t="str">
        <f t="shared" si="2"/>
        <v>CHART</v>
      </c>
      <c r="K52" s="48" t="s">
        <v>37</v>
      </c>
      <c r="P52" s="23"/>
    </row>
    <row r="53">
      <c r="A53" s="29"/>
      <c r="B53" s="12">
        <f>IFERROR(__xludf.DUMMYFUNCTION("""COMPUTED_VALUE"""),51.0)</f>
        <v>51</v>
      </c>
      <c r="C53" s="12" t="str">
        <f>IFERROR(__xludf.DUMMYFUNCTION("""COMPUTED_VALUE"""),"SWIGGY")</f>
        <v>SWIGGY</v>
      </c>
      <c r="D53" s="30">
        <f>IFERROR(__xludf.DUMMYFUNCTION("""COMPUTED_VALUE"""),49.24594684588509)</f>
        <v>49.24594685</v>
      </c>
      <c r="E53" s="30">
        <f>IFERROR(__xludf.DUMMYFUNCTION("""COMPUTED_VALUE"""),9.883215546028746)</f>
        <v>9.883215546</v>
      </c>
      <c r="F53" s="30">
        <f>IFERROR(__xludf.DUMMYFUNCTION("""COMPUTED_VALUE"""),60.57896125816119)</f>
        <v>60.57896126</v>
      </c>
      <c r="G53" s="30">
        <f>IFERROR(__xludf.DUMMYFUNCTION("""COMPUTED_VALUE"""),59.43872943354832)</f>
        <v>59.43872943</v>
      </c>
      <c r="H53" s="31" t="str">
        <f>IFERROR(__xludf.DUMMYFUNCTION("""COMPUTED_VALUE"""),"NEUTRAL")</f>
        <v>NEUTRAL</v>
      </c>
      <c r="I53" s="14" t="str">
        <f t="shared" si="2"/>
        <v>CHART</v>
      </c>
      <c r="K53" s="50" t="s">
        <v>38</v>
      </c>
      <c r="P53" s="23"/>
    </row>
    <row r="54">
      <c r="A54" s="29"/>
      <c r="B54" s="12">
        <f>IFERROR(__xludf.DUMMYFUNCTION("""COMPUTED_VALUE"""),52.0)</f>
        <v>52</v>
      </c>
      <c r="C54" s="12" t="str">
        <f>IFERROR(__xludf.DUMMYFUNCTION("""COMPUTED_VALUE"""),"CUMMINSIND")</f>
        <v>CUMMINSIND</v>
      </c>
      <c r="D54" s="30">
        <f>IFERROR(__xludf.DUMMYFUNCTION("""COMPUTED_VALUE"""),64.4126631937635)</f>
        <v>64.41266319</v>
      </c>
      <c r="E54" s="30">
        <f>IFERROR(__xludf.DUMMYFUNCTION("""COMPUTED_VALUE"""),13.45129927293183)</f>
        <v>13.45129927</v>
      </c>
      <c r="F54" s="30">
        <f>IFERROR(__xludf.DUMMYFUNCTION("""COMPUTED_VALUE"""),34.88291780833885)</f>
        <v>34.88291781</v>
      </c>
      <c r="G54" s="30">
        <f>IFERROR(__xludf.DUMMYFUNCTION("""COMPUTED_VALUE"""),22.112602513484685)</f>
        <v>22.11260251</v>
      </c>
      <c r="H54" s="31" t="str">
        <f>IFERROR(__xludf.DUMMYFUNCTION("""COMPUTED_VALUE"""),"")</f>
        <v/>
      </c>
      <c r="I54" s="14" t="str">
        <f t="shared" si="2"/>
        <v>CHART</v>
      </c>
      <c r="P54" s="23"/>
    </row>
    <row r="55">
      <c r="A55" s="29"/>
      <c r="B55" s="12">
        <f>IFERROR(__xludf.DUMMYFUNCTION("""COMPUTED_VALUE"""),53.0)</f>
        <v>53</v>
      </c>
      <c r="C55" s="12" t="str">
        <f>IFERROR(__xludf.DUMMYFUNCTION("""COMPUTED_VALUE"""),"APLAPOLLO")</f>
        <v>APLAPOLLO</v>
      </c>
      <c r="D55" s="30">
        <f>IFERROR(__xludf.DUMMYFUNCTION("""COMPUTED_VALUE"""),49.78423326978325)</f>
        <v>49.78423327</v>
      </c>
      <c r="E55" s="30">
        <f>IFERROR(__xludf.DUMMYFUNCTION("""COMPUTED_VALUE"""),18.277830707784048)</f>
        <v>18.27783071</v>
      </c>
      <c r="F55" s="30">
        <f>IFERROR(__xludf.DUMMYFUNCTION("""COMPUTED_VALUE"""),21.25530122255945)</f>
        <v>21.25530122</v>
      </c>
      <c r="G55" s="30">
        <f>IFERROR(__xludf.DUMMYFUNCTION("""COMPUTED_VALUE"""),24.46385129783346)</f>
        <v>24.4638513</v>
      </c>
      <c r="H55" s="31" t="str">
        <f>IFERROR(__xludf.DUMMYFUNCTION("""COMPUTED_VALUE"""),"NEUTRAL")</f>
        <v>NEUTRAL</v>
      </c>
      <c r="I55" s="14" t="str">
        <f t="shared" si="2"/>
        <v>CHART</v>
      </c>
      <c r="K55" s="16" t="s">
        <v>4</v>
      </c>
      <c r="P55" s="23"/>
    </row>
    <row r="56">
      <c r="A56" s="29"/>
      <c r="B56" s="12">
        <f>IFERROR(__xludf.DUMMYFUNCTION("""COMPUTED_VALUE"""),54.0)</f>
        <v>54</v>
      </c>
      <c r="C56" s="12" t="str">
        <f>IFERROR(__xludf.DUMMYFUNCTION("""COMPUTED_VALUE"""),"HINDZINC")</f>
        <v>HINDZINC</v>
      </c>
      <c r="D56" s="30">
        <f>IFERROR(__xludf.DUMMYFUNCTION("""COMPUTED_VALUE"""),63.07902027700352)</f>
        <v>63.07902028</v>
      </c>
      <c r="E56" s="30">
        <f>IFERROR(__xludf.DUMMYFUNCTION("""COMPUTED_VALUE"""),15.393808333860898)</f>
        <v>15.39380833</v>
      </c>
      <c r="F56" s="30">
        <f>IFERROR(__xludf.DUMMYFUNCTION("""COMPUTED_VALUE"""),39.761320788127264)</f>
        <v>39.76132079</v>
      </c>
      <c r="G56" s="30">
        <f>IFERROR(__xludf.DUMMYFUNCTION("""COMPUTED_VALUE"""),28.180851032888256)</f>
        <v>28.18085103</v>
      </c>
      <c r="H56" s="31" t="str">
        <f>IFERROR(__xludf.DUMMYFUNCTION("""COMPUTED_VALUE"""),"")</f>
        <v/>
      </c>
      <c r="I56" s="14" t="str">
        <f t="shared" si="2"/>
        <v>CHART</v>
      </c>
      <c r="K56" s="17" t="s">
        <v>5</v>
      </c>
      <c r="P56" s="23"/>
    </row>
    <row r="57">
      <c r="A57" s="29"/>
      <c r="B57" s="12">
        <f>IFERROR(__xludf.DUMMYFUNCTION("""COMPUTED_VALUE"""),55.0)</f>
        <v>55</v>
      </c>
      <c r="C57" s="12" t="str">
        <f>IFERROR(__xludf.DUMMYFUNCTION("""COMPUTED_VALUE"""),"BANDHANBNK")</f>
        <v>BANDHANBNK</v>
      </c>
      <c r="D57" s="30">
        <f>IFERROR(__xludf.DUMMYFUNCTION("""COMPUTED_VALUE"""),66.8779729954554)</f>
        <v>66.877973</v>
      </c>
      <c r="E57" s="30">
        <f>IFERROR(__xludf.DUMMYFUNCTION("""COMPUTED_VALUE"""),22.779399116298375)</f>
        <v>22.77939912</v>
      </c>
      <c r="F57" s="30">
        <f>IFERROR(__xludf.DUMMYFUNCTION("""COMPUTED_VALUE"""),36.655662837389144)</f>
        <v>36.65566284</v>
      </c>
      <c r="G57" s="30">
        <f>IFERROR(__xludf.DUMMYFUNCTION("""COMPUTED_VALUE"""),19.103244265909115)</f>
        <v>19.10324427</v>
      </c>
      <c r="H57" s="31" t="str">
        <f>IFERROR(__xludf.DUMMYFUNCTION("""COMPUTED_VALUE"""),"")</f>
        <v/>
      </c>
      <c r="I57" s="14" t="str">
        <f t="shared" si="2"/>
        <v>CHART</v>
      </c>
      <c r="P57" s="23"/>
    </row>
    <row r="58">
      <c r="A58" s="29"/>
      <c r="B58" s="12">
        <f>IFERROR(__xludf.DUMMYFUNCTION("""COMPUTED_VALUE"""),56.0)</f>
        <v>56</v>
      </c>
      <c r="C58" s="12" t="str">
        <f>IFERROR(__xludf.DUMMYFUNCTION("""COMPUTED_VALUE"""),"SHRIRAMFIN")</f>
        <v>SHRIRAMFIN</v>
      </c>
      <c r="D58" s="30">
        <f>IFERROR(__xludf.DUMMYFUNCTION("""COMPUTED_VALUE"""),48.7009566916229)</f>
        <v>48.70095669</v>
      </c>
      <c r="E58" s="30">
        <f>IFERROR(__xludf.DUMMYFUNCTION("""COMPUTED_VALUE"""),16.341331531570184)</f>
        <v>16.34133153</v>
      </c>
      <c r="F58" s="30">
        <f>IFERROR(__xludf.DUMMYFUNCTION("""COMPUTED_VALUE"""),28.230757176385357)</f>
        <v>28.23075718</v>
      </c>
      <c r="G58" s="30">
        <f>IFERROR(__xludf.DUMMYFUNCTION("""COMPUTED_VALUE"""),34.066831929051595)</f>
        <v>34.06683193</v>
      </c>
      <c r="H58" s="31" t="str">
        <f>IFERROR(__xludf.DUMMYFUNCTION("""COMPUTED_VALUE"""),"NEUTRAL")</f>
        <v>NEUTRAL</v>
      </c>
      <c r="I58" s="14" t="str">
        <f t="shared" si="2"/>
        <v>CHART</v>
      </c>
      <c r="P58" s="23"/>
    </row>
    <row r="59">
      <c r="A59" s="29"/>
      <c r="B59" s="12">
        <f>IFERROR(__xludf.DUMMYFUNCTION("""COMPUTED_VALUE"""),57.0)</f>
        <v>57</v>
      </c>
      <c r="C59" s="12" t="str">
        <f>IFERROR(__xludf.DUMMYFUNCTION("""COMPUTED_VALUE"""),"LICI")</f>
        <v>LICI</v>
      </c>
      <c r="D59" s="30">
        <f>IFERROR(__xludf.DUMMYFUNCTION("""COMPUTED_VALUE"""),61.53836649770277)</f>
        <v>61.5383665</v>
      </c>
      <c r="E59" s="30">
        <f>IFERROR(__xludf.DUMMYFUNCTION("""COMPUTED_VALUE"""),13.070438552867254)</f>
        <v>13.07043855</v>
      </c>
      <c r="F59" s="30">
        <f>IFERROR(__xludf.DUMMYFUNCTION("""COMPUTED_VALUE"""),36.90466733325523)</f>
        <v>36.90466733</v>
      </c>
      <c r="G59" s="30">
        <f>IFERROR(__xludf.DUMMYFUNCTION("""COMPUTED_VALUE"""),20.10453447529046)</f>
        <v>20.10453448</v>
      </c>
      <c r="H59" s="31" t="str">
        <f>IFERROR(__xludf.DUMMYFUNCTION("""COMPUTED_VALUE"""),"")</f>
        <v/>
      </c>
      <c r="I59" s="14" t="str">
        <f t="shared" si="2"/>
        <v>CHART</v>
      </c>
      <c r="P59" s="23"/>
    </row>
    <row r="60">
      <c r="A60" s="29"/>
      <c r="B60" s="12">
        <f>IFERROR(__xludf.DUMMYFUNCTION("""COMPUTED_VALUE"""),58.0)</f>
        <v>58</v>
      </c>
      <c r="C60" s="12" t="str">
        <f>IFERROR(__xludf.DUMMYFUNCTION("""COMPUTED_VALUE"""),"SUZLON")</f>
        <v>SUZLON</v>
      </c>
      <c r="D60" s="30">
        <f>IFERROR(__xludf.DUMMYFUNCTION("""COMPUTED_VALUE"""),62.35060953816395)</f>
        <v>62.35060954</v>
      </c>
      <c r="E60" s="30">
        <f>IFERROR(__xludf.DUMMYFUNCTION("""COMPUTED_VALUE"""),19.605604224740965)</f>
        <v>19.60560422</v>
      </c>
      <c r="F60" s="30">
        <f>IFERROR(__xludf.DUMMYFUNCTION("""COMPUTED_VALUE"""),31.963680960775225)</f>
        <v>31.96368096</v>
      </c>
      <c r="G60" s="30">
        <f>IFERROR(__xludf.DUMMYFUNCTION("""COMPUTED_VALUE"""),20.32599645786756)</f>
        <v>20.32599646</v>
      </c>
      <c r="H60" s="31" t="str">
        <f>IFERROR(__xludf.DUMMYFUNCTION("""COMPUTED_VALUE"""),"")</f>
        <v/>
      </c>
      <c r="I60" s="14" t="str">
        <f t="shared" si="2"/>
        <v>CHART</v>
      </c>
      <c r="P60" s="23"/>
    </row>
    <row r="61">
      <c r="A61" s="29"/>
      <c r="B61" s="12">
        <f>IFERROR(__xludf.DUMMYFUNCTION("""COMPUTED_VALUE"""),59.0)</f>
        <v>59</v>
      </c>
      <c r="C61" s="12" t="str">
        <f>IFERROR(__xludf.DUMMYFUNCTION("""COMPUTED_VALUE"""),"TECHM")</f>
        <v>TECHM</v>
      </c>
      <c r="D61" s="30">
        <f>IFERROR(__xludf.DUMMYFUNCTION("""COMPUTED_VALUE"""),55.14860822210284)</f>
        <v>55.14860822</v>
      </c>
      <c r="E61" s="30">
        <f>IFERROR(__xludf.DUMMYFUNCTION("""COMPUTED_VALUE"""),12.831197938160033)</f>
        <v>12.83119794</v>
      </c>
      <c r="F61" s="30">
        <f>IFERROR(__xludf.DUMMYFUNCTION("""COMPUTED_VALUE"""),34.925254227118266)</f>
        <v>34.92525423</v>
      </c>
      <c r="G61" s="30">
        <f>IFERROR(__xludf.DUMMYFUNCTION("""COMPUTED_VALUE"""),26.561652975747492)</f>
        <v>26.56165298</v>
      </c>
      <c r="H61" s="31" t="str">
        <f>IFERROR(__xludf.DUMMYFUNCTION("""COMPUTED_VALUE"""),"")</f>
        <v/>
      </c>
      <c r="I61" s="14" t="str">
        <f t="shared" si="2"/>
        <v>CHART</v>
      </c>
      <c r="P61" s="23"/>
    </row>
    <row r="62">
      <c r="A62" s="29"/>
      <c r="B62" s="12">
        <f>IFERROR(__xludf.DUMMYFUNCTION("""COMPUTED_VALUE"""),60.0)</f>
        <v>60</v>
      </c>
      <c r="C62" s="12" t="str">
        <f>IFERROR(__xludf.DUMMYFUNCTION("""COMPUTED_VALUE"""),"M&amp;M")</f>
        <v>M&amp;M</v>
      </c>
      <c r="D62" s="30">
        <f>IFERROR(__xludf.DUMMYFUNCTION("""COMPUTED_VALUE"""),48.81689751184867)</f>
        <v>48.81689751</v>
      </c>
      <c r="E62" s="30">
        <f>IFERROR(__xludf.DUMMYFUNCTION("""COMPUTED_VALUE"""),9.817151778630874)</f>
        <v>9.817151779</v>
      </c>
      <c r="F62" s="30">
        <f>IFERROR(__xludf.DUMMYFUNCTION("""COMPUTED_VALUE"""),25.823886575076248)</f>
        <v>25.82388658</v>
      </c>
      <c r="G62" s="30">
        <f>IFERROR(__xludf.DUMMYFUNCTION("""COMPUTED_VALUE"""),27.101793159411475)</f>
        <v>27.10179316</v>
      </c>
      <c r="H62" s="31" t="str">
        <f>IFERROR(__xludf.DUMMYFUNCTION("""COMPUTED_VALUE"""),"NEUTRAL")</f>
        <v>NEUTRAL</v>
      </c>
      <c r="I62" s="14" t="str">
        <f t="shared" si="2"/>
        <v>CHART</v>
      </c>
      <c r="P62" s="23"/>
    </row>
    <row r="63">
      <c r="A63" s="29"/>
      <c r="B63" s="12">
        <f>IFERROR(__xludf.DUMMYFUNCTION("""COMPUTED_VALUE"""),61.0)</f>
        <v>61</v>
      </c>
      <c r="C63" s="12" t="str">
        <f>IFERROR(__xludf.DUMMYFUNCTION("""COMPUTED_VALUE"""),"JIOFIN")</f>
        <v>JIOFIN</v>
      </c>
      <c r="D63" s="30">
        <f>IFERROR(__xludf.DUMMYFUNCTION("""COMPUTED_VALUE"""),52.505723863807745)</f>
        <v>52.50572386</v>
      </c>
      <c r="E63" s="30">
        <f>IFERROR(__xludf.DUMMYFUNCTION("""COMPUTED_VALUE"""),17.92441899985335)</f>
        <v>17.924419</v>
      </c>
      <c r="F63" s="30">
        <f>IFERROR(__xludf.DUMMYFUNCTION("""COMPUTED_VALUE"""),26.09151530829668)</f>
        <v>26.09151531</v>
      </c>
      <c r="G63" s="30">
        <f>IFERROR(__xludf.DUMMYFUNCTION("""COMPUTED_VALUE"""),30.634192662353747)</f>
        <v>30.63419266</v>
      </c>
      <c r="H63" s="31" t="str">
        <f>IFERROR(__xludf.DUMMYFUNCTION("""COMPUTED_VALUE"""),"NEUTRAL")</f>
        <v>NEUTRAL</v>
      </c>
      <c r="I63" s="14" t="str">
        <f t="shared" si="2"/>
        <v>CHART</v>
      </c>
      <c r="P63" s="23"/>
    </row>
    <row r="64">
      <c r="A64" s="29"/>
      <c r="B64" s="12">
        <f>IFERROR(__xludf.DUMMYFUNCTION("""COMPUTED_VALUE"""),62.0)</f>
        <v>62</v>
      </c>
      <c r="C64" s="12" t="str">
        <f>IFERROR(__xludf.DUMMYFUNCTION("""COMPUTED_VALUE"""),"SUNPHARMA")</f>
        <v>SUNPHARMA</v>
      </c>
      <c r="D64" s="30">
        <f>IFERROR(__xludf.DUMMYFUNCTION("""COMPUTED_VALUE"""),53.03738969992975)</f>
        <v>53.0373897</v>
      </c>
      <c r="E64" s="30">
        <f>IFERROR(__xludf.DUMMYFUNCTION("""COMPUTED_VALUE"""),26.049091257191176)</f>
        <v>26.04909126</v>
      </c>
      <c r="F64" s="30">
        <f>IFERROR(__xludf.DUMMYFUNCTION("""COMPUTED_VALUE"""),27.901134397745235)</f>
        <v>27.9011344</v>
      </c>
      <c r="G64" s="30">
        <f>IFERROR(__xludf.DUMMYFUNCTION("""COMPUTED_VALUE"""),16.95313610764516)</f>
        <v>16.95313611</v>
      </c>
      <c r="H64" s="31" t="str">
        <f>IFERROR(__xludf.DUMMYFUNCTION("""COMPUTED_VALUE"""),"NEUTRAL")</f>
        <v>NEUTRAL</v>
      </c>
      <c r="I64" s="14" t="str">
        <f t="shared" si="2"/>
        <v>CHART</v>
      </c>
      <c r="P64" s="23"/>
    </row>
    <row r="65">
      <c r="A65" s="29"/>
      <c r="B65" s="12">
        <f>IFERROR(__xludf.DUMMYFUNCTION("""COMPUTED_VALUE"""),63.0)</f>
        <v>63</v>
      </c>
      <c r="C65" s="12" t="str">
        <f>IFERROR(__xludf.DUMMYFUNCTION("""COMPUTED_VALUE"""),"GLENMARK")</f>
        <v>GLENMARK</v>
      </c>
      <c r="D65" s="30">
        <f>IFERROR(__xludf.DUMMYFUNCTION("""COMPUTED_VALUE"""),53.282409111756344)</f>
        <v>53.28240911</v>
      </c>
      <c r="E65" s="30">
        <f>IFERROR(__xludf.DUMMYFUNCTION("""COMPUTED_VALUE"""),18.202494115400103)</f>
        <v>18.20249412</v>
      </c>
      <c r="F65" s="30">
        <f>IFERROR(__xludf.DUMMYFUNCTION("""COMPUTED_VALUE"""),17.090485619749195)</f>
        <v>17.09048562</v>
      </c>
      <c r="G65" s="30">
        <f>IFERROR(__xludf.DUMMYFUNCTION("""COMPUTED_VALUE"""),22.93560859095012)</f>
        <v>22.93560859</v>
      </c>
      <c r="H65" s="31" t="str">
        <f>IFERROR(__xludf.DUMMYFUNCTION("""COMPUTED_VALUE"""),"NEUTRAL")</f>
        <v>NEUTRAL</v>
      </c>
      <c r="I65" s="14" t="str">
        <f t="shared" si="2"/>
        <v>CHART</v>
      </c>
      <c r="P65" s="23"/>
    </row>
    <row r="66">
      <c r="A66" s="29"/>
      <c r="B66" s="12">
        <f>IFERROR(__xludf.DUMMYFUNCTION("""COMPUTED_VALUE"""),64.0)</f>
        <v>64</v>
      </c>
      <c r="C66" s="12" t="str">
        <f>IFERROR(__xludf.DUMMYFUNCTION("""COMPUTED_VALUE"""),"BEL")</f>
        <v>BEL</v>
      </c>
      <c r="D66" s="30">
        <f>IFERROR(__xludf.DUMMYFUNCTION("""COMPUTED_VALUE"""),42.968331577068696)</f>
        <v>42.96833158</v>
      </c>
      <c r="E66" s="30">
        <f>IFERROR(__xludf.DUMMYFUNCTION("""COMPUTED_VALUE"""),24.727710534165663)</f>
        <v>24.72771053</v>
      </c>
      <c r="F66" s="30">
        <f>IFERROR(__xludf.DUMMYFUNCTION("""COMPUTED_VALUE"""),16.01576028022631)</f>
        <v>16.01576028</v>
      </c>
      <c r="G66" s="30">
        <f>IFERROR(__xludf.DUMMYFUNCTION("""COMPUTED_VALUE"""),32.03297355083765)</f>
        <v>32.03297355</v>
      </c>
      <c r="H66" s="31" t="str">
        <f>IFERROR(__xludf.DUMMYFUNCTION("""COMPUTED_VALUE"""),"")</f>
        <v/>
      </c>
      <c r="I66" s="14" t="str">
        <f t="shared" si="2"/>
        <v>CHART</v>
      </c>
      <c r="P66" s="23"/>
    </row>
    <row r="67">
      <c r="A67" s="29"/>
      <c r="B67" s="12">
        <f>IFERROR(__xludf.DUMMYFUNCTION("""COMPUTED_VALUE"""),65.0)</f>
        <v>65</v>
      </c>
      <c r="C67" s="12" t="str">
        <f>IFERROR(__xludf.DUMMYFUNCTION("""COMPUTED_VALUE"""),"KOTAKBANK")</f>
        <v>KOTAKBANK</v>
      </c>
      <c r="D67" s="30">
        <f>IFERROR(__xludf.DUMMYFUNCTION("""COMPUTED_VALUE"""),56.68786354722334)</f>
        <v>56.68786355</v>
      </c>
      <c r="E67" s="30">
        <f>IFERROR(__xludf.DUMMYFUNCTION("""COMPUTED_VALUE"""),16.711802600763118)</f>
        <v>16.7118026</v>
      </c>
      <c r="F67" s="30">
        <f>IFERROR(__xludf.DUMMYFUNCTION("""COMPUTED_VALUE"""),24.121142001390858)</f>
        <v>24.121142</v>
      </c>
      <c r="G67" s="30">
        <f>IFERROR(__xludf.DUMMYFUNCTION("""COMPUTED_VALUE"""),13.060040823967608)</f>
        <v>13.06004082</v>
      </c>
      <c r="H67" s="31" t="str">
        <f>IFERROR(__xludf.DUMMYFUNCTION("""COMPUTED_VALUE"""),"")</f>
        <v/>
      </c>
      <c r="I67" s="14" t="str">
        <f t="shared" si="2"/>
        <v>CHART</v>
      </c>
      <c r="P67" s="23"/>
    </row>
    <row r="68">
      <c r="A68" s="29"/>
      <c r="B68" s="12">
        <f>IFERROR(__xludf.DUMMYFUNCTION("""COMPUTED_VALUE"""),66.0)</f>
        <v>66</v>
      </c>
      <c r="C68" s="12" t="str">
        <f>IFERROR(__xludf.DUMMYFUNCTION("""COMPUTED_VALUE"""),"INDUSTOWER")</f>
        <v>INDUSTOWER</v>
      </c>
      <c r="D68" s="30">
        <f>IFERROR(__xludf.DUMMYFUNCTION("""COMPUTED_VALUE"""),62.453925161659484)</f>
        <v>62.45392516</v>
      </c>
      <c r="E68" s="30">
        <f>IFERROR(__xludf.DUMMYFUNCTION("""COMPUTED_VALUE"""),22.173142011362504)</f>
        <v>22.17314201</v>
      </c>
      <c r="F68" s="30">
        <f>IFERROR(__xludf.DUMMYFUNCTION("""COMPUTED_VALUE"""),28.630221717902625)</f>
        <v>28.63022172</v>
      </c>
      <c r="G68" s="30">
        <f>IFERROR(__xludf.DUMMYFUNCTION("""COMPUTED_VALUE"""),14.384929092799082)</f>
        <v>14.38492909</v>
      </c>
      <c r="H68" s="31" t="str">
        <f>IFERROR(__xludf.DUMMYFUNCTION("""COMPUTED_VALUE"""),"")</f>
        <v/>
      </c>
      <c r="I68" s="14" t="str">
        <f t="shared" si="2"/>
        <v>CHART</v>
      </c>
      <c r="P68" s="23"/>
    </row>
    <row r="69">
      <c r="A69" s="29"/>
      <c r="B69" s="12">
        <f>IFERROR(__xludf.DUMMYFUNCTION("""COMPUTED_VALUE"""),67.0)</f>
        <v>67</v>
      </c>
      <c r="C69" s="12" t="str">
        <f>IFERROR(__xludf.DUMMYFUNCTION("""COMPUTED_VALUE"""),"CDSL")</f>
        <v>CDSL</v>
      </c>
      <c r="D69" s="30">
        <f>IFERROR(__xludf.DUMMYFUNCTION("""COMPUTED_VALUE"""),51.66477067499006)</f>
        <v>51.66477067</v>
      </c>
      <c r="E69" s="30">
        <f>IFERROR(__xludf.DUMMYFUNCTION("""COMPUTED_VALUE"""),23.239330514784054)</f>
        <v>23.23933051</v>
      </c>
      <c r="F69" s="30">
        <f>IFERROR(__xludf.DUMMYFUNCTION("""COMPUTED_VALUE"""),27.95692501885025)</f>
        <v>27.95692502</v>
      </c>
      <c r="G69" s="30">
        <f>IFERROR(__xludf.DUMMYFUNCTION("""COMPUTED_VALUE"""),30.63779046062517)</f>
        <v>30.63779046</v>
      </c>
      <c r="H69" s="31" t="str">
        <f>IFERROR(__xludf.DUMMYFUNCTION("""COMPUTED_VALUE"""),"NEUTRAL")</f>
        <v>NEUTRAL</v>
      </c>
      <c r="I69" s="14" t="str">
        <f t="shared" si="2"/>
        <v>CHART</v>
      </c>
      <c r="P69" s="23"/>
    </row>
    <row r="70">
      <c r="A70" s="29"/>
      <c r="B70" s="12">
        <f>IFERROR(__xludf.DUMMYFUNCTION("""COMPUTED_VALUE"""),68.0)</f>
        <v>68</v>
      </c>
      <c r="C70" s="12" t="str">
        <f>IFERROR(__xludf.DUMMYFUNCTION("""COMPUTED_VALUE"""),"LAURUSLABS")</f>
        <v>LAURUSLABS</v>
      </c>
      <c r="D70" s="30">
        <f>IFERROR(__xludf.DUMMYFUNCTION("""COMPUTED_VALUE"""),81.13211632938663)</f>
        <v>81.13211633</v>
      </c>
      <c r="E70" s="30">
        <f>IFERROR(__xludf.DUMMYFUNCTION("""COMPUTED_VALUE"""),45.947949268265596)</f>
        <v>45.94794927</v>
      </c>
      <c r="F70" s="30">
        <f>IFERROR(__xludf.DUMMYFUNCTION("""COMPUTED_VALUE"""),40.735951896975806)</f>
        <v>40.7359519</v>
      </c>
      <c r="G70" s="30">
        <f>IFERROR(__xludf.DUMMYFUNCTION("""COMPUTED_VALUE"""),8.860005665999147)</f>
        <v>8.860005666</v>
      </c>
      <c r="H70" s="31">
        <f>IFERROR(__xludf.DUMMYFUNCTION("""COMPUTED_VALUE"""),5.0)</f>
        <v>5</v>
      </c>
      <c r="I70" s="14" t="str">
        <f t="shared" si="2"/>
        <v>CHART</v>
      </c>
      <c r="P70" s="23"/>
    </row>
    <row r="71">
      <c r="A71" s="29"/>
      <c r="B71" s="12">
        <f>IFERROR(__xludf.DUMMYFUNCTION("""COMPUTED_VALUE"""),69.0)</f>
        <v>69</v>
      </c>
      <c r="C71" s="12" t="str">
        <f>IFERROR(__xludf.DUMMYFUNCTION("""COMPUTED_VALUE"""),"BAJAJ-AUTO")</f>
        <v>BAJAJ-AUTO</v>
      </c>
      <c r="D71" s="30">
        <f>IFERROR(__xludf.DUMMYFUNCTION("""COMPUTED_VALUE"""),64.71338655877312)</f>
        <v>64.71338656</v>
      </c>
      <c r="E71" s="30">
        <f>IFERROR(__xludf.DUMMYFUNCTION("""COMPUTED_VALUE"""),29.606979082026488)</f>
        <v>29.60697908</v>
      </c>
      <c r="F71" s="30">
        <f>IFERROR(__xludf.DUMMYFUNCTION("""COMPUTED_VALUE"""),32.029637773809725)</f>
        <v>32.02963777</v>
      </c>
      <c r="G71" s="30">
        <f>IFERROR(__xludf.DUMMYFUNCTION("""COMPUTED_VALUE"""),16.168200753983264)</f>
        <v>16.16820075</v>
      </c>
      <c r="H71" s="31" t="str">
        <f>IFERROR(__xludf.DUMMYFUNCTION("""COMPUTED_VALUE"""),"")</f>
        <v/>
      </c>
      <c r="I71" s="14" t="str">
        <f t="shared" si="2"/>
        <v>CHART</v>
      </c>
      <c r="P71" s="23"/>
    </row>
    <row r="72">
      <c r="A72" s="29"/>
      <c r="B72" s="12">
        <f>IFERROR(__xludf.DUMMYFUNCTION("""COMPUTED_VALUE"""),70.0)</f>
        <v>70</v>
      </c>
      <c r="C72" s="12" t="str">
        <f>IFERROR(__xludf.DUMMYFUNCTION("""COMPUTED_VALUE"""),"CANBK")</f>
        <v>CANBK</v>
      </c>
      <c r="D72" s="13">
        <f>IFERROR(__xludf.DUMMYFUNCTION("""COMPUTED_VALUE"""),52.09937347235614)</f>
        <v>52.09937347</v>
      </c>
      <c r="E72" s="13">
        <f>IFERROR(__xludf.DUMMYFUNCTION("""COMPUTED_VALUE"""),17.853775223152144)</f>
        <v>17.85377522</v>
      </c>
      <c r="F72" s="13">
        <f>IFERROR(__xludf.DUMMYFUNCTION("""COMPUTED_VALUE"""),27.61038958082199)</f>
        <v>27.61038958</v>
      </c>
      <c r="G72" s="13">
        <f>IFERROR(__xludf.DUMMYFUNCTION("""COMPUTED_VALUE"""),27.38187436813918)</f>
        <v>27.38187437</v>
      </c>
      <c r="H72" s="31" t="str">
        <f>IFERROR(__xludf.DUMMYFUNCTION("""COMPUTED_VALUE"""),"NEUTRAL")</f>
        <v>NEUTRAL</v>
      </c>
      <c r="I72" s="14" t="str">
        <f t="shared" si="2"/>
        <v>CHART</v>
      </c>
      <c r="P72" s="23"/>
    </row>
    <row r="73">
      <c r="A73" s="29"/>
      <c r="B73" s="12">
        <f>IFERROR(__xludf.DUMMYFUNCTION("""COMPUTED_VALUE"""),71.0)</f>
        <v>71</v>
      </c>
      <c r="C73" s="12" t="str">
        <f>IFERROR(__xludf.DUMMYFUNCTION("""COMPUTED_VALUE"""),"COFORGE")</f>
        <v>COFORGE</v>
      </c>
      <c r="D73" s="13">
        <f>IFERROR(__xludf.DUMMYFUNCTION("""COMPUTED_VALUE"""),63.76576682041621)</f>
        <v>63.76576682</v>
      </c>
      <c r="E73" s="13">
        <f>IFERROR(__xludf.DUMMYFUNCTION("""COMPUTED_VALUE"""),14.53008801334102)</f>
        <v>14.53008801</v>
      </c>
      <c r="F73" s="13">
        <f>IFERROR(__xludf.DUMMYFUNCTION("""COMPUTED_VALUE"""),40.4926714082894)</f>
        <v>40.49267141</v>
      </c>
      <c r="G73" s="13">
        <f>IFERROR(__xludf.DUMMYFUNCTION("""COMPUTED_VALUE"""),25.14959930258675)</f>
        <v>25.1495993</v>
      </c>
      <c r="H73" s="31" t="str">
        <f>IFERROR(__xludf.DUMMYFUNCTION("""COMPUTED_VALUE"""),"")</f>
        <v/>
      </c>
      <c r="I73" s="14" t="str">
        <f t="shared" si="2"/>
        <v>CHART</v>
      </c>
      <c r="P73" s="23"/>
    </row>
    <row r="74">
      <c r="A74" s="29"/>
      <c r="B74" s="12">
        <f>IFERROR(__xludf.DUMMYFUNCTION("""COMPUTED_VALUE"""),72.0)</f>
        <v>72</v>
      </c>
      <c r="C74" s="12" t="str">
        <f>IFERROR(__xludf.DUMMYFUNCTION("""COMPUTED_VALUE"""),"PREMIERENE")</f>
        <v>PREMIERENE</v>
      </c>
      <c r="D74" s="13">
        <f>IFERROR(__xludf.DUMMYFUNCTION("""COMPUTED_VALUE"""),60.420508134278414)</f>
        <v>60.42050813</v>
      </c>
      <c r="E74" s="13">
        <f>IFERROR(__xludf.DUMMYFUNCTION("""COMPUTED_VALUE"""),21.48004927908934)</f>
        <v>21.48004928</v>
      </c>
      <c r="F74" s="13">
        <f>IFERROR(__xludf.DUMMYFUNCTION("""COMPUTED_VALUE"""),30.6753869423854)</f>
        <v>30.67538694</v>
      </c>
      <c r="G74" s="13">
        <f>IFERROR(__xludf.DUMMYFUNCTION("""COMPUTED_VALUE"""),21.595920439363248)</f>
        <v>21.59592044</v>
      </c>
      <c r="H74" s="31" t="str">
        <f>IFERROR(__xludf.DUMMYFUNCTION("""COMPUTED_VALUE"""),"")</f>
        <v/>
      </c>
      <c r="I74" s="14" t="str">
        <f t="shared" si="2"/>
        <v>CHART</v>
      </c>
      <c r="P74" s="23"/>
    </row>
    <row r="75">
      <c r="A75" s="29"/>
      <c r="B75" s="12">
        <f>IFERROR(__xludf.DUMMYFUNCTION("""COMPUTED_VALUE"""),73.0)</f>
        <v>73</v>
      </c>
      <c r="C75" s="12" t="str">
        <f>IFERROR(__xludf.DUMMYFUNCTION("""COMPUTED_VALUE"""),"WAAREEENER")</f>
        <v>WAAREEENER</v>
      </c>
      <c r="D75" s="13">
        <f>IFERROR(__xludf.DUMMYFUNCTION("""COMPUTED_VALUE"""),48.31935820757587)</f>
        <v>48.31935821</v>
      </c>
      <c r="E75" s="13">
        <f>IFERROR(__xludf.DUMMYFUNCTION("""COMPUTED_VALUE"""),18.00786340058622)</f>
        <v>18.0078634</v>
      </c>
      <c r="F75" s="13">
        <f>IFERROR(__xludf.DUMMYFUNCTION("""COMPUTED_VALUE"""),29.073858921110535)</f>
        <v>29.07385892</v>
      </c>
      <c r="G75" s="13">
        <f>IFERROR(__xludf.DUMMYFUNCTION("""COMPUTED_VALUE"""),29.79204505365059)</f>
        <v>29.79204505</v>
      </c>
      <c r="H75" s="31" t="str">
        <f>IFERROR(__xludf.DUMMYFUNCTION("""COMPUTED_VALUE"""),"NEUTRAL")</f>
        <v>NEUTRAL</v>
      </c>
      <c r="I75" s="14" t="str">
        <f t="shared" si="2"/>
        <v>CHART</v>
      </c>
      <c r="P75" s="23"/>
    </row>
    <row r="76">
      <c r="A76" s="29"/>
      <c r="B76" s="12">
        <f>IFERROR(__xludf.DUMMYFUNCTION("""COMPUTED_VALUE"""),74.0)</f>
        <v>74</v>
      </c>
      <c r="C76" s="12" t="str">
        <f>IFERROR(__xludf.DUMMYFUNCTION("""COMPUTED_VALUE"""),"NBCC")</f>
        <v>NBCC</v>
      </c>
      <c r="D76" s="13">
        <f>IFERROR(__xludf.DUMMYFUNCTION("""COMPUTED_VALUE"""),59.397932605752366)</f>
        <v>59.39793261</v>
      </c>
      <c r="E76" s="13">
        <f>IFERROR(__xludf.DUMMYFUNCTION("""COMPUTED_VALUE"""),14.836710743404614)</f>
        <v>14.83671074</v>
      </c>
      <c r="F76" s="13">
        <f>IFERROR(__xludf.DUMMYFUNCTION("""COMPUTED_VALUE"""),34.22339710511483)</f>
        <v>34.22339711</v>
      </c>
      <c r="G76" s="13">
        <f>IFERROR(__xludf.DUMMYFUNCTION("""COMPUTED_VALUE"""),19.31950426825623)</f>
        <v>19.31950427</v>
      </c>
      <c r="H76" s="31" t="str">
        <f>IFERROR(__xludf.DUMMYFUNCTION("""COMPUTED_VALUE"""),"")</f>
        <v/>
      </c>
      <c r="I76" s="14" t="str">
        <f t="shared" si="2"/>
        <v>CHART</v>
      </c>
      <c r="P76" s="23"/>
    </row>
    <row r="77">
      <c r="A77" s="29"/>
      <c r="B77" s="12">
        <f>IFERROR(__xludf.DUMMYFUNCTION("""COMPUTED_VALUE"""),75.0)</f>
        <v>75</v>
      </c>
      <c r="C77" s="12" t="str">
        <f>IFERROR(__xludf.DUMMYFUNCTION("""COMPUTED_VALUE"""),"RBLBANK")</f>
        <v>RBLBANK</v>
      </c>
      <c r="D77" s="13">
        <f>IFERROR(__xludf.DUMMYFUNCTION("""COMPUTED_VALUE"""),62.4970459190198)</f>
        <v>62.49704592</v>
      </c>
      <c r="E77" s="13">
        <f>IFERROR(__xludf.DUMMYFUNCTION("""COMPUTED_VALUE"""),19.148796662899855)</f>
        <v>19.14879666</v>
      </c>
      <c r="F77" s="13">
        <f>IFERROR(__xludf.DUMMYFUNCTION("""COMPUTED_VALUE"""),29.926308178608203)</f>
        <v>29.92630818</v>
      </c>
      <c r="G77" s="13">
        <f>IFERROR(__xludf.DUMMYFUNCTION("""COMPUTED_VALUE"""),18.51173551987913)</f>
        <v>18.51173552</v>
      </c>
      <c r="H77" s="31" t="str">
        <f>IFERROR(__xludf.DUMMYFUNCTION("""COMPUTED_VALUE"""),"")</f>
        <v/>
      </c>
      <c r="I77" s="14" t="str">
        <f t="shared" si="2"/>
        <v>CHART</v>
      </c>
      <c r="P77" s="23"/>
    </row>
    <row r="78">
      <c r="A78" s="29"/>
      <c r="B78" s="12">
        <f>IFERROR(__xludf.DUMMYFUNCTION("""COMPUTED_VALUE"""),76.0)</f>
        <v>76</v>
      </c>
      <c r="C78" s="12" t="str">
        <f>IFERROR(__xludf.DUMMYFUNCTION("""COMPUTED_VALUE"""),"ASHOKLEY")</f>
        <v>ASHOKLEY</v>
      </c>
      <c r="D78" s="13">
        <f>IFERROR(__xludf.DUMMYFUNCTION("""COMPUTED_VALUE"""),48.41398963294962)</f>
        <v>48.41398963</v>
      </c>
      <c r="E78" s="13">
        <f>IFERROR(__xludf.DUMMYFUNCTION("""COMPUTED_VALUE"""),16.99961087456615)</f>
        <v>16.99961087</v>
      </c>
      <c r="F78" s="13">
        <f>IFERROR(__xludf.DUMMYFUNCTION("""COMPUTED_VALUE"""),32.04823285035799)</f>
        <v>32.04823285</v>
      </c>
      <c r="G78" s="13">
        <f>IFERROR(__xludf.DUMMYFUNCTION("""COMPUTED_VALUE"""),27.79873392131184)</f>
        <v>27.79873392</v>
      </c>
      <c r="H78" s="31" t="str">
        <f>IFERROR(__xludf.DUMMYFUNCTION("""COMPUTED_VALUE"""),"NEUTRAL")</f>
        <v>NEUTRAL</v>
      </c>
      <c r="I78" s="14" t="str">
        <f t="shared" si="2"/>
        <v>CHART</v>
      </c>
      <c r="P78" s="23"/>
    </row>
    <row r="79">
      <c r="A79" s="29"/>
      <c r="B79" s="12">
        <f>IFERROR(__xludf.DUMMYFUNCTION("""COMPUTED_VALUE"""),77.0)</f>
        <v>77</v>
      </c>
      <c r="C79" s="12" t="str">
        <f>IFERROR(__xludf.DUMMYFUNCTION("""COMPUTED_VALUE"""),"HEROMOTOCO")</f>
        <v>HEROMOTOCO</v>
      </c>
      <c r="D79" s="13">
        <f>IFERROR(__xludf.DUMMYFUNCTION("""COMPUTED_VALUE"""),46.401560294874535)</f>
        <v>46.40156029</v>
      </c>
      <c r="E79" s="13">
        <f>IFERROR(__xludf.DUMMYFUNCTION("""COMPUTED_VALUE"""),14.985895283314735)</f>
        <v>14.98589528</v>
      </c>
      <c r="F79" s="13">
        <f>IFERROR(__xludf.DUMMYFUNCTION("""COMPUTED_VALUE"""),20.87929797140175)</f>
        <v>20.87929797</v>
      </c>
      <c r="G79" s="13">
        <f>IFERROR(__xludf.DUMMYFUNCTION("""COMPUTED_VALUE"""),26.365995309140487)</f>
        <v>26.36599531</v>
      </c>
      <c r="H79" s="31" t="str">
        <f>IFERROR(__xludf.DUMMYFUNCTION("""COMPUTED_VALUE"""),"NEUTRAL")</f>
        <v>NEUTRAL</v>
      </c>
      <c r="I79" s="14" t="str">
        <f t="shared" si="2"/>
        <v>CHART</v>
      </c>
      <c r="P79" s="23"/>
    </row>
    <row r="80">
      <c r="A80" s="29"/>
      <c r="B80" s="12">
        <f>IFERROR(__xludf.DUMMYFUNCTION("""COMPUTED_VALUE"""),78.0)</f>
        <v>78</v>
      </c>
      <c r="C80" s="12" t="str">
        <f>IFERROR(__xludf.DUMMYFUNCTION("""COMPUTED_VALUE"""),"DLF")</f>
        <v>DLF</v>
      </c>
      <c r="D80" s="13">
        <f>IFERROR(__xludf.DUMMYFUNCTION("""COMPUTED_VALUE"""),55.643420574461)</f>
        <v>55.64342057</v>
      </c>
      <c r="E80" s="13">
        <f>IFERROR(__xludf.DUMMYFUNCTION("""COMPUTED_VALUE"""),16.00174367728971)</f>
        <v>16.00174368</v>
      </c>
      <c r="F80" s="13">
        <f>IFERROR(__xludf.DUMMYFUNCTION("""COMPUTED_VALUE"""),22.515502802842597)</f>
        <v>22.5155028</v>
      </c>
      <c r="G80" s="13">
        <f>IFERROR(__xludf.DUMMYFUNCTION("""COMPUTED_VALUE"""),26.092117226018207)</f>
        <v>26.09211723</v>
      </c>
      <c r="H80" s="31" t="str">
        <f>IFERROR(__xludf.DUMMYFUNCTION("""COMPUTED_VALUE"""),"")</f>
        <v/>
      </c>
      <c r="I80" s="14" t="str">
        <f t="shared" si="2"/>
        <v>CHART</v>
      </c>
      <c r="P80" s="23"/>
    </row>
    <row r="81">
      <c r="A81" s="29"/>
      <c r="B81" s="12">
        <f>IFERROR(__xludf.DUMMYFUNCTION("""COMPUTED_VALUE"""),79.0)</f>
        <v>79</v>
      </c>
      <c r="C81" s="12" t="str">
        <f>IFERROR(__xludf.DUMMYFUNCTION("""COMPUTED_VALUE"""),"KAYNES")</f>
        <v>KAYNES</v>
      </c>
      <c r="D81" s="13">
        <f>IFERROR(__xludf.DUMMYFUNCTION("""COMPUTED_VALUE"""),38.8997905114403)</f>
        <v>38.89979051</v>
      </c>
      <c r="E81" s="13">
        <f>IFERROR(__xludf.DUMMYFUNCTION("""COMPUTED_VALUE"""),24.983625804994436)</f>
        <v>24.9836258</v>
      </c>
      <c r="F81" s="13">
        <f>IFERROR(__xludf.DUMMYFUNCTION("""COMPUTED_VALUE"""),27.082891795669468)</f>
        <v>27.0828918</v>
      </c>
      <c r="G81" s="13">
        <f>IFERROR(__xludf.DUMMYFUNCTION("""COMPUTED_VALUE"""),43.86199005679308)</f>
        <v>43.86199006</v>
      </c>
      <c r="H81" s="31" t="str">
        <f>IFERROR(__xludf.DUMMYFUNCTION("""COMPUTED_VALUE"""),"")</f>
        <v/>
      </c>
      <c r="I81" s="14" t="str">
        <f t="shared" si="2"/>
        <v>CHART</v>
      </c>
      <c r="P81" s="23"/>
    </row>
    <row r="82">
      <c r="A82" s="29"/>
      <c r="B82" s="12">
        <f>IFERROR(__xludf.DUMMYFUNCTION("""COMPUTED_VALUE"""),80.0)</f>
        <v>80</v>
      </c>
      <c r="C82" s="12" t="str">
        <f>IFERROR(__xludf.DUMMYFUNCTION("""COMPUTED_VALUE"""),"HAL")</f>
        <v>HAL</v>
      </c>
      <c r="D82" s="13">
        <f>IFERROR(__xludf.DUMMYFUNCTION("""COMPUTED_VALUE"""),53.36998156204562)</f>
        <v>53.36998156</v>
      </c>
      <c r="E82" s="13">
        <f>IFERROR(__xludf.DUMMYFUNCTION("""COMPUTED_VALUE"""),20.182412076317174)</f>
        <v>20.18241208</v>
      </c>
      <c r="F82" s="13">
        <f>IFERROR(__xludf.DUMMYFUNCTION("""COMPUTED_VALUE"""),27.385116437064156)</f>
        <v>27.38511644</v>
      </c>
      <c r="G82" s="13">
        <f>IFERROR(__xludf.DUMMYFUNCTION("""COMPUTED_VALUE"""),26.912508518653254)</f>
        <v>26.91250852</v>
      </c>
      <c r="H82" s="31" t="str">
        <f>IFERROR(__xludf.DUMMYFUNCTION("""COMPUTED_VALUE"""),"NEUTRAL")</f>
        <v>NEUTRAL</v>
      </c>
      <c r="I82" s="14" t="str">
        <f t="shared" si="2"/>
        <v>CHART</v>
      </c>
      <c r="P82" s="23"/>
    </row>
    <row r="83">
      <c r="A83" s="29"/>
      <c r="B83" s="12">
        <f>IFERROR(__xludf.DUMMYFUNCTION("""COMPUTED_VALUE"""),81.0)</f>
        <v>81</v>
      </c>
      <c r="C83" s="12" t="str">
        <f>IFERROR(__xludf.DUMMYFUNCTION("""COMPUTED_VALUE"""),"GRASIM")</f>
        <v>GRASIM</v>
      </c>
      <c r="D83" s="13">
        <f>IFERROR(__xludf.DUMMYFUNCTION("""COMPUTED_VALUE"""),76.89592801957816)</f>
        <v>76.89592802</v>
      </c>
      <c r="E83" s="13">
        <f>IFERROR(__xludf.DUMMYFUNCTION("""COMPUTED_VALUE"""),26.663070401756226)</f>
        <v>26.6630704</v>
      </c>
      <c r="F83" s="13">
        <f>IFERROR(__xludf.DUMMYFUNCTION("""COMPUTED_VALUE"""),34.790670253319114)</f>
        <v>34.79067025</v>
      </c>
      <c r="G83" s="13">
        <f>IFERROR(__xludf.DUMMYFUNCTION("""COMPUTED_VALUE"""),15.831381080145352)</f>
        <v>15.83138108</v>
      </c>
      <c r="H83" s="31" t="str">
        <f>IFERROR(__xludf.DUMMYFUNCTION("""COMPUTED_VALUE"""),"")</f>
        <v/>
      </c>
      <c r="I83" s="14" t="str">
        <f t="shared" si="2"/>
        <v>CHART</v>
      </c>
      <c r="P83" s="23"/>
    </row>
    <row r="84">
      <c r="A84" s="29"/>
      <c r="B84" s="12">
        <f>IFERROR(__xludf.DUMMYFUNCTION("""COMPUTED_VALUE"""),82.0)</f>
        <v>82</v>
      </c>
      <c r="C84" s="12" t="str">
        <f>IFERROR(__xludf.DUMMYFUNCTION("""COMPUTED_VALUE"""),"INDUSINDBK")</f>
        <v>INDUSINDBK</v>
      </c>
      <c r="D84" s="13">
        <f>IFERROR(__xludf.DUMMYFUNCTION("""COMPUTED_VALUE"""),62.0368588507763)</f>
        <v>62.03685885</v>
      </c>
      <c r="E84" s="13">
        <f>IFERROR(__xludf.DUMMYFUNCTION("""COMPUTED_VALUE"""),20.393515782591045)</f>
        <v>20.39351578</v>
      </c>
      <c r="F84" s="13">
        <f>IFERROR(__xludf.DUMMYFUNCTION("""COMPUTED_VALUE"""),34.060047391689785)</f>
        <v>34.06004739</v>
      </c>
      <c r="G84" s="13">
        <f>IFERROR(__xludf.DUMMYFUNCTION("""COMPUTED_VALUE"""),19.897500345918)</f>
        <v>19.89750035</v>
      </c>
      <c r="H84" s="31" t="str">
        <f>IFERROR(__xludf.DUMMYFUNCTION("""COMPUTED_VALUE"""),"")</f>
        <v/>
      </c>
      <c r="I84" s="14" t="str">
        <f t="shared" si="2"/>
        <v>CHART</v>
      </c>
      <c r="P84" s="23"/>
    </row>
    <row r="85">
      <c r="A85" s="29"/>
      <c r="B85" s="12">
        <f>IFERROR(__xludf.DUMMYFUNCTION("""COMPUTED_VALUE"""),83.0)</f>
        <v>83</v>
      </c>
      <c r="C85" s="12" t="str">
        <f>IFERROR(__xludf.DUMMYFUNCTION("""COMPUTED_VALUE"""),"BANKBARODA")</f>
        <v>BANKBARODA</v>
      </c>
      <c r="D85" s="13">
        <f>IFERROR(__xludf.DUMMYFUNCTION("""COMPUTED_VALUE"""),54.277616210654834)</f>
        <v>54.27761621</v>
      </c>
      <c r="E85" s="13">
        <f>IFERROR(__xludf.DUMMYFUNCTION("""COMPUTED_VALUE"""),20.372998018260766)</f>
        <v>20.37299802</v>
      </c>
      <c r="F85" s="13">
        <f>IFERROR(__xludf.DUMMYFUNCTION("""COMPUTED_VALUE"""),25.85293364508832)</f>
        <v>25.85293365</v>
      </c>
      <c r="G85" s="13">
        <f>IFERROR(__xludf.DUMMYFUNCTION("""COMPUTED_VALUE"""),29.42289524145129)</f>
        <v>29.42289524</v>
      </c>
      <c r="H85" s="31" t="str">
        <f>IFERROR(__xludf.DUMMYFUNCTION("""COMPUTED_VALUE"""),"NEUTRAL")</f>
        <v>NEUTRAL</v>
      </c>
      <c r="I85" s="14" t="str">
        <f t="shared" si="2"/>
        <v>CHART</v>
      </c>
      <c r="P85" s="23"/>
    </row>
    <row r="86">
      <c r="A86" s="29"/>
      <c r="B86" s="12">
        <f>IFERROR(__xludf.DUMMYFUNCTION("""COMPUTED_VALUE"""),84.0)</f>
        <v>84</v>
      </c>
      <c r="C86" s="12" t="str">
        <f>IFERROR(__xludf.DUMMYFUNCTION("""COMPUTED_VALUE"""),"YESBANK")</f>
        <v>YESBANK</v>
      </c>
      <c r="D86" s="13">
        <f>IFERROR(__xludf.DUMMYFUNCTION("""COMPUTED_VALUE"""),68.23985929812308)</f>
        <v>68.2398593</v>
      </c>
      <c r="E86" s="13">
        <f>IFERROR(__xludf.DUMMYFUNCTION("""COMPUTED_VALUE"""),27.407280163686796)</f>
        <v>27.40728016</v>
      </c>
      <c r="F86" s="13">
        <f>IFERROR(__xludf.DUMMYFUNCTION("""COMPUTED_VALUE"""),33.18542972184717)</f>
        <v>33.18542972</v>
      </c>
      <c r="G86" s="13">
        <f>IFERROR(__xludf.DUMMYFUNCTION("""COMPUTED_VALUE"""),20.643818984224502)</f>
        <v>20.64381898</v>
      </c>
      <c r="H86" s="31" t="str">
        <f>IFERROR(__xludf.DUMMYFUNCTION("""COMPUTED_VALUE"""),"")</f>
        <v/>
      </c>
      <c r="I86" s="14" t="str">
        <f t="shared" si="2"/>
        <v>CHART</v>
      </c>
      <c r="P86" s="23"/>
    </row>
    <row r="87">
      <c r="A87" s="29"/>
      <c r="B87" s="12">
        <f>IFERROR(__xludf.DUMMYFUNCTION("""COMPUTED_VALUE"""),85.0)</f>
        <v>85</v>
      </c>
      <c r="C87" s="12" t="str">
        <f>IFERROR(__xludf.DUMMYFUNCTION("""COMPUTED_VALUE"""),"MANAPPURAM")</f>
        <v>MANAPPURAM</v>
      </c>
      <c r="D87" s="13">
        <f>IFERROR(__xludf.DUMMYFUNCTION("""COMPUTED_VALUE"""),69.69654911197267)</f>
        <v>69.69654911</v>
      </c>
      <c r="E87" s="13">
        <f>IFERROR(__xludf.DUMMYFUNCTION("""COMPUTED_VALUE"""),23.987465051306618)</f>
        <v>23.98746505</v>
      </c>
      <c r="F87" s="13">
        <f>IFERROR(__xludf.DUMMYFUNCTION("""COMPUTED_VALUE"""),32.4601574295577)</f>
        <v>32.46015743</v>
      </c>
      <c r="G87" s="13">
        <f>IFERROR(__xludf.DUMMYFUNCTION("""COMPUTED_VALUE"""),16.583131435504388)</f>
        <v>16.58313144</v>
      </c>
      <c r="H87" s="31" t="str">
        <f>IFERROR(__xludf.DUMMYFUNCTION("""COMPUTED_VALUE"""),"")</f>
        <v/>
      </c>
      <c r="I87" s="14" t="str">
        <f t="shared" si="2"/>
        <v>CHART</v>
      </c>
      <c r="P87" s="23"/>
    </row>
    <row r="88">
      <c r="A88" s="29"/>
      <c r="B88" s="12">
        <f>IFERROR(__xludf.DUMMYFUNCTION("""COMPUTED_VALUE"""),86.0)</f>
        <v>86</v>
      </c>
      <c r="C88" s="12" t="str">
        <f>IFERROR(__xludf.DUMMYFUNCTION("""COMPUTED_VALUE"""),"COCHINSHIP")</f>
        <v>COCHINSHIP</v>
      </c>
      <c r="D88" s="13">
        <f>IFERROR(__xludf.DUMMYFUNCTION("""COMPUTED_VALUE"""),44.549676610698654)</f>
        <v>44.54967661</v>
      </c>
      <c r="E88" s="13">
        <f>IFERROR(__xludf.DUMMYFUNCTION("""COMPUTED_VALUE"""),23.52147068911403)</f>
        <v>23.52147069</v>
      </c>
      <c r="F88" s="13">
        <f>IFERROR(__xludf.DUMMYFUNCTION("""COMPUTED_VALUE"""),23.569063537487978)</f>
        <v>23.56906354</v>
      </c>
      <c r="G88" s="13">
        <f>IFERROR(__xludf.DUMMYFUNCTION("""COMPUTED_VALUE"""),29.027513162715522)</f>
        <v>29.02751316</v>
      </c>
      <c r="H88" s="31" t="str">
        <f>IFERROR(__xludf.DUMMYFUNCTION("""COMPUTED_VALUE"""),"")</f>
        <v/>
      </c>
      <c r="I88" s="14" t="str">
        <f t="shared" si="2"/>
        <v>CHART</v>
      </c>
      <c r="P88" s="23"/>
    </row>
    <row r="89">
      <c r="A89" s="29"/>
      <c r="B89" s="12">
        <f>IFERROR(__xludf.DUMMYFUNCTION("""COMPUTED_VALUE"""),87.0)</f>
        <v>87</v>
      </c>
      <c r="C89" s="12" t="str">
        <f>IFERROR(__xludf.DUMMYFUNCTION("""COMPUTED_VALUE"""),"TRENT")</f>
        <v>TRENT</v>
      </c>
      <c r="D89" s="13">
        <f>IFERROR(__xludf.DUMMYFUNCTION("""COMPUTED_VALUE"""),57.232738220442165)</f>
        <v>57.23273822</v>
      </c>
      <c r="E89" s="13">
        <f>IFERROR(__xludf.DUMMYFUNCTION("""COMPUTED_VALUE"""),16.686388383170325)</f>
        <v>16.68638838</v>
      </c>
      <c r="F89" s="13">
        <f>IFERROR(__xludf.DUMMYFUNCTION("""COMPUTED_VALUE"""),33.601341162295114)</f>
        <v>33.60134116</v>
      </c>
      <c r="G89" s="13">
        <f>IFERROR(__xludf.DUMMYFUNCTION("""COMPUTED_VALUE"""),26.45152752141643)</f>
        <v>26.45152752</v>
      </c>
      <c r="H89" s="31" t="str">
        <f>IFERROR(__xludf.DUMMYFUNCTION("""COMPUTED_VALUE"""),"")</f>
        <v/>
      </c>
      <c r="I89" s="14" t="str">
        <f t="shared" si="2"/>
        <v>CHART</v>
      </c>
      <c r="P89" s="23"/>
    </row>
    <row r="90">
      <c r="A90" s="29"/>
      <c r="B90" s="12">
        <f>IFERROR(__xludf.DUMMYFUNCTION("""COMPUTED_VALUE"""),88.0)</f>
        <v>88</v>
      </c>
      <c r="C90" s="12" t="str">
        <f>IFERROR(__xludf.DUMMYFUNCTION("""COMPUTED_VALUE"""),"HDFCAMC")</f>
        <v>HDFCAMC</v>
      </c>
      <c r="D90" s="13">
        <f>IFERROR(__xludf.DUMMYFUNCTION("""COMPUTED_VALUE"""),52.422497537118524)</f>
        <v>52.42249754</v>
      </c>
      <c r="E90" s="13">
        <f>IFERROR(__xludf.DUMMYFUNCTION("""COMPUTED_VALUE"""),14.54936280204937)</f>
        <v>14.5493628</v>
      </c>
      <c r="F90" s="13">
        <f>IFERROR(__xludf.DUMMYFUNCTION("""COMPUTED_VALUE"""),26.21123890896362)</f>
        <v>26.21123891</v>
      </c>
      <c r="G90" s="13">
        <f>IFERROR(__xludf.DUMMYFUNCTION("""COMPUTED_VALUE"""),26.798376446972043)</f>
        <v>26.79837645</v>
      </c>
      <c r="H90" s="31" t="str">
        <f>IFERROR(__xludf.DUMMYFUNCTION("""COMPUTED_VALUE"""),"NEUTRAL")</f>
        <v>NEUTRAL</v>
      </c>
      <c r="I90" s="14" t="str">
        <f t="shared" si="2"/>
        <v>CHART</v>
      </c>
      <c r="P90" s="23"/>
    </row>
    <row r="91">
      <c r="A91" s="29"/>
      <c r="B91" s="12">
        <f>IFERROR(__xludf.DUMMYFUNCTION("""COMPUTED_VALUE"""),89.0)</f>
        <v>89</v>
      </c>
      <c r="C91" s="12" t="str">
        <f>IFERROR(__xludf.DUMMYFUNCTION("""COMPUTED_VALUE"""),"POWERGRID")</f>
        <v>POWERGRID</v>
      </c>
      <c r="D91" s="13">
        <f>IFERROR(__xludf.DUMMYFUNCTION("""COMPUTED_VALUE"""),41.84500432861731)</f>
        <v>41.84500433</v>
      </c>
      <c r="E91" s="13">
        <f>IFERROR(__xludf.DUMMYFUNCTION("""COMPUTED_VALUE"""),24.835308494503064)</f>
        <v>24.83530849</v>
      </c>
      <c r="F91" s="13">
        <f>IFERROR(__xludf.DUMMYFUNCTION("""COMPUTED_VALUE"""),17.028215489708398)</f>
        <v>17.02821549</v>
      </c>
      <c r="G91" s="13">
        <f>IFERROR(__xludf.DUMMYFUNCTION("""COMPUTED_VALUE"""),31.499039555597612)</f>
        <v>31.49903956</v>
      </c>
      <c r="H91" s="31" t="str">
        <f>IFERROR(__xludf.DUMMYFUNCTION("""COMPUTED_VALUE"""),"")</f>
        <v/>
      </c>
      <c r="I91" s="14" t="str">
        <f t="shared" si="2"/>
        <v>CHART</v>
      </c>
      <c r="P91" s="23"/>
    </row>
    <row r="92">
      <c r="A92" s="29"/>
      <c r="B92" s="12">
        <f>IFERROR(__xludf.DUMMYFUNCTION("""COMPUTED_VALUE"""),90.0)</f>
        <v>90</v>
      </c>
      <c r="C92" s="12" t="str">
        <f>IFERROR(__xludf.DUMMYFUNCTION("""COMPUTED_VALUE"""),"TIINDIA")</f>
        <v>TIINDIA</v>
      </c>
      <c r="D92" s="13">
        <f>IFERROR(__xludf.DUMMYFUNCTION("""COMPUTED_VALUE"""),67.37068330566285)</f>
        <v>67.37068331</v>
      </c>
      <c r="E92" s="13">
        <f>IFERROR(__xludf.DUMMYFUNCTION("""COMPUTED_VALUE"""),19.05685300045207)</f>
        <v>19.056853</v>
      </c>
      <c r="F92" s="13">
        <f>IFERROR(__xludf.DUMMYFUNCTION("""COMPUTED_VALUE"""),31.244978721784122)</f>
        <v>31.24497872</v>
      </c>
      <c r="G92" s="13">
        <f>IFERROR(__xludf.DUMMYFUNCTION("""COMPUTED_VALUE"""),15.876790271443797)</f>
        <v>15.87679027</v>
      </c>
      <c r="H92" s="31" t="str">
        <f>IFERROR(__xludf.DUMMYFUNCTION("""COMPUTED_VALUE"""),"")</f>
        <v/>
      </c>
      <c r="I92" s="14" t="str">
        <f t="shared" si="2"/>
        <v>CHART</v>
      </c>
      <c r="P92" s="23"/>
    </row>
    <row r="93">
      <c r="A93" s="29"/>
      <c r="B93" s="12">
        <f>IFERROR(__xludf.DUMMYFUNCTION("""COMPUTED_VALUE"""),91.0)</f>
        <v>91</v>
      </c>
      <c r="C93" s="12" t="str">
        <f>IFERROR(__xludf.DUMMYFUNCTION("""COMPUTED_VALUE"""),"ASIANPAINT")</f>
        <v>ASIANPAINT</v>
      </c>
      <c r="D93" s="13">
        <f>IFERROR(__xludf.DUMMYFUNCTION("""COMPUTED_VALUE"""),68.8103217256668)</f>
        <v>68.81032173</v>
      </c>
      <c r="E93" s="13">
        <f>IFERROR(__xludf.DUMMYFUNCTION("""COMPUTED_VALUE"""),27.039961548139615)</f>
        <v>27.03996155</v>
      </c>
      <c r="F93" s="13">
        <f>IFERROR(__xludf.DUMMYFUNCTION("""COMPUTED_VALUE"""),35.501129435310006)</f>
        <v>35.50112944</v>
      </c>
      <c r="G93" s="13">
        <f>IFERROR(__xludf.DUMMYFUNCTION("""COMPUTED_VALUE"""),20.95708013146579)</f>
        <v>20.95708013</v>
      </c>
      <c r="H93" s="31" t="str">
        <f>IFERROR(__xludf.DUMMYFUNCTION("""COMPUTED_VALUE"""),"")</f>
        <v/>
      </c>
      <c r="I93" s="14" t="str">
        <f t="shared" si="2"/>
        <v>CHART</v>
      </c>
      <c r="P93" s="23"/>
    </row>
    <row r="94">
      <c r="A94" s="29"/>
      <c r="B94" s="12">
        <f>IFERROR(__xludf.DUMMYFUNCTION("""COMPUTED_VALUE"""),92.0)</f>
        <v>92</v>
      </c>
      <c r="C94" s="12" t="str">
        <f>IFERROR(__xludf.DUMMYFUNCTION("""COMPUTED_VALUE"""),"LODHA")</f>
        <v>LODHA</v>
      </c>
      <c r="D94" s="13">
        <f>IFERROR(__xludf.DUMMYFUNCTION("""COMPUTED_VALUE"""),59.66584098533055)</f>
        <v>59.66584099</v>
      </c>
      <c r="E94" s="13">
        <f>IFERROR(__xludf.DUMMYFUNCTION("""COMPUTED_VALUE"""),16.362904575371847)</f>
        <v>16.36290458</v>
      </c>
      <c r="F94" s="13">
        <f>IFERROR(__xludf.DUMMYFUNCTION("""COMPUTED_VALUE"""),34.17457567202612)</f>
        <v>34.17457567</v>
      </c>
      <c r="G94" s="13">
        <f>IFERROR(__xludf.DUMMYFUNCTION("""COMPUTED_VALUE"""),22.116884178950286)</f>
        <v>22.11688418</v>
      </c>
      <c r="H94" s="31" t="str">
        <f>IFERROR(__xludf.DUMMYFUNCTION("""COMPUTED_VALUE"""),"")</f>
        <v/>
      </c>
      <c r="I94" s="14" t="str">
        <f t="shared" si="2"/>
        <v>CHART</v>
      </c>
      <c r="P94" s="23"/>
    </row>
    <row r="95">
      <c r="A95" s="29"/>
      <c r="B95" s="12">
        <f>IFERROR(__xludf.DUMMYFUNCTION("""COMPUTED_VALUE"""),93.0)</f>
        <v>93</v>
      </c>
      <c r="C95" s="12" t="str">
        <f>IFERROR(__xludf.DUMMYFUNCTION("""COMPUTED_VALUE"""),"FEDERALBNK")</f>
        <v>FEDERALBNK</v>
      </c>
      <c r="D95" s="13">
        <f>IFERROR(__xludf.DUMMYFUNCTION("""COMPUTED_VALUE"""),54.120110226022575)</f>
        <v>54.12011023</v>
      </c>
      <c r="E95" s="13">
        <f>IFERROR(__xludf.DUMMYFUNCTION("""COMPUTED_VALUE"""),12.988155853642244)</f>
        <v>12.98815585</v>
      </c>
      <c r="F95" s="13">
        <f>IFERROR(__xludf.DUMMYFUNCTION("""COMPUTED_VALUE"""),21.514226489912847)</f>
        <v>21.51422649</v>
      </c>
      <c r="G95" s="13">
        <f>IFERROR(__xludf.DUMMYFUNCTION("""COMPUTED_VALUE"""),15.53142011626463)</f>
        <v>15.53142012</v>
      </c>
      <c r="H95" s="31" t="str">
        <f>IFERROR(__xludf.DUMMYFUNCTION("""COMPUTED_VALUE"""),"NEUTRAL")</f>
        <v>NEUTRAL</v>
      </c>
      <c r="I95" s="14" t="str">
        <f t="shared" si="2"/>
        <v>CHART</v>
      </c>
      <c r="P95" s="23"/>
    </row>
    <row r="96">
      <c r="A96" s="29"/>
      <c r="B96" s="12">
        <f>IFERROR(__xludf.DUMMYFUNCTION("""COMPUTED_VALUE"""),94.0)</f>
        <v>94</v>
      </c>
      <c r="C96" s="12" t="str">
        <f>IFERROR(__xludf.DUMMYFUNCTION("""COMPUTED_VALUE"""),"IDFCFIRSTB")</f>
        <v>IDFCFIRSTB</v>
      </c>
      <c r="D96" s="13">
        <f>IFERROR(__xludf.DUMMYFUNCTION("""COMPUTED_VALUE"""),59.175817193705875)</f>
        <v>59.17581719</v>
      </c>
      <c r="E96" s="13">
        <f>IFERROR(__xludf.DUMMYFUNCTION("""COMPUTED_VALUE"""),12.370759338719186)</f>
        <v>12.37075934</v>
      </c>
      <c r="F96" s="13">
        <f>IFERROR(__xludf.DUMMYFUNCTION("""COMPUTED_VALUE"""),28.135613439935526)</f>
        <v>28.13561344</v>
      </c>
      <c r="G96" s="13">
        <f>IFERROR(__xludf.DUMMYFUNCTION("""COMPUTED_VALUE"""),20.910254577288086)</f>
        <v>20.91025458</v>
      </c>
      <c r="H96" s="31" t="str">
        <f>IFERROR(__xludf.DUMMYFUNCTION("""COMPUTED_VALUE"""),"")</f>
        <v/>
      </c>
      <c r="I96" s="14" t="str">
        <f t="shared" si="2"/>
        <v>CHART</v>
      </c>
      <c r="P96" s="23"/>
    </row>
    <row r="97">
      <c r="A97" s="29"/>
      <c r="B97" s="12">
        <f>IFERROR(__xludf.DUMMYFUNCTION("""COMPUTED_VALUE"""),95.0)</f>
        <v>95</v>
      </c>
      <c r="C97" s="12" t="str">
        <f>IFERROR(__xludf.DUMMYFUNCTION("""COMPUTED_VALUE"""),"ABCAPITAL")</f>
        <v>ABCAPITAL</v>
      </c>
      <c r="D97" s="13">
        <f>IFERROR(__xludf.DUMMYFUNCTION("""COMPUTED_VALUE"""),60.89875509442653)</f>
        <v>60.89875509</v>
      </c>
      <c r="E97" s="13">
        <f>IFERROR(__xludf.DUMMYFUNCTION("""COMPUTED_VALUE"""),16.3124170755703)</f>
        <v>16.31241708</v>
      </c>
      <c r="F97" s="13">
        <f>IFERROR(__xludf.DUMMYFUNCTION("""COMPUTED_VALUE"""),32.02686934219143)</f>
        <v>32.02686934</v>
      </c>
      <c r="G97" s="13">
        <f>IFERROR(__xludf.DUMMYFUNCTION("""COMPUTED_VALUE"""),19.069142503423535)</f>
        <v>19.0691425</v>
      </c>
      <c r="H97" s="31" t="str">
        <f>IFERROR(__xludf.DUMMYFUNCTION("""COMPUTED_VALUE"""),"")</f>
        <v/>
      </c>
      <c r="I97" s="14" t="str">
        <f t="shared" si="2"/>
        <v>CHART</v>
      </c>
      <c r="P97" s="23"/>
    </row>
    <row r="98">
      <c r="A98" s="29"/>
      <c r="B98" s="12">
        <f>IFERROR(__xludf.DUMMYFUNCTION("""COMPUTED_VALUE"""),96.0)</f>
        <v>96</v>
      </c>
      <c r="C98" s="12" t="str">
        <f>IFERROR(__xludf.DUMMYFUNCTION("""COMPUTED_VALUE"""),"KEI")</f>
        <v>KEI</v>
      </c>
      <c r="D98" s="13">
        <f>IFERROR(__xludf.DUMMYFUNCTION("""COMPUTED_VALUE"""),71.57100082785044)</f>
        <v>71.57100083</v>
      </c>
      <c r="E98" s="13">
        <f>IFERROR(__xludf.DUMMYFUNCTION("""COMPUTED_VALUE"""),17.517725229315168)</f>
        <v>17.51772523</v>
      </c>
      <c r="F98" s="13">
        <f>IFERROR(__xludf.DUMMYFUNCTION("""COMPUTED_VALUE"""),31.42325943394387)</f>
        <v>31.42325943</v>
      </c>
      <c r="G98" s="13">
        <f>IFERROR(__xludf.DUMMYFUNCTION("""COMPUTED_VALUE"""),17.17187436408805)</f>
        <v>17.17187436</v>
      </c>
      <c r="H98" s="31" t="str">
        <f>IFERROR(__xludf.DUMMYFUNCTION("""COMPUTED_VALUE"""),"")</f>
        <v/>
      </c>
      <c r="I98" s="14" t="str">
        <f t="shared" si="2"/>
        <v>CHART</v>
      </c>
      <c r="P98" s="23"/>
    </row>
    <row r="99">
      <c r="A99" s="29"/>
      <c r="B99" s="12">
        <f>IFERROR(__xludf.DUMMYFUNCTION("""COMPUTED_VALUE"""),97.0)</f>
        <v>97</v>
      </c>
      <c r="C99" s="12" t="str">
        <f>IFERROR(__xludf.DUMMYFUNCTION("""COMPUTED_VALUE"""),"UNIONBANK")</f>
        <v>UNIONBANK</v>
      </c>
      <c r="D99" s="13">
        <f>IFERROR(__xludf.DUMMYFUNCTION("""COMPUTED_VALUE"""),51.583047567741396)</f>
        <v>51.58304757</v>
      </c>
      <c r="E99" s="13">
        <f>IFERROR(__xludf.DUMMYFUNCTION("""COMPUTED_VALUE"""),18.015312377580237)</f>
        <v>18.01531238</v>
      </c>
      <c r="F99" s="13">
        <f>IFERROR(__xludf.DUMMYFUNCTION("""COMPUTED_VALUE"""),30.715228781330563)</f>
        <v>30.71522878</v>
      </c>
      <c r="G99" s="13">
        <f>IFERROR(__xludf.DUMMYFUNCTION("""COMPUTED_VALUE"""),29.427770978529527)</f>
        <v>29.42777098</v>
      </c>
      <c r="H99" s="31" t="str">
        <f>IFERROR(__xludf.DUMMYFUNCTION("""COMPUTED_VALUE"""),"NEUTRAL")</f>
        <v>NEUTRAL</v>
      </c>
      <c r="I99" s="14" t="str">
        <f t="shared" si="2"/>
        <v>CHART</v>
      </c>
      <c r="P99" s="23"/>
    </row>
    <row r="100">
      <c r="A100" s="29"/>
      <c r="B100" s="12">
        <f>IFERROR(__xludf.DUMMYFUNCTION("""COMPUTED_VALUE"""),98.0)</f>
        <v>98</v>
      </c>
      <c r="C100" s="12" t="str">
        <f>IFERROR(__xludf.DUMMYFUNCTION("""COMPUTED_VALUE"""),"ANGELONE")</f>
        <v>ANGELONE</v>
      </c>
      <c r="D100" s="13">
        <f>IFERROR(__xludf.DUMMYFUNCTION("""COMPUTED_VALUE"""),69.56602875403246)</f>
        <v>69.56602875</v>
      </c>
      <c r="E100" s="13">
        <f>IFERROR(__xludf.DUMMYFUNCTION("""COMPUTED_VALUE"""),24.933860057366594)</f>
        <v>24.93386006</v>
      </c>
      <c r="F100" s="13">
        <f>IFERROR(__xludf.DUMMYFUNCTION("""COMPUTED_VALUE"""),38.04465166289953)</f>
        <v>38.04465166</v>
      </c>
      <c r="G100" s="13">
        <f>IFERROR(__xludf.DUMMYFUNCTION("""COMPUTED_VALUE"""),18.924081842451677)</f>
        <v>18.92408184</v>
      </c>
      <c r="H100" s="31" t="str">
        <f>IFERROR(__xludf.DUMMYFUNCTION("""COMPUTED_VALUE"""),"")</f>
        <v/>
      </c>
      <c r="I100" s="14" t="str">
        <f t="shared" si="2"/>
        <v>CHART</v>
      </c>
      <c r="P100" s="23"/>
    </row>
    <row r="101">
      <c r="A101" s="29"/>
      <c r="B101" s="12">
        <f>IFERROR(__xludf.DUMMYFUNCTION("""COMPUTED_VALUE"""),99.0)</f>
        <v>99</v>
      </c>
      <c r="C101" s="12" t="str">
        <f>IFERROR(__xludf.DUMMYFUNCTION("""COMPUTED_VALUE"""),"EICHERMOT")</f>
        <v>EICHERMOT</v>
      </c>
      <c r="D101" s="13">
        <f>IFERROR(__xludf.DUMMYFUNCTION("""COMPUTED_VALUE"""),59.524081789379224)</f>
        <v>59.52408179</v>
      </c>
      <c r="E101" s="13">
        <f>IFERROR(__xludf.DUMMYFUNCTION("""COMPUTED_VALUE"""),17.21326251670452)</f>
        <v>17.21326252</v>
      </c>
      <c r="F101" s="13">
        <f>IFERROR(__xludf.DUMMYFUNCTION("""COMPUTED_VALUE"""),33.489114829756)</f>
        <v>33.48911483</v>
      </c>
      <c r="G101" s="13">
        <f>IFERROR(__xludf.DUMMYFUNCTION("""COMPUTED_VALUE"""),27.286478234168456)</f>
        <v>27.28647823</v>
      </c>
      <c r="H101" s="31" t="str">
        <f>IFERROR(__xludf.DUMMYFUNCTION("""COMPUTED_VALUE"""),"")</f>
        <v/>
      </c>
      <c r="I101" s="14" t="str">
        <f t="shared" si="2"/>
        <v>CHART</v>
      </c>
      <c r="P101" s="23"/>
    </row>
    <row r="102">
      <c r="A102" s="29"/>
      <c r="B102" s="12">
        <f>IFERROR(__xludf.DUMMYFUNCTION("""COMPUTED_VALUE"""),100.0)</f>
        <v>100</v>
      </c>
      <c r="C102" s="12" t="str">
        <f>IFERROR(__xludf.DUMMYFUNCTION("""COMPUTED_VALUE"""),"CONCOR")</f>
        <v>CONCOR</v>
      </c>
      <c r="D102" s="13">
        <f>IFERROR(__xludf.DUMMYFUNCTION("""COMPUTED_VALUE"""),35.16516337282147)</f>
        <v>35.16516337</v>
      </c>
      <c r="E102" s="13">
        <f>IFERROR(__xludf.DUMMYFUNCTION("""COMPUTED_VALUE"""),23.84772475255455)</f>
        <v>23.84772475</v>
      </c>
      <c r="F102" s="13">
        <f>IFERROR(__xludf.DUMMYFUNCTION("""COMPUTED_VALUE"""),21.162993616792452)</f>
        <v>21.16299362</v>
      </c>
      <c r="G102" s="13">
        <f>IFERROR(__xludf.DUMMYFUNCTION("""COMPUTED_VALUE"""),45.047946302586034)</f>
        <v>45.0479463</v>
      </c>
      <c r="H102" s="31">
        <f>IFERROR(__xludf.DUMMYFUNCTION("""COMPUTED_VALUE"""),-3.0)</f>
        <v>-3</v>
      </c>
      <c r="I102" s="14" t="str">
        <f t="shared" si="2"/>
        <v>CHART</v>
      </c>
      <c r="P102" s="23"/>
    </row>
    <row r="103">
      <c r="A103" s="29"/>
      <c r="B103" s="12">
        <f>IFERROR(__xludf.DUMMYFUNCTION("""COMPUTED_VALUE"""),101.0)</f>
        <v>101</v>
      </c>
      <c r="C103" s="12" t="str">
        <f>IFERROR(__xludf.DUMMYFUNCTION("""COMPUTED_VALUE"""),"NHPC")</f>
        <v>NHPC</v>
      </c>
      <c r="D103" s="13">
        <f>IFERROR(__xludf.DUMMYFUNCTION("""COMPUTED_VALUE"""),54.26668377569868)</f>
        <v>54.26668378</v>
      </c>
      <c r="E103" s="13">
        <f>IFERROR(__xludf.DUMMYFUNCTION("""COMPUTED_VALUE"""),14.797119380514673)</f>
        <v>14.79711938</v>
      </c>
      <c r="F103" s="13">
        <f>IFERROR(__xludf.DUMMYFUNCTION("""COMPUTED_VALUE"""),24.090580791089337)</f>
        <v>24.09058079</v>
      </c>
      <c r="G103" s="13">
        <f>IFERROR(__xludf.DUMMYFUNCTION("""COMPUTED_VALUE"""),22.197424293224543)</f>
        <v>22.19742429</v>
      </c>
      <c r="H103" s="31" t="str">
        <f>IFERROR(__xludf.DUMMYFUNCTION("""COMPUTED_VALUE"""),"NEUTRAL")</f>
        <v>NEUTRAL</v>
      </c>
      <c r="I103" s="14" t="str">
        <f t="shared" si="2"/>
        <v>CHART</v>
      </c>
      <c r="P103" s="23"/>
    </row>
    <row r="104">
      <c r="A104" s="29"/>
      <c r="B104" s="12">
        <f>IFERROR(__xludf.DUMMYFUNCTION("""COMPUTED_VALUE"""),102.0)</f>
        <v>102</v>
      </c>
      <c r="C104" s="12" t="str">
        <f>IFERROR(__xludf.DUMMYFUNCTION("""COMPUTED_VALUE"""),"AUBANK")</f>
        <v>AUBANK</v>
      </c>
      <c r="D104" s="13">
        <f>IFERROR(__xludf.DUMMYFUNCTION("""COMPUTED_VALUE"""),54.47092882961375)</f>
        <v>54.47092883</v>
      </c>
      <c r="E104" s="13">
        <f>IFERROR(__xludf.DUMMYFUNCTION("""COMPUTED_VALUE"""),14.900219906398055)</f>
        <v>14.90021991</v>
      </c>
      <c r="F104" s="13">
        <f>IFERROR(__xludf.DUMMYFUNCTION("""COMPUTED_VALUE"""),27.923260025434377)</f>
        <v>27.92326003</v>
      </c>
      <c r="G104" s="13">
        <f>IFERROR(__xludf.DUMMYFUNCTION("""COMPUTED_VALUE"""),22.445568494663355)</f>
        <v>22.44556849</v>
      </c>
      <c r="H104" s="31" t="str">
        <f>IFERROR(__xludf.DUMMYFUNCTION("""COMPUTED_VALUE"""),"NEUTRAL")</f>
        <v>NEUTRAL</v>
      </c>
      <c r="I104" s="14" t="str">
        <f t="shared" si="2"/>
        <v>CHART</v>
      </c>
      <c r="P104" s="23"/>
    </row>
    <row r="105">
      <c r="A105" s="29"/>
      <c r="B105" s="12">
        <f>IFERROR(__xludf.DUMMYFUNCTION("""COMPUTED_VALUE"""),103.0)</f>
        <v>103</v>
      </c>
      <c r="C105" s="12" t="str">
        <f>IFERROR(__xludf.DUMMYFUNCTION("""COMPUTED_VALUE"""),"PNB")</f>
        <v>PNB</v>
      </c>
      <c r="D105" s="13">
        <f>IFERROR(__xludf.DUMMYFUNCTION("""COMPUTED_VALUE"""),49.4905896799868)</f>
        <v>49.49058968</v>
      </c>
      <c r="E105" s="13">
        <f>IFERROR(__xludf.DUMMYFUNCTION("""COMPUTED_VALUE"""),29.68130601987034)</f>
        <v>29.68130602</v>
      </c>
      <c r="F105" s="13">
        <f>IFERROR(__xludf.DUMMYFUNCTION("""COMPUTED_VALUE"""),25.948463047489856)</f>
        <v>25.94846305</v>
      </c>
      <c r="G105" s="13">
        <f>IFERROR(__xludf.DUMMYFUNCTION("""COMPUTED_VALUE"""),31.62395028520711)</f>
        <v>31.62395029</v>
      </c>
      <c r="H105" s="31" t="str">
        <f>IFERROR(__xludf.DUMMYFUNCTION("""COMPUTED_VALUE"""),"NEUTRAL")</f>
        <v>NEUTRAL</v>
      </c>
      <c r="I105" s="14" t="str">
        <f t="shared" si="2"/>
        <v>CHART</v>
      </c>
      <c r="P105" s="23"/>
    </row>
    <row r="106">
      <c r="A106" s="29"/>
      <c r="B106" s="12">
        <f>IFERROR(__xludf.DUMMYFUNCTION("""COMPUTED_VALUE"""),104.0)</f>
        <v>104</v>
      </c>
      <c r="C106" s="12" t="str">
        <f>IFERROR(__xludf.DUMMYFUNCTION("""COMPUTED_VALUE"""),"SONACOMS")</f>
        <v>SONACOMS</v>
      </c>
      <c r="D106" s="13">
        <f>IFERROR(__xludf.DUMMYFUNCTION("""COMPUTED_VALUE"""),63.15837885360323)</f>
        <v>63.15837885</v>
      </c>
      <c r="E106" s="13">
        <f>IFERROR(__xludf.DUMMYFUNCTION("""COMPUTED_VALUE"""),22.778244412389892)</f>
        <v>22.77824441</v>
      </c>
      <c r="F106" s="13">
        <f>IFERROR(__xludf.DUMMYFUNCTION("""COMPUTED_VALUE"""),28.928657081486413)</f>
        <v>28.92865708</v>
      </c>
      <c r="G106" s="13">
        <f>IFERROR(__xludf.DUMMYFUNCTION("""COMPUTED_VALUE"""),15.33945837149337)</f>
        <v>15.33945837</v>
      </c>
      <c r="H106" s="31" t="str">
        <f>IFERROR(__xludf.DUMMYFUNCTION("""COMPUTED_VALUE"""),"")</f>
        <v/>
      </c>
      <c r="I106" s="14" t="str">
        <f t="shared" si="2"/>
        <v>CHART</v>
      </c>
      <c r="P106" s="23"/>
    </row>
    <row r="107">
      <c r="A107" s="29"/>
      <c r="B107" s="12">
        <f>IFERROR(__xludf.DUMMYFUNCTION("""COMPUTED_VALUE"""),105.0)</f>
        <v>105</v>
      </c>
      <c r="C107" s="12" t="str">
        <f>IFERROR(__xludf.DUMMYFUNCTION("""COMPUTED_VALUE"""),"HINDPETRO")</f>
        <v>HINDPETRO</v>
      </c>
      <c r="D107" s="13">
        <f>IFERROR(__xludf.DUMMYFUNCTION("""COMPUTED_VALUE"""),56.29480587576295)</f>
        <v>56.29480588</v>
      </c>
      <c r="E107" s="13">
        <f>IFERROR(__xludf.DUMMYFUNCTION("""COMPUTED_VALUE"""),13.712051146696675)</f>
        <v>13.71205115</v>
      </c>
      <c r="F107" s="13">
        <f>IFERROR(__xludf.DUMMYFUNCTION("""COMPUTED_VALUE"""),55.403110630317656)</f>
        <v>55.40311063</v>
      </c>
      <c r="G107" s="13">
        <f>IFERROR(__xludf.DUMMYFUNCTION("""COMPUTED_VALUE"""),33.92096695220013)</f>
        <v>33.92096695</v>
      </c>
      <c r="H107" s="31" t="str">
        <f>IFERROR(__xludf.DUMMYFUNCTION("""COMPUTED_VALUE"""),"")</f>
        <v/>
      </c>
      <c r="I107" s="14" t="str">
        <f t="shared" si="2"/>
        <v>CHART</v>
      </c>
      <c r="P107" s="23"/>
    </row>
    <row r="108">
      <c r="A108" s="29"/>
      <c r="B108" s="12">
        <f>IFERROR(__xludf.DUMMYFUNCTION("""COMPUTED_VALUE"""),106.0)</f>
        <v>106</v>
      </c>
      <c r="C108" s="12" t="str">
        <f>IFERROR(__xludf.DUMMYFUNCTION("""COMPUTED_VALUE"""),"BHARATFORG")</f>
        <v>BHARATFORG</v>
      </c>
      <c r="D108" s="13">
        <f>IFERROR(__xludf.DUMMYFUNCTION("""COMPUTED_VALUE"""),56.732224060219515)</f>
        <v>56.73222406</v>
      </c>
      <c r="E108" s="13">
        <f>IFERROR(__xludf.DUMMYFUNCTION("""COMPUTED_VALUE"""),15.020805335440787)</f>
        <v>15.02080534</v>
      </c>
      <c r="F108" s="13">
        <f>IFERROR(__xludf.DUMMYFUNCTION("""COMPUTED_VALUE"""),24.526835893728308)</f>
        <v>24.52683589</v>
      </c>
      <c r="G108" s="13">
        <f>IFERROR(__xludf.DUMMYFUNCTION("""COMPUTED_VALUE"""),20.303343335317734)</f>
        <v>20.30334334</v>
      </c>
      <c r="H108" s="31" t="str">
        <f>IFERROR(__xludf.DUMMYFUNCTION("""COMPUTED_VALUE"""),"")</f>
        <v/>
      </c>
      <c r="I108" s="14" t="str">
        <f t="shared" si="2"/>
        <v>CHART</v>
      </c>
      <c r="P108" s="23"/>
    </row>
    <row r="109">
      <c r="A109" s="29"/>
      <c r="B109" s="12">
        <f>IFERROR(__xludf.DUMMYFUNCTION("""COMPUTED_VALUE"""),107.0)</f>
        <v>107</v>
      </c>
      <c r="C109" s="12" t="str">
        <f>IFERROR(__xludf.DUMMYFUNCTION("""COMPUTED_VALUE"""),"COLPAL")</f>
        <v>COLPAL</v>
      </c>
      <c r="D109" s="13">
        <f>IFERROR(__xludf.DUMMYFUNCTION("""COMPUTED_VALUE"""),44.767373588363654)</f>
        <v>44.76737359</v>
      </c>
      <c r="E109" s="13">
        <f>IFERROR(__xludf.DUMMYFUNCTION("""COMPUTED_VALUE"""),19.253610723929597)</f>
        <v>19.25361072</v>
      </c>
      <c r="F109" s="13">
        <f>IFERROR(__xludf.DUMMYFUNCTION("""COMPUTED_VALUE"""),21.905753915220917)</f>
        <v>21.90575392</v>
      </c>
      <c r="G109" s="13">
        <f>IFERROR(__xludf.DUMMYFUNCTION("""COMPUTED_VALUE"""),22.299525441889877)</f>
        <v>22.29952544</v>
      </c>
      <c r="H109" s="31" t="str">
        <f>IFERROR(__xludf.DUMMYFUNCTION("""COMPUTED_VALUE"""),"")</f>
        <v/>
      </c>
      <c r="I109" s="14" t="str">
        <f t="shared" si="2"/>
        <v>CHART</v>
      </c>
      <c r="P109" s="23"/>
    </row>
    <row r="110">
      <c r="A110" s="29"/>
      <c r="B110" s="12">
        <f>IFERROR(__xludf.DUMMYFUNCTION("""COMPUTED_VALUE"""),108.0)</f>
        <v>108</v>
      </c>
      <c r="C110" s="12" t="str">
        <f>IFERROR(__xludf.DUMMYFUNCTION("""COMPUTED_VALUE"""),"AUROPHARMA")</f>
        <v>AUROPHARMA</v>
      </c>
      <c r="D110" s="13">
        <f>IFERROR(__xludf.DUMMYFUNCTION("""COMPUTED_VALUE"""),50.54363314132196)</f>
        <v>50.54363314</v>
      </c>
      <c r="E110" s="13">
        <f>IFERROR(__xludf.DUMMYFUNCTION("""COMPUTED_VALUE"""),25.704565132632553)</f>
        <v>25.70456513</v>
      </c>
      <c r="F110" s="13">
        <f>IFERROR(__xludf.DUMMYFUNCTION("""COMPUTED_VALUE"""),22.276492292392845)</f>
        <v>22.27649229</v>
      </c>
      <c r="G110" s="13">
        <f>IFERROR(__xludf.DUMMYFUNCTION("""COMPUTED_VALUE"""),22.939785590181135)</f>
        <v>22.93978559</v>
      </c>
      <c r="H110" s="31" t="str">
        <f>IFERROR(__xludf.DUMMYFUNCTION("""COMPUTED_VALUE"""),"NEUTRAL")</f>
        <v>NEUTRAL</v>
      </c>
      <c r="I110" s="14" t="str">
        <f t="shared" si="2"/>
        <v>CHART</v>
      </c>
      <c r="P110" s="23"/>
    </row>
    <row r="111">
      <c r="A111" s="29"/>
      <c r="B111" s="12">
        <f>IFERROR(__xludf.DUMMYFUNCTION("""COMPUTED_VALUE"""),109.0)</f>
        <v>109</v>
      </c>
      <c r="C111" s="12" t="str">
        <f>IFERROR(__xludf.DUMMYFUNCTION("""COMPUTED_VALUE"""),"HYUNDAI")</f>
        <v>HYUNDAI</v>
      </c>
      <c r="D111" s="13">
        <f>IFERROR(__xludf.DUMMYFUNCTION("""COMPUTED_VALUE"""),58.327144104976895)</f>
        <v>58.3271441</v>
      </c>
      <c r="E111" s="13">
        <f>IFERROR(__xludf.DUMMYFUNCTION("""COMPUTED_VALUE"""),13.276166508361484)</f>
        <v>13.27616651</v>
      </c>
      <c r="F111" s="13">
        <f>IFERROR(__xludf.DUMMYFUNCTION("""COMPUTED_VALUE"""),29.366705426000845)</f>
        <v>29.36670543</v>
      </c>
      <c r="G111" s="13">
        <f>IFERROR(__xludf.DUMMYFUNCTION("""COMPUTED_VALUE"""),19.242514980711313)</f>
        <v>19.24251498</v>
      </c>
      <c r="H111" s="31" t="str">
        <f>IFERROR(__xludf.DUMMYFUNCTION("""COMPUTED_VALUE"""),"")</f>
        <v/>
      </c>
      <c r="I111" s="14" t="str">
        <f t="shared" si="2"/>
        <v>CHART</v>
      </c>
      <c r="P111" s="23"/>
    </row>
    <row r="112">
      <c r="A112" s="29"/>
      <c r="B112" s="12">
        <f>IFERROR(__xludf.DUMMYFUNCTION("""COMPUTED_VALUE"""),110.0)</f>
        <v>110</v>
      </c>
      <c r="C112" s="12" t="str">
        <f>IFERROR(__xludf.DUMMYFUNCTION("""COMPUTED_VALUE"""),"ULTRACEMCO")</f>
        <v>ULTRACEMCO</v>
      </c>
      <c r="D112" s="13">
        <f>IFERROR(__xludf.DUMMYFUNCTION("""COMPUTED_VALUE"""),50.2747720949528)</f>
        <v>50.27477209</v>
      </c>
      <c r="E112" s="13">
        <f>IFERROR(__xludf.DUMMYFUNCTION("""COMPUTED_VALUE"""),15.875873456515711)</f>
        <v>15.87587346</v>
      </c>
      <c r="F112" s="13">
        <f>IFERROR(__xludf.DUMMYFUNCTION("""COMPUTED_VALUE"""),25.548341939549296)</f>
        <v>25.54834194</v>
      </c>
      <c r="G112" s="13">
        <f>IFERROR(__xludf.DUMMYFUNCTION("""COMPUTED_VALUE"""),28.365712734624992)</f>
        <v>28.36571273</v>
      </c>
      <c r="H112" s="31" t="str">
        <f>IFERROR(__xludf.DUMMYFUNCTION("""COMPUTED_VALUE"""),"NEUTRAL")</f>
        <v>NEUTRAL</v>
      </c>
      <c r="I112" s="14" t="str">
        <f t="shared" si="2"/>
        <v>CHART</v>
      </c>
      <c r="P112" s="23"/>
    </row>
    <row r="113">
      <c r="A113" s="29"/>
      <c r="B113" s="12">
        <f>IFERROR(__xludf.DUMMYFUNCTION("""COMPUTED_VALUE"""),111.0)</f>
        <v>111</v>
      </c>
      <c r="C113" s="12" t="str">
        <f>IFERROR(__xludf.DUMMYFUNCTION("""COMPUTED_VALUE"""),"PFC")</f>
        <v>PFC</v>
      </c>
      <c r="D113" s="13">
        <f>IFERROR(__xludf.DUMMYFUNCTION("""COMPUTED_VALUE"""),44.06127524217649)</f>
        <v>44.06127524</v>
      </c>
      <c r="E113" s="13">
        <f>IFERROR(__xludf.DUMMYFUNCTION("""COMPUTED_VALUE"""),15.061684425344064)</f>
        <v>15.06168443</v>
      </c>
      <c r="F113" s="13">
        <f>IFERROR(__xludf.DUMMYFUNCTION("""COMPUTED_VALUE"""),22.65738556946033)</f>
        <v>22.65738557</v>
      </c>
      <c r="G113" s="13">
        <f>IFERROR(__xludf.DUMMYFUNCTION("""COMPUTED_VALUE"""),27.475314467055394)</f>
        <v>27.47531447</v>
      </c>
      <c r="H113" s="31" t="str">
        <f>IFERROR(__xludf.DUMMYFUNCTION("""COMPUTED_VALUE"""),"")</f>
        <v/>
      </c>
      <c r="I113" s="14" t="str">
        <f t="shared" si="2"/>
        <v>CHART</v>
      </c>
      <c r="P113" s="23"/>
    </row>
    <row r="114">
      <c r="A114" s="29"/>
      <c r="B114" s="12">
        <f>IFERROR(__xludf.DUMMYFUNCTION("""COMPUTED_VALUE"""),112.0)</f>
        <v>112</v>
      </c>
      <c r="C114" s="12" t="str">
        <f>IFERROR(__xludf.DUMMYFUNCTION("""COMPUTED_VALUE"""),"NAUKRI")</f>
        <v>NAUKRI</v>
      </c>
      <c r="D114" s="13">
        <f>IFERROR(__xludf.DUMMYFUNCTION("""COMPUTED_VALUE"""),57.40475597555481)</f>
        <v>57.40475598</v>
      </c>
      <c r="E114" s="13">
        <f>IFERROR(__xludf.DUMMYFUNCTION("""COMPUTED_VALUE"""),20.031401734332206)</f>
        <v>20.03140173</v>
      </c>
      <c r="F114" s="13">
        <f>IFERROR(__xludf.DUMMYFUNCTION("""COMPUTED_VALUE"""),25.855101010283487)</f>
        <v>25.85510101</v>
      </c>
      <c r="G114" s="13">
        <f>IFERROR(__xludf.DUMMYFUNCTION("""COMPUTED_VALUE"""),19.193260519565953)</f>
        <v>19.19326052</v>
      </c>
      <c r="H114" s="31" t="str">
        <f>IFERROR(__xludf.DUMMYFUNCTION("""COMPUTED_VALUE"""),"")</f>
        <v/>
      </c>
      <c r="I114" s="14" t="str">
        <f t="shared" si="2"/>
        <v>CHART</v>
      </c>
      <c r="P114" s="23"/>
    </row>
    <row r="115">
      <c r="A115" s="29"/>
      <c r="B115" s="12">
        <f>IFERROR(__xludf.DUMMYFUNCTION("""COMPUTED_VALUE"""),113.0)</f>
        <v>113</v>
      </c>
      <c r="C115" s="12" t="str">
        <f>IFERROR(__xludf.DUMMYFUNCTION("""COMPUTED_VALUE"""),"JUBLFOOD")</f>
        <v>JUBLFOOD</v>
      </c>
      <c r="D115" s="13">
        <f>IFERROR(__xludf.DUMMYFUNCTION("""COMPUTED_VALUE"""),37.89019119000233)</f>
        <v>37.89019119</v>
      </c>
      <c r="E115" s="13">
        <f>IFERROR(__xludf.DUMMYFUNCTION("""COMPUTED_VALUE"""),8.711905231190801)</f>
        <v>8.711905231</v>
      </c>
      <c r="F115" s="13">
        <f>IFERROR(__xludf.DUMMYFUNCTION("""COMPUTED_VALUE"""),58.50694978108537)</f>
        <v>58.50694978</v>
      </c>
      <c r="G115" s="13">
        <f>IFERROR(__xludf.DUMMYFUNCTION("""COMPUTED_VALUE"""),72.7375537211017)</f>
        <v>72.73755372</v>
      </c>
      <c r="H115" s="31" t="str">
        <f>IFERROR(__xludf.DUMMYFUNCTION("""COMPUTED_VALUE"""),"")</f>
        <v/>
      </c>
      <c r="I115" s="14" t="str">
        <f t="shared" si="2"/>
        <v>CHART</v>
      </c>
      <c r="P115" s="23"/>
    </row>
    <row r="116">
      <c r="A116" s="29"/>
      <c r="B116" s="12">
        <f>IFERROR(__xludf.DUMMYFUNCTION("""COMPUTED_VALUE"""),114.0)</f>
        <v>114</v>
      </c>
      <c r="C116" s="12" t="str">
        <f>IFERROR(__xludf.DUMMYFUNCTION("""COMPUTED_VALUE"""),"MARICO")</f>
        <v>MARICO</v>
      </c>
      <c r="D116" s="13">
        <f>IFERROR(__xludf.DUMMYFUNCTION("""COMPUTED_VALUE"""),63.701965659806895)</f>
        <v>63.70196566</v>
      </c>
      <c r="E116" s="13">
        <f>IFERROR(__xludf.DUMMYFUNCTION("""COMPUTED_VALUE"""),34.43763637653298)</f>
        <v>34.43763638</v>
      </c>
      <c r="F116" s="13">
        <f>IFERROR(__xludf.DUMMYFUNCTION("""COMPUTED_VALUE"""),26.296219124935593)</f>
        <v>26.29621912</v>
      </c>
      <c r="G116" s="13">
        <f>IFERROR(__xludf.DUMMYFUNCTION("""COMPUTED_VALUE"""),15.449765408669924)</f>
        <v>15.44976541</v>
      </c>
      <c r="H116" s="31" t="str">
        <f>IFERROR(__xludf.DUMMYFUNCTION("""COMPUTED_VALUE"""),"")</f>
        <v/>
      </c>
      <c r="I116" s="14" t="str">
        <f t="shared" si="2"/>
        <v>CHART</v>
      </c>
      <c r="P116" s="23"/>
    </row>
    <row r="117">
      <c r="A117" s="29"/>
      <c r="B117" s="12">
        <f>IFERROR(__xludf.DUMMYFUNCTION("""COMPUTED_VALUE"""),115.0)</f>
        <v>115</v>
      </c>
      <c r="C117" s="12" t="str">
        <f>IFERROR(__xludf.DUMMYFUNCTION("""COMPUTED_VALUE"""),"GMRAIRPORT")</f>
        <v>GMRAIRPORT</v>
      </c>
      <c r="D117" s="13">
        <f>IFERROR(__xludf.DUMMYFUNCTION("""COMPUTED_VALUE"""),52.54788694996545)</f>
        <v>52.54788695</v>
      </c>
      <c r="E117" s="13">
        <f>IFERROR(__xludf.DUMMYFUNCTION("""COMPUTED_VALUE"""),11.594509598096176)</f>
        <v>11.5945096</v>
      </c>
      <c r="F117" s="13">
        <f>IFERROR(__xludf.DUMMYFUNCTION("""COMPUTED_VALUE"""),22.46980633952088)</f>
        <v>22.46980634</v>
      </c>
      <c r="G117" s="13">
        <f>IFERROR(__xludf.DUMMYFUNCTION("""COMPUTED_VALUE"""),25.471579867098075)</f>
        <v>25.47157987</v>
      </c>
      <c r="H117" s="31" t="str">
        <f>IFERROR(__xludf.DUMMYFUNCTION("""COMPUTED_VALUE"""),"NEUTRAL")</f>
        <v>NEUTRAL</v>
      </c>
      <c r="I117" s="14" t="str">
        <f t="shared" si="2"/>
        <v>CHART</v>
      </c>
      <c r="P117" s="23"/>
    </row>
    <row r="118">
      <c r="A118" s="29"/>
      <c r="B118" s="12">
        <f>IFERROR(__xludf.DUMMYFUNCTION("""COMPUTED_VALUE"""),116.0)</f>
        <v>116</v>
      </c>
      <c r="C118" s="12" t="str">
        <f>IFERROR(__xludf.DUMMYFUNCTION("""COMPUTED_VALUE"""),"BIOCON")</f>
        <v>BIOCON</v>
      </c>
      <c r="D118" s="13">
        <f>IFERROR(__xludf.DUMMYFUNCTION("""COMPUTED_VALUE"""),77.24670135623398)</f>
        <v>77.24670136</v>
      </c>
      <c r="E118" s="13">
        <f>IFERROR(__xludf.DUMMYFUNCTION("""COMPUTED_VALUE"""),36.523234736146414)</f>
        <v>36.52323474</v>
      </c>
      <c r="F118" s="13">
        <f>IFERROR(__xludf.DUMMYFUNCTION("""COMPUTED_VALUE"""),33.405634864841474)</f>
        <v>33.40563486</v>
      </c>
      <c r="G118" s="13">
        <f>IFERROR(__xludf.DUMMYFUNCTION("""COMPUTED_VALUE"""),12.752858251519536)</f>
        <v>12.75285825</v>
      </c>
      <c r="H118" s="31">
        <f>IFERROR(__xludf.DUMMYFUNCTION("""COMPUTED_VALUE"""),5.0)</f>
        <v>5</v>
      </c>
      <c r="I118" s="14" t="str">
        <f t="shared" si="2"/>
        <v>CHART</v>
      </c>
      <c r="P118" s="23"/>
    </row>
    <row r="119">
      <c r="A119" s="29"/>
      <c r="B119" s="12">
        <f>IFERROR(__xludf.DUMMYFUNCTION("""COMPUTED_VALUE"""),117.0)</f>
        <v>117</v>
      </c>
      <c r="C119" s="12" t="str">
        <f>IFERROR(__xludf.DUMMYFUNCTION("""COMPUTED_VALUE"""),"DRREDDY")</f>
        <v>DRREDDY</v>
      </c>
      <c r="D119" s="13">
        <f>IFERROR(__xludf.DUMMYFUNCTION("""COMPUTED_VALUE"""),56.383510423652254)</f>
        <v>56.38351042</v>
      </c>
      <c r="E119" s="13">
        <f>IFERROR(__xludf.DUMMYFUNCTION("""COMPUTED_VALUE"""),13.644807247840607)</f>
        <v>13.64480725</v>
      </c>
      <c r="F119" s="13">
        <f>IFERROR(__xludf.DUMMYFUNCTION("""COMPUTED_VALUE"""),21.514096432999875)</f>
        <v>21.51409643</v>
      </c>
      <c r="G119" s="13">
        <f>IFERROR(__xludf.DUMMYFUNCTION("""COMPUTED_VALUE"""),18.490491430970255)</f>
        <v>18.49049143</v>
      </c>
      <c r="H119" s="31" t="str">
        <f>IFERROR(__xludf.DUMMYFUNCTION("""COMPUTED_VALUE"""),"")</f>
        <v/>
      </c>
      <c r="I119" s="14" t="str">
        <f t="shared" si="2"/>
        <v>CHART</v>
      </c>
      <c r="P119" s="23"/>
    </row>
    <row r="120">
      <c r="A120" s="29"/>
      <c r="B120" s="12">
        <f>IFERROR(__xludf.DUMMYFUNCTION("""COMPUTED_VALUE"""),118.0)</f>
        <v>118</v>
      </c>
      <c r="C120" s="12" t="str">
        <f>IFERROR(__xludf.DUMMYFUNCTION("""COMPUTED_VALUE"""),"RVNL")</f>
        <v>RVNL</v>
      </c>
      <c r="D120" s="13">
        <f>IFERROR(__xludf.DUMMYFUNCTION("""COMPUTED_VALUE"""),28.58656717388918)</f>
        <v>28.58656717</v>
      </c>
      <c r="E120" s="13">
        <f>IFERROR(__xludf.DUMMYFUNCTION("""COMPUTED_VALUE"""),24.118501682523178)</f>
        <v>24.11850168</v>
      </c>
      <c r="F120" s="13">
        <f>IFERROR(__xludf.DUMMYFUNCTION("""COMPUTED_VALUE"""),18.26663067602908)</f>
        <v>18.26663068</v>
      </c>
      <c r="G120" s="13">
        <f>IFERROR(__xludf.DUMMYFUNCTION("""COMPUTED_VALUE"""),47.64137999471576)</f>
        <v>47.64137999</v>
      </c>
      <c r="H120" s="31">
        <f>IFERROR(__xludf.DUMMYFUNCTION("""COMPUTED_VALUE"""),-5.0)</f>
        <v>-5</v>
      </c>
      <c r="I120" s="14" t="str">
        <f t="shared" si="2"/>
        <v>CHART</v>
      </c>
      <c r="P120" s="23"/>
    </row>
    <row r="121">
      <c r="A121" s="29"/>
      <c r="B121" s="12">
        <f>IFERROR(__xludf.DUMMYFUNCTION("""COMPUTED_VALUE"""),119.0)</f>
        <v>119</v>
      </c>
      <c r="C121" s="12" t="str">
        <f>IFERROR(__xludf.DUMMYFUNCTION("""COMPUTED_VALUE"""),"ASTRAL")</f>
        <v>ASTRAL</v>
      </c>
      <c r="D121" s="13">
        <f>IFERROR(__xludf.DUMMYFUNCTION("""COMPUTED_VALUE"""),55.56694176954471)</f>
        <v>55.56694177</v>
      </c>
      <c r="E121" s="13">
        <f>IFERROR(__xludf.DUMMYFUNCTION("""COMPUTED_VALUE"""),12.597253531616644)</f>
        <v>12.59725353</v>
      </c>
      <c r="F121" s="13">
        <f>IFERROR(__xludf.DUMMYFUNCTION("""COMPUTED_VALUE"""),27.562047144464767)</f>
        <v>27.56204714</v>
      </c>
      <c r="G121" s="13">
        <f>IFERROR(__xludf.DUMMYFUNCTION("""COMPUTED_VALUE"""),23.444163266962104)</f>
        <v>23.44416327</v>
      </c>
      <c r="H121" s="31" t="str">
        <f>IFERROR(__xludf.DUMMYFUNCTION("""COMPUTED_VALUE"""),"")</f>
        <v/>
      </c>
      <c r="I121" s="14" t="str">
        <f t="shared" si="2"/>
        <v>CHART</v>
      </c>
      <c r="P121" s="23"/>
    </row>
    <row r="122">
      <c r="A122" s="29"/>
      <c r="B122" s="12">
        <f>IFERROR(__xludf.DUMMYFUNCTION("""COMPUTED_VALUE"""),120.0)</f>
        <v>120</v>
      </c>
      <c r="C122" s="12" t="str">
        <f>IFERROR(__xludf.DUMMYFUNCTION("""COMPUTED_VALUE"""),"SOLARINDS")</f>
        <v>SOLARINDS</v>
      </c>
      <c r="D122" s="13">
        <f>IFERROR(__xludf.DUMMYFUNCTION("""COMPUTED_VALUE"""),76.86475021607342)</f>
        <v>76.86475022</v>
      </c>
      <c r="E122" s="13">
        <f>IFERROR(__xludf.DUMMYFUNCTION("""COMPUTED_VALUE"""),49.47407774985335)</f>
        <v>49.47407775</v>
      </c>
      <c r="F122" s="13">
        <f>IFERROR(__xludf.DUMMYFUNCTION("""COMPUTED_VALUE"""),40.19436654771833)</f>
        <v>40.19436655</v>
      </c>
      <c r="G122" s="13">
        <f>IFERROR(__xludf.DUMMYFUNCTION("""COMPUTED_VALUE"""),9.222623557868575)</f>
        <v>9.222623558</v>
      </c>
      <c r="H122" s="31">
        <f>IFERROR(__xludf.DUMMYFUNCTION("""COMPUTED_VALUE"""),5.0)</f>
        <v>5</v>
      </c>
      <c r="I122" s="14" t="str">
        <f t="shared" si="2"/>
        <v>CHART</v>
      </c>
      <c r="P122" s="23"/>
    </row>
    <row r="123">
      <c r="A123" s="29"/>
      <c r="B123" s="12">
        <f>IFERROR(__xludf.DUMMYFUNCTION("""COMPUTED_VALUE"""),121.0)</f>
        <v>121</v>
      </c>
      <c r="C123" s="12" t="str">
        <f>IFERROR(__xludf.DUMMYFUNCTION("""COMPUTED_VALUE"""),"LTM")</f>
        <v>LTM</v>
      </c>
      <c r="D123" s="13" t="str">
        <f>IFERROR(__xludf.DUMMYFUNCTION("""COMPUTED_VALUE"""),"")</f>
        <v/>
      </c>
      <c r="E123" s="13" t="str">
        <f>IFERROR(__xludf.DUMMYFUNCTION("""COMPUTED_VALUE"""),"")</f>
        <v/>
      </c>
      <c r="F123" s="13" t="str">
        <f>IFERROR(__xludf.DUMMYFUNCTION("""COMPUTED_VALUE"""),"")</f>
        <v/>
      </c>
      <c r="G123" s="13" t="str">
        <f>IFERROR(__xludf.DUMMYFUNCTION("""COMPUTED_VALUE"""),"")</f>
        <v/>
      </c>
      <c r="H123" s="31" t="str">
        <f>IFERROR(__xludf.DUMMYFUNCTION("""COMPUTED_VALUE"""),"")</f>
        <v/>
      </c>
      <c r="I123" s="14" t="str">
        <f t="shared" si="2"/>
        <v>CHART</v>
      </c>
      <c r="P123" s="23"/>
    </row>
    <row r="124">
      <c r="A124" s="29"/>
      <c r="B124" s="12">
        <f>IFERROR(__xludf.DUMMYFUNCTION("""COMPUTED_VALUE"""),122.0)</f>
        <v>122</v>
      </c>
      <c r="C124" s="12" t="str">
        <f>IFERROR(__xludf.DUMMYFUNCTION("""COMPUTED_VALUE"""),"MOTHERSON")</f>
        <v>MOTHERSON</v>
      </c>
      <c r="D124" s="13">
        <f>IFERROR(__xludf.DUMMYFUNCTION("""COMPUTED_VALUE"""),63.7294644732691)</f>
        <v>63.72946447</v>
      </c>
      <c r="E124" s="13">
        <f>IFERROR(__xludf.DUMMYFUNCTION("""COMPUTED_VALUE"""),27.88532649661409)</f>
        <v>27.8853265</v>
      </c>
      <c r="F124" s="13">
        <f>IFERROR(__xludf.DUMMYFUNCTION("""COMPUTED_VALUE"""),32.88925563821128)</f>
        <v>32.88925564</v>
      </c>
      <c r="G124" s="13">
        <f>IFERROR(__xludf.DUMMYFUNCTION("""COMPUTED_VALUE"""),14.525916257115073)</f>
        <v>14.52591626</v>
      </c>
      <c r="H124" s="31" t="str">
        <f>IFERROR(__xludf.DUMMYFUNCTION("""COMPUTED_VALUE"""),"")</f>
        <v/>
      </c>
      <c r="I124" s="14" t="str">
        <f t="shared" si="2"/>
        <v>CHART</v>
      </c>
      <c r="P124" s="23"/>
    </row>
    <row r="125">
      <c r="A125" s="29"/>
      <c r="B125" s="12">
        <f>IFERROR(__xludf.DUMMYFUNCTION("""COMPUTED_VALUE"""),123.0)</f>
        <v>123</v>
      </c>
      <c r="C125" s="12" t="str">
        <f>IFERROR(__xludf.DUMMYFUNCTION("""COMPUTED_VALUE"""),"PGEL")</f>
        <v>PGEL</v>
      </c>
      <c r="D125" s="13">
        <f>IFERROR(__xludf.DUMMYFUNCTION("""COMPUTED_VALUE"""),37.717068621091585)</f>
        <v>37.71706862</v>
      </c>
      <c r="E125" s="13">
        <f>IFERROR(__xludf.DUMMYFUNCTION("""COMPUTED_VALUE"""),25.252197503314626)</f>
        <v>25.2521975</v>
      </c>
      <c r="F125" s="13">
        <f>IFERROR(__xludf.DUMMYFUNCTION("""COMPUTED_VALUE"""),17.26544469695194)</f>
        <v>17.2654447</v>
      </c>
      <c r="G125" s="13">
        <f>IFERROR(__xludf.DUMMYFUNCTION("""COMPUTED_VALUE"""),34.4599252038253)</f>
        <v>34.4599252</v>
      </c>
      <c r="H125" s="31">
        <f>IFERROR(__xludf.DUMMYFUNCTION("""COMPUTED_VALUE"""),-3.0)</f>
        <v>-3</v>
      </c>
      <c r="I125" s="14" t="str">
        <f t="shared" si="2"/>
        <v>CHART</v>
      </c>
      <c r="P125" s="23"/>
    </row>
    <row r="126">
      <c r="A126" s="29"/>
      <c r="B126" s="12">
        <f>IFERROR(__xludf.DUMMYFUNCTION("""COMPUTED_VALUE"""),124.0)</f>
        <v>124</v>
      </c>
      <c r="C126" s="12" t="str">
        <f>IFERROR(__xludf.DUMMYFUNCTION("""COMPUTED_VALUE"""),"MUTHOOTFIN")</f>
        <v>MUTHOOTFIN</v>
      </c>
      <c r="D126" s="13">
        <f>IFERROR(__xludf.DUMMYFUNCTION("""COMPUTED_VALUE"""),45.70434725080304)</f>
        <v>45.70434725</v>
      </c>
      <c r="E126" s="13">
        <f>IFERROR(__xludf.DUMMYFUNCTION("""COMPUTED_VALUE"""),14.475363707678927)</f>
        <v>14.47536371</v>
      </c>
      <c r="F126" s="13">
        <f>IFERROR(__xludf.DUMMYFUNCTION("""COMPUTED_VALUE"""),23.929151726633332)</f>
        <v>23.92915173</v>
      </c>
      <c r="G126" s="13">
        <f>IFERROR(__xludf.DUMMYFUNCTION("""COMPUTED_VALUE"""),29.98917652306956)</f>
        <v>29.98917652</v>
      </c>
      <c r="H126" s="31" t="str">
        <f>IFERROR(__xludf.DUMMYFUNCTION("""COMPUTED_VALUE"""),"NEUTRAL")</f>
        <v>NEUTRAL</v>
      </c>
      <c r="I126" s="14" t="str">
        <f t="shared" si="2"/>
        <v>CHART</v>
      </c>
      <c r="P126" s="23"/>
    </row>
    <row r="127">
      <c r="A127" s="29"/>
      <c r="B127" s="12">
        <f>IFERROR(__xludf.DUMMYFUNCTION("""COMPUTED_VALUE"""),125.0)</f>
        <v>125</v>
      </c>
      <c r="C127" s="12" t="str">
        <f>IFERROR(__xludf.DUMMYFUNCTION("""COMPUTED_VALUE"""),"HCLTECH")</f>
        <v>HCLTECH</v>
      </c>
      <c r="D127" s="13">
        <f>IFERROR(__xludf.DUMMYFUNCTION("""COMPUTED_VALUE"""),36.76387347840262)</f>
        <v>36.76387348</v>
      </c>
      <c r="E127" s="13">
        <f>IFERROR(__xludf.DUMMYFUNCTION("""COMPUTED_VALUE"""),37.77043128662243)</f>
        <v>37.77043129</v>
      </c>
      <c r="F127" s="13">
        <f>IFERROR(__xludf.DUMMYFUNCTION("""COMPUTED_VALUE"""),17.29521692033212)</f>
        <v>17.29521692</v>
      </c>
      <c r="G127" s="13">
        <f>IFERROR(__xludf.DUMMYFUNCTION("""COMPUTED_VALUE"""),31.338530353165506)</f>
        <v>31.33853035</v>
      </c>
      <c r="H127" s="31" t="str">
        <f>IFERROR(__xludf.DUMMYFUNCTION("""COMPUTED_VALUE"""),"")</f>
        <v/>
      </c>
      <c r="I127" s="14" t="str">
        <f t="shared" si="2"/>
        <v>CHART</v>
      </c>
      <c r="P127" s="23"/>
    </row>
    <row r="128">
      <c r="A128" s="29"/>
      <c r="B128" s="12">
        <f>IFERROR(__xludf.DUMMYFUNCTION("""COMPUTED_VALUE"""),126.0)</f>
        <v>126</v>
      </c>
      <c r="C128" s="12" t="str">
        <f>IFERROR(__xludf.DUMMYFUNCTION("""COMPUTED_VALUE"""),"INOXWIND")</f>
        <v>INOXWIND</v>
      </c>
      <c r="D128" s="13">
        <f>IFERROR(__xludf.DUMMYFUNCTION("""COMPUTED_VALUE"""),46.96400353524248)</f>
        <v>46.96400354</v>
      </c>
      <c r="E128" s="13">
        <f>IFERROR(__xludf.DUMMYFUNCTION("""COMPUTED_VALUE"""),18.493460551299858)</f>
        <v>18.49346055</v>
      </c>
      <c r="F128" s="13">
        <f>IFERROR(__xludf.DUMMYFUNCTION("""COMPUTED_VALUE"""),25.87823186569849)</f>
        <v>25.87823187</v>
      </c>
      <c r="G128" s="13">
        <f>IFERROR(__xludf.DUMMYFUNCTION("""COMPUTED_VALUE"""),25.4453972409282)</f>
        <v>25.44539724</v>
      </c>
      <c r="H128" s="31" t="str">
        <f>IFERROR(__xludf.DUMMYFUNCTION("""COMPUTED_VALUE"""),"NEUTRAL")</f>
        <v>NEUTRAL</v>
      </c>
      <c r="I128" s="14" t="str">
        <f t="shared" si="2"/>
        <v>CHART</v>
      </c>
      <c r="P128" s="23"/>
    </row>
    <row r="129">
      <c r="A129" s="29"/>
      <c r="B129" s="12">
        <f>IFERROR(__xludf.DUMMYFUNCTION("""COMPUTED_VALUE"""),127.0)</f>
        <v>127</v>
      </c>
      <c r="C129" s="12" t="str">
        <f>IFERROR(__xludf.DUMMYFUNCTION("""COMPUTED_VALUE"""),"DABUR")</f>
        <v>DABUR</v>
      </c>
      <c r="D129" s="13">
        <f>IFERROR(__xludf.DUMMYFUNCTION("""COMPUTED_VALUE"""),42.801181871622404)</f>
        <v>42.80118187</v>
      </c>
      <c r="E129" s="13">
        <f>IFERROR(__xludf.DUMMYFUNCTION("""COMPUTED_VALUE"""),18.102719273064142)</f>
        <v>18.10271927</v>
      </c>
      <c r="F129" s="13">
        <f>IFERROR(__xludf.DUMMYFUNCTION("""COMPUTED_VALUE"""),17.942560073936427)</f>
        <v>17.94256007</v>
      </c>
      <c r="G129" s="13">
        <f>IFERROR(__xludf.DUMMYFUNCTION("""COMPUTED_VALUE"""),21.7379426552625)</f>
        <v>21.73794266</v>
      </c>
      <c r="H129" s="31" t="str">
        <f>IFERROR(__xludf.DUMMYFUNCTION("""COMPUTED_VALUE"""),"")</f>
        <v/>
      </c>
      <c r="I129" s="14" t="str">
        <f t="shared" si="2"/>
        <v>CHART</v>
      </c>
      <c r="P129" s="23"/>
    </row>
    <row r="130">
      <c r="A130" s="29"/>
      <c r="B130" s="12">
        <f>IFERROR(__xludf.DUMMYFUNCTION("""COMPUTED_VALUE"""),128.0)</f>
        <v>128</v>
      </c>
      <c r="C130" s="12" t="str">
        <f>IFERROR(__xludf.DUMMYFUNCTION("""COMPUTED_VALUE"""),"TVSMOTOR")</f>
        <v>TVSMOTOR</v>
      </c>
      <c r="D130" s="13">
        <f>IFERROR(__xludf.DUMMYFUNCTION("""COMPUTED_VALUE"""),46.86024828594611)</f>
        <v>46.86024829</v>
      </c>
      <c r="E130" s="13">
        <f>IFERROR(__xludf.DUMMYFUNCTION("""COMPUTED_VALUE"""),17.684019414148956)</f>
        <v>17.68401941</v>
      </c>
      <c r="F130" s="13">
        <f>IFERROR(__xludf.DUMMYFUNCTION("""COMPUTED_VALUE"""),24.033859632345724)</f>
        <v>24.03385963</v>
      </c>
      <c r="G130" s="13">
        <f>IFERROR(__xludf.DUMMYFUNCTION("""COMPUTED_VALUE"""),29.624861960557446)</f>
        <v>29.62486196</v>
      </c>
      <c r="H130" s="31" t="str">
        <f>IFERROR(__xludf.DUMMYFUNCTION("""COMPUTED_VALUE"""),"NEUTRAL")</f>
        <v>NEUTRAL</v>
      </c>
      <c r="I130" s="14" t="str">
        <f t="shared" si="2"/>
        <v>CHART</v>
      </c>
      <c r="P130" s="23"/>
    </row>
    <row r="131">
      <c r="A131" s="29"/>
      <c r="B131" s="12">
        <f>IFERROR(__xludf.DUMMYFUNCTION("""COMPUTED_VALUE"""),129.0)</f>
        <v>129</v>
      </c>
      <c r="C131" s="12" t="str">
        <f>IFERROR(__xludf.DUMMYFUNCTION("""COMPUTED_VALUE"""),"BANKINDIA")</f>
        <v>BANKINDIA</v>
      </c>
      <c r="D131" s="13">
        <f>IFERROR(__xludf.DUMMYFUNCTION("""COMPUTED_VALUE"""),55.09665981496004)</f>
        <v>55.09665981</v>
      </c>
      <c r="E131" s="13">
        <f>IFERROR(__xludf.DUMMYFUNCTION("""COMPUTED_VALUE"""),13.14202295418869)</f>
        <v>13.14202295</v>
      </c>
      <c r="F131" s="13">
        <f>IFERROR(__xludf.DUMMYFUNCTION("""COMPUTED_VALUE"""),35.06651535208909)</f>
        <v>35.06651535</v>
      </c>
      <c r="G131" s="13">
        <f>IFERROR(__xludf.DUMMYFUNCTION("""COMPUTED_VALUE"""),26.862416073222207)</f>
        <v>26.86241607</v>
      </c>
      <c r="H131" s="31" t="str">
        <f>IFERROR(__xludf.DUMMYFUNCTION("""COMPUTED_VALUE"""),"")</f>
        <v/>
      </c>
      <c r="I131" s="14" t="str">
        <f t="shared" si="2"/>
        <v>CHART</v>
      </c>
      <c r="P131" s="23"/>
    </row>
    <row r="132">
      <c r="A132" s="29"/>
      <c r="B132" s="12">
        <f>IFERROR(__xludf.DUMMYFUNCTION("""COMPUTED_VALUE"""),130.0)</f>
        <v>130</v>
      </c>
      <c r="C132" s="12" t="str">
        <f>IFERROR(__xludf.DUMMYFUNCTION("""COMPUTED_VALUE"""),"KFINTECH")</f>
        <v>KFINTECH</v>
      </c>
      <c r="D132" s="13">
        <f>IFERROR(__xludf.DUMMYFUNCTION("""COMPUTED_VALUE"""),45.17935312536028)</f>
        <v>45.17935313</v>
      </c>
      <c r="E132" s="13">
        <f>IFERROR(__xludf.DUMMYFUNCTION("""COMPUTED_VALUE"""),26.296939482418107)</f>
        <v>26.29693948</v>
      </c>
      <c r="F132" s="13">
        <f>IFERROR(__xludf.DUMMYFUNCTION("""COMPUTED_VALUE"""),23.150802336683324)</f>
        <v>23.15080234</v>
      </c>
      <c r="G132" s="13">
        <f>IFERROR(__xludf.DUMMYFUNCTION("""COMPUTED_VALUE"""),30.79668710296797)</f>
        <v>30.7966871</v>
      </c>
      <c r="H132" s="31" t="str">
        <f>IFERROR(__xludf.DUMMYFUNCTION("""COMPUTED_VALUE"""),"NEUTRAL")</f>
        <v>NEUTRAL</v>
      </c>
      <c r="I132" s="14" t="str">
        <f t="shared" si="2"/>
        <v>CHART</v>
      </c>
      <c r="P132" s="23"/>
    </row>
    <row r="133">
      <c r="A133" s="29"/>
      <c r="B133" s="12">
        <f>IFERROR(__xludf.DUMMYFUNCTION("""COMPUTED_VALUE"""),131.0)</f>
        <v>131</v>
      </c>
      <c r="C133" s="12" t="str">
        <f>IFERROR(__xludf.DUMMYFUNCTION("""COMPUTED_VALUE"""),"PERSISTENT")</f>
        <v>PERSISTENT</v>
      </c>
      <c r="D133" s="13">
        <f>IFERROR(__xludf.DUMMYFUNCTION("""COMPUTED_VALUE"""),54.319971280867776)</f>
        <v>54.31997128</v>
      </c>
      <c r="E133" s="13">
        <f>IFERROR(__xludf.DUMMYFUNCTION("""COMPUTED_VALUE"""),14.805421167457126)</f>
        <v>14.80542117</v>
      </c>
      <c r="F133" s="13">
        <f>IFERROR(__xludf.DUMMYFUNCTION("""COMPUTED_VALUE"""),26.660562436534263)</f>
        <v>26.66056244</v>
      </c>
      <c r="G133" s="13">
        <f>IFERROR(__xludf.DUMMYFUNCTION("""COMPUTED_VALUE"""),23.26708400152289)</f>
        <v>23.267084</v>
      </c>
      <c r="H133" s="31" t="str">
        <f>IFERROR(__xludf.DUMMYFUNCTION("""COMPUTED_VALUE"""),"NEUTRAL")</f>
        <v>NEUTRAL</v>
      </c>
      <c r="I133" s="14" t="str">
        <f t="shared" si="2"/>
        <v>CHART</v>
      </c>
      <c r="P133" s="23"/>
    </row>
    <row r="134">
      <c r="A134" s="29"/>
      <c r="B134" s="12">
        <f>IFERROR(__xludf.DUMMYFUNCTION("""COMPUTED_VALUE"""),132.0)</f>
        <v>132</v>
      </c>
      <c r="C134" s="12" t="str">
        <f>IFERROR(__xludf.DUMMYFUNCTION("""COMPUTED_VALUE"""),"HINDUNILVR")</f>
        <v>HINDUNILVR</v>
      </c>
      <c r="D134" s="13">
        <f>IFERROR(__xludf.DUMMYFUNCTION("""COMPUTED_VALUE"""),43.49131696098299)</f>
        <v>43.49131696</v>
      </c>
      <c r="E134" s="13">
        <f>IFERROR(__xludf.DUMMYFUNCTION("""COMPUTED_VALUE"""),12.966115314202058)</f>
        <v>12.96611531</v>
      </c>
      <c r="F134" s="13">
        <f>IFERROR(__xludf.DUMMYFUNCTION("""COMPUTED_VALUE"""),15.453979917492902)</f>
        <v>15.45397992</v>
      </c>
      <c r="G134" s="13">
        <f>IFERROR(__xludf.DUMMYFUNCTION("""COMPUTED_VALUE"""),19.235407110726275)</f>
        <v>19.23540711</v>
      </c>
      <c r="H134" s="31" t="str">
        <f>IFERROR(__xludf.DUMMYFUNCTION("""COMPUTED_VALUE"""),"")</f>
        <v/>
      </c>
      <c r="I134" s="14" t="str">
        <f t="shared" si="2"/>
        <v>CHART</v>
      </c>
      <c r="P134" s="23"/>
    </row>
    <row r="135">
      <c r="A135" s="29"/>
      <c r="B135" s="12">
        <f>IFERROR(__xludf.DUMMYFUNCTION("""COMPUTED_VALUE"""),133.0)</f>
        <v>133</v>
      </c>
      <c r="C135" s="12" t="str">
        <f>IFERROR(__xludf.DUMMYFUNCTION("""COMPUTED_VALUE"""),"HDFCLIFE")</f>
        <v>HDFCLIFE</v>
      </c>
      <c r="D135" s="13">
        <f>IFERROR(__xludf.DUMMYFUNCTION("""COMPUTED_VALUE"""),51.89073744479724)</f>
        <v>51.89073744</v>
      </c>
      <c r="E135" s="13">
        <f>IFERROR(__xludf.DUMMYFUNCTION("""COMPUTED_VALUE"""),12.210317925707596)</f>
        <v>12.21031793</v>
      </c>
      <c r="F135" s="13">
        <f>IFERROR(__xludf.DUMMYFUNCTION("""COMPUTED_VALUE"""),27.25908659245556)</f>
        <v>27.25908659</v>
      </c>
      <c r="G135" s="13">
        <f>IFERROR(__xludf.DUMMYFUNCTION("""COMPUTED_VALUE"""),23.819942473782486)</f>
        <v>23.81994247</v>
      </c>
      <c r="H135" s="31" t="str">
        <f>IFERROR(__xludf.DUMMYFUNCTION("""COMPUTED_VALUE"""),"NEUTRAL")</f>
        <v>NEUTRAL</v>
      </c>
      <c r="I135" s="14" t="str">
        <f t="shared" si="2"/>
        <v>CHART</v>
      </c>
      <c r="P135" s="23"/>
    </row>
    <row r="136">
      <c r="A136" s="29"/>
      <c r="B136" s="12">
        <f>IFERROR(__xludf.DUMMYFUNCTION("""COMPUTED_VALUE"""),134.0)</f>
        <v>134</v>
      </c>
      <c r="C136" s="12" t="str">
        <f>IFERROR(__xludf.DUMMYFUNCTION("""COMPUTED_VALUE"""),"APOLLOHOSP")</f>
        <v>APOLLOHOSP</v>
      </c>
      <c r="D136" s="13">
        <f>IFERROR(__xludf.DUMMYFUNCTION("""COMPUTED_VALUE"""),60.434676746044914)</f>
        <v>60.43467675</v>
      </c>
      <c r="E136" s="13">
        <f>IFERROR(__xludf.DUMMYFUNCTION("""COMPUTED_VALUE"""),23.0038537061785)</f>
        <v>23.00385371</v>
      </c>
      <c r="F136" s="13">
        <f>IFERROR(__xludf.DUMMYFUNCTION("""COMPUTED_VALUE"""),26.495724349304595)</f>
        <v>26.49572435</v>
      </c>
      <c r="G136" s="13">
        <f>IFERROR(__xludf.DUMMYFUNCTION("""COMPUTED_VALUE"""),22.431087381331384)</f>
        <v>22.43108738</v>
      </c>
      <c r="H136" s="31" t="str">
        <f>IFERROR(__xludf.DUMMYFUNCTION("""COMPUTED_VALUE"""),"")</f>
        <v/>
      </c>
      <c r="I136" s="14" t="str">
        <f t="shared" si="2"/>
        <v>CHART</v>
      </c>
      <c r="P136" s="23"/>
    </row>
    <row r="137">
      <c r="A137" s="29"/>
      <c r="B137" s="12">
        <f>IFERROR(__xludf.DUMMYFUNCTION("""COMPUTED_VALUE"""),135.0)</f>
        <v>135</v>
      </c>
      <c r="C137" s="12" t="str">
        <f>IFERROR(__xludf.DUMMYFUNCTION("""COMPUTED_VALUE"""),"DIVISLAB")</f>
        <v>DIVISLAB</v>
      </c>
      <c r="D137" s="13">
        <f>IFERROR(__xludf.DUMMYFUNCTION("""COMPUTED_VALUE"""),59.80156484377723)</f>
        <v>59.80156484</v>
      </c>
      <c r="E137" s="13">
        <f>IFERROR(__xludf.DUMMYFUNCTION("""COMPUTED_VALUE"""),34.34152667425448)</f>
        <v>34.34152667</v>
      </c>
      <c r="F137" s="13">
        <f>IFERROR(__xludf.DUMMYFUNCTION("""COMPUTED_VALUE"""),19.25851401128752)</f>
        <v>19.25851401</v>
      </c>
      <c r="G137" s="13">
        <f>IFERROR(__xludf.DUMMYFUNCTION("""COMPUTED_VALUE"""),15.776386423471664)</f>
        <v>15.77638642</v>
      </c>
      <c r="H137" s="31" t="str">
        <f>IFERROR(__xludf.DUMMYFUNCTION("""COMPUTED_VALUE"""),"")</f>
        <v/>
      </c>
      <c r="I137" s="14" t="str">
        <f t="shared" si="2"/>
        <v>CHART</v>
      </c>
      <c r="P137" s="23"/>
    </row>
    <row r="138">
      <c r="A138" s="29"/>
      <c r="B138" s="12">
        <f>IFERROR(__xludf.DUMMYFUNCTION("""COMPUTED_VALUE"""),136.0)</f>
        <v>136</v>
      </c>
      <c r="C138" s="12" t="str">
        <f>IFERROR(__xludf.DUMMYFUNCTION("""COMPUTED_VALUE"""),"KPITTECH")</f>
        <v>KPITTECH</v>
      </c>
      <c r="D138" s="13">
        <f>IFERROR(__xludf.DUMMYFUNCTION("""COMPUTED_VALUE"""),63.13185775122537)</f>
        <v>63.13185775</v>
      </c>
      <c r="E138" s="13">
        <f>IFERROR(__xludf.DUMMYFUNCTION("""COMPUTED_VALUE"""),16.710591930627082)</f>
        <v>16.71059193</v>
      </c>
      <c r="F138" s="13">
        <f>IFERROR(__xludf.DUMMYFUNCTION("""COMPUTED_VALUE"""),29.48420396307061)</f>
        <v>29.48420396</v>
      </c>
      <c r="G138" s="13">
        <f>IFERROR(__xludf.DUMMYFUNCTION("""COMPUTED_VALUE"""),18.92658555588697)</f>
        <v>18.92658556</v>
      </c>
      <c r="H138" s="31" t="str">
        <f>IFERROR(__xludf.DUMMYFUNCTION("""COMPUTED_VALUE"""),"")</f>
        <v/>
      </c>
      <c r="I138" s="14" t="str">
        <f t="shared" si="2"/>
        <v>CHART</v>
      </c>
      <c r="P138" s="23"/>
    </row>
    <row r="139">
      <c r="A139" s="29"/>
      <c r="B139" s="12">
        <f>IFERROR(__xludf.DUMMYFUNCTION("""COMPUTED_VALUE"""),137.0)</f>
        <v>137</v>
      </c>
      <c r="C139" s="12" t="str">
        <f>IFERROR(__xludf.DUMMYFUNCTION("""COMPUTED_VALUE"""),"TITAN")</f>
        <v>TITAN</v>
      </c>
      <c r="D139" s="13">
        <f>IFERROR(__xludf.DUMMYFUNCTION("""COMPUTED_VALUE"""),43.63721258189443)</f>
        <v>43.63721258</v>
      </c>
      <c r="E139" s="13">
        <f>IFERROR(__xludf.DUMMYFUNCTION("""COMPUTED_VALUE"""),9.03059277858077)</f>
        <v>9.030592779</v>
      </c>
      <c r="F139" s="13">
        <f>IFERROR(__xludf.DUMMYFUNCTION("""COMPUTED_VALUE"""),22.245248403577147)</f>
        <v>22.2452484</v>
      </c>
      <c r="G139" s="13">
        <f>IFERROR(__xludf.DUMMYFUNCTION("""COMPUTED_VALUE"""),23.92420233270161)</f>
        <v>23.92420233</v>
      </c>
      <c r="H139" s="31" t="str">
        <f>IFERROR(__xludf.DUMMYFUNCTION("""COMPUTED_VALUE"""),"")</f>
        <v/>
      </c>
      <c r="I139" s="14" t="str">
        <f t="shared" si="2"/>
        <v>CHART</v>
      </c>
      <c r="P139" s="23"/>
    </row>
    <row r="140">
      <c r="A140" s="29"/>
      <c r="B140" s="12">
        <f>IFERROR(__xludf.DUMMYFUNCTION("""COMPUTED_VALUE"""),138.0)</f>
        <v>138</v>
      </c>
      <c r="C140" s="12" t="str">
        <f>IFERROR(__xludf.DUMMYFUNCTION("""COMPUTED_VALUE"""),"MOTILALOFS")</f>
        <v>MOTILALOFS</v>
      </c>
      <c r="D140" s="13">
        <f>IFERROR(__xludf.DUMMYFUNCTION("""COMPUTED_VALUE"""),68.82287941693379)</f>
        <v>68.82287942</v>
      </c>
      <c r="E140" s="13">
        <f>IFERROR(__xludf.DUMMYFUNCTION("""COMPUTED_VALUE"""),23.707285312387768)</f>
        <v>23.70728531</v>
      </c>
      <c r="F140" s="13">
        <f>IFERROR(__xludf.DUMMYFUNCTION("""COMPUTED_VALUE"""),39.85808303915031)</f>
        <v>39.85808304</v>
      </c>
      <c r="G140" s="13">
        <f>IFERROR(__xludf.DUMMYFUNCTION("""COMPUTED_VALUE"""),16.05848554276186)</f>
        <v>16.05848554</v>
      </c>
      <c r="H140" s="31" t="str">
        <f>IFERROR(__xludf.DUMMYFUNCTION("""COMPUTED_VALUE"""),"")</f>
        <v/>
      </c>
      <c r="I140" s="14" t="str">
        <f t="shared" si="2"/>
        <v>CHART</v>
      </c>
      <c r="P140" s="23"/>
    </row>
    <row r="141">
      <c r="A141" s="29"/>
      <c r="B141" s="12">
        <f>IFERROR(__xludf.DUMMYFUNCTION("""COMPUTED_VALUE"""),139.0)</f>
        <v>139</v>
      </c>
      <c r="C141" s="12" t="str">
        <f>IFERROR(__xludf.DUMMYFUNCTION("""COMPUTED_VALUE"""),"GODREJPROP")</f>
        <v>GODREJPROP</v>
      </c>
      <c r="D141" s="13">
        <f>IFERROR(__xludf.DUMMYFUNCTION("""COMPUTED_VALUE"""),56.047027525093974)</f>
        <v>56.04702753</v>
      </c>
      <c r="E141" s="13">
        <f>IFERROR(__xludf.DUMMYFUNCTION("""COMPUTED_VALUE"""),14.791830729141447)</f>
        <v>14.79183073</v>
      </c>
      <c r="F141" s="13">
        <f>IFERROR(__xludf.DUMMYFUNCTION("""COMPUTED_VALUE"""),28.050948585633044)</f>
        <v>28.05094859</v>
      </c>
      <c r="G141" s="13">
        <f>IFERROR(__xludf.DUMMYFUNCTION("""COMPUTED_VALUE"""),24.415264137729228)</f>
        <v>24.41526414</v>
      </c>
      <c r="H141" s="31" t="str">
        <f>IFERROR(__xludf.DUMMYFUNCTION("""COMPUTED_VALUE"""),"")</f>
        <v/>
      </c>
      <c r="I141" s="14" t="str">
        <f t="shared" si="2"/>
        <v>CHART</v>
      </c>
      <c r="P141" s="23"/>
    </row>
    <row r="142">
      <c r="A142" s="29"/>
      <c r="B142" s="12">
        <f>IFERROR(__xludf.DUMMYFUNCTION("""COMPUTED_VALUE"""),140.0)</f>
        <v>140</v>
      </c>
      <c r="C142" s="12" t="str">
        <f>IFERROR(__xludf.DUMMYFUNCTION("""COMPUTED_VALUE"""),"CAMS")</f>
        <v>CAMS</v>
      </c>
      <c r="D142" s="13">
        <f>IFERROR(__xludf.DUMMYFUNCTION("""COMPUTED_VALUE"""),58.90411914185757)</f>
        <v>58.90411914</v>
      </c>
      <c r="E142" s="13">
        <f>IFERROR(__xludf.DUMMYFUNCTION("""COMPUTED_VALUE"""),15.45010448692457)</f>
        <v>15.45010449</v>
      </c>
      <c r="F142" s="13">
        <f>IFERROR(__xludf.DUMMYFUNCTION("""COMPUTED_VALUE"""),30.504445613654006)</f>
        <v>30.50444561</v>
      </c>
      <c r="G142" s="13">
        <f>IFERROR(__xludf.DUMMYFUNCTION("""COMPUTED_VALUE"""),24.47969516960601)</f>
        <v>24.47969517</v>
      </c>
      <c r="H142" s="31" t="str">
        <f>IFERROR(__xludf.DUMMYFUNCTION("""COMPUTED_VALUE"""),"")</f>
        <v/>
      </c>
      <c r="I142" s="14" t="str">
        <f t="shared" si="2"/>
        <v>CHART</v>
      </c>
      <c r="P142" s="23"/>
    </row>
    <row r="143">
      <c r="A143" s="29"/>
      <c r="B143" s="12">
        <f>IFERROR(__xludf.DUMMYFUNCTION("""COMPUTED_VALUE"""),141.0)</f>
        <v>141</v>
      </c>
      <c r="C143" s="12" t="str">
        <f>IFERROR(__xludf.DUMMYFUNCTION("""COMPUTED_VALUE"""),"RECLTD")</f>
        <v>RECLTD</v>
      </c>
      <c r="D143" s="13">
        <f>IFERROR(__xludf.DUMMYFUNCTION("""COMPUTED_VALUE"""),42.134195221863074)</f>
        <v>42.13419522</v>
      </c>
      <c r="E143" s="13">
        <f>IFERROR(__xludf.DUMMYFUNCTION("""COMPUTED_VALUE"""),19.70460862572438)</f>
        <v>19.70460863</v>
      </c>
      <c r="F143" s="13">
        <f>IFERROR(__xludf.DUMMYFUNCTION("""COMPUTED_VALUE"""),21.742205820467856)</f>
        <v>21.74220582</v>
      </c>
      <c r="G143" s="13">
        <f>IFERROR(__xludf.DUMMYFUNCTION("""COMPUTED_VALUE"""),32.50796293848198)</f>
        <v>32.50796294</v>
      </c>
      <c r="H143" s="31" t="str">
        <f>IFERROR(__xludf.DUMMYFUNCTION("""COMPUTED_VALUE"""),"")</f>
        <v/>
      </c>
      <c r="I143" s="14" t="str">
        <f t="shared" si="2"/>
        <v>CHART</v>
      </c>
      <c r="P143" s="23"/>
    </row>
    <row r="144">
      <c r="A144" s="29"/>
      <c r="B144" s="12">
        <f>IFERROR(__xludf.DUMMYFUNCTION("""COMPUTED_VALUE"""),142.0)</f>
        <v>142</v>
      </c>
      <c r="C144" s="12" t="str">
        <f>IFERROR(__xludf.DUMMYFUNCTION("""COMPUTED_VALUE"""),"NESTLEIND")</f>
        <v>NESTLEIND</v>
      </c>
      <c r="D144" s="13">
        <f>IFERROR(__xludf.DUMMYFUNCTION("""COMPUTED_VALUE"""),58.65039656471388)</f>
        <v>58.65039656</v>
      </c>
      <c r="E144" s="13">
        <f>IFERROR(__xludf.DUMMYFUNCTION("""COMPUTED_VALUE"""),37.38597719348497)</f>
        <v>37.38597719</v>
      </c>
      <c r="F144" s="13">
        <f>IFERROR(__xludf.DUMMYFUNCTION("""COMPUTED_VALUE"""),21.284874520509323)</f>
        <v>21.28487452</v>
      </c>
      <c r="G144" s="13">
        <f>IFERROR(__xludf.DUMMYFUNCTION("""COMPUTED_VALUE"""),14.639757745049348)</f>
        <v>14.63975775</v>
      </c>
      <c r="H144" s="31" t="str">
        <f>IFERROR(__xludf.DUMMYFUNCTION("""COMPUTED_VALUE"""),"")</f>
        <v/>
      </c>
      <c r="I144" s="14" t="str">
        <f t="shared" si="2"/>
        <v>CHART</v>
      </c>
      <c r="P144" s="23"/>
    </row>
    <row r="145">
      <c r="A145" s="29"/>
      <c r="B145" s="12">
        <f>IFERROR(__xludf.DUMMYFUNCTION("""COMPUTED_VALUE"""),143.0)</f>
        <v>143</v>
      </c>
      <c r="C145" s="12" t="str">
        <f>IFERROR(__xludf.DUMMYFUNCTION("""COMPUTED_VALUE"""),"SBICARD")</f>
        <v>SBICARD</v>
      </c>
      <c r="D145" s="13">
        <f>IFERROR(__xludf.DUMMYFUNCTION("""COMPUTED_VALUE"""),39.394141298328194)</f>
        <v>39.3941413</v>
      </c>
      <c r="E145" s="13">
        <f>IFERROR(__xludf.DUMMYFUNCTION("""COMPUTED_VALUE"""),26.153098898809656)</f>
        <v>26.1530989</v>
      </c>
      <c r="F145" s="13">
        <f>IFERROR(__xludf.DUMMYFUNCTION("""COMPUTED_VALUE"""),15.48965759732684)</f>
        <v>15.4896576</v>
      </c>
      <c r="G145" s="13">
        <f>IFERROR(__xludf.DUMMYFUNCTION("""COMPUTED_VALUE"""),24.70860546318361)</f>
        <v>24.70860546</v>
      </c>
      <c r="H145" s="31" t="str">
        <f>IFERROR(__xludf.DUMMYFUNCTION("""COMPUTED_VALUE"""),"")</f>
        <v/>
      </c>
      <c r="I145" s="14" t="str">
        <f t="shared" si="2"/>
        <v>CHART</v>
      </c>
      <c r="P145" s="23"/>
    </row>
    <row r="146">
      <c r="A146" s="29"/>
      <c r="B146" s="12">
        <f>IFERROR(__xludf.DUMMYFUNCTION("""COMPUTED_VALUE"""),144.0)</f>
        <v>144</v>
      </c>
      <c r="C146" s="12" t="str">
        <f>IFERROR(__xludf.DUMMYFUNCTION("""COMPUTED_VALUE"""),"LTF")</f>
        <v>LTF</v>
      </c>
      <c r="D146" s="13">
        <f>IFERROR(__xludf.DUMMYFUNCTION("""COMPUTED_VALUE"""),51.900120400257705)</f>
        <v>51.9001204</v>
      </c>
      <c r="E146" s="13">
        <f>IFERROR(__xludf.DUMMYFUNCTION("""COMPUTED_VALUE"""),14.20712934530718)</f>
        <v>14.20712935</v>
      </c>
      <c r="F146" s="13">
        <f>IFERROR(__xludf.DUMMYFUNCTION("""COMPUTED_VALUE"""),28.48827928305799)</f>
        <v>28.48827928</v>
      </c>
      <c r="G146" s="13">
        <f>IFERROR(__xludf.DUMMYFUNCTION("""COMPUTED_VALUE"""),25.295508252933953)</f>
        <v>25.29550825</v>
      </c>
      <c r="H146" s="31" t="str">
        <f>IFERROR(__xludf.DUMMYFUNCTION("""COMPUTED_VALUE"""),"NEUTRAL")</f>
        <v>NEUTRAL</v>
      </c>
      <c r="I146" s="14" t="str">
        <f t="shared" si="2"/>
        <v>CHART</v>
      </c>
      <c r="P146" s="23"/>
    </row>
    <row r="147">
      <c r="A147" s="29"/>
      <c r="B147" s="12">
        <f>IFERROR(__xludf.DUMMYFUNCTION("""COMPUTED_VALUE"""),145.0)</f>
        <v>145</v>
      </c>
      <c r="C147" s="12" t="str">
        <f>IFERROR(__xludf.DUMMYFUNCTION("""COMPUTED_VALUE"""),"MAZDOCK")</f>
        <v>MAZDOCK</v>
      </c>
      <c r="D147" s="13">
        <f>IFERROR(__xludf.DUMMYFUNCTION("""COMPUTED_VALUE"""),44.40308992179211)</f>
        <v>44.40308992</v>
      </c>
      <c r="E147" s="13">
        <f>IFERROR(__xludf.DUMMYFUNCTION("""COMPUTED_VALUE"""),17.817322384933988)</f>
        <v>17.81732238</v>
      </c>
      <c r="F147" s="13">
        <f>IFERROR(__xludf.DUMMYFUNCTION("""COMPUTED_VALUE"""),21.888222295274858)</f>
        <v>21.8882223</v>
      </c>
      <c r="G147" s="13">
        <f>IFERROR(__xludf.DUMMYFUNCTION("""COMPUTED_VALUE"""),26.948469547671845)</f>
        <v>26.94846955</v>
      </c>
      <c r="H147" s="31" t="str">
        <f>IFERROR(__xludf.DUMMYFUNCTION("""COMPUTED_VALUE"""),"")</f>
        <v/>
      </c>
      <c r="I147" s="14" t="str">
        <f t="shared" si="2"/>
        <v>CHART</v>
      </c>
      <c r="P147" s="23"/>
    </row>
    <row r="148">
      <c r="A148" s="29"/>
      <c r="B148" s="12">
        <f>IFERROR(__xludf.DUMMYFUNCTION("""COMPUTED_VALUE"""),146.0)</f>
        <v>146</v>
      </c>
      <c r="C148" s="12" t="str">
        <f>IFERROR(__xludf.DUMMYFUNCTION("""COMPUTED_VALUE"""),"MFSL")</f>
        <v>MFSL</v>
      </c>
      <c r="D148" s="13">
        <f>IFERROR(__xludf.DUMMYFUNCTION("""COMPUTED_VALUE"""),57.08623807718199)</f>
        <v>57.08623808</v>
      </c>
      <c r="E148" s="13">
        <f>IFERROR(__xludf.DUMMYFUNCTION("""COMPUTED_VALUE"""),14.67113190699781)</f>
        <v>14.67113191</v>
      </c>
      <c r="F148" s="13">
        <f>IFERROR(__xludf.DUMMYFUNCTION("""COMPUTED_VALUE"""),29.408569890618203)</f>
        <v>29.40856989</v>
      </c>
      <c r="G148" s="13">
        <f>IFERROR(__xludf.DUMMYFUNCTION("""COMPUTED_VALUE"""),19.83320101662151)</f>
        <v>19.83320102</v>
      </c>
      <c r="H148" s="31" t="str">
        <f>IFERROR(__xludf.DUMMYFUNCTION("""COMPUTED_VALUE"""),"")</f>
        <v/>
      </c>
      <c r="I148" s="14" t="str">
        <f t="shared" si="2"/>
        <v>CHART</v>
      </c>
      <c r="P148" s="23"/>
    </row>
    <row r="149">
      <c r="A149" s="29"/>
      <c r="B149" s="12">
        <f>IFERROR(__xludf.DUMMYFUNCTION("""COMPUTED_VALUE"""),147.0)</f>
        <v>147</v>
      </c>
      <c r="C149" s="12" t="str">
        <f>IFERROR(__xludf.DUMMYFUNCTION("""COMPUTED_VALUE"""),"NAM-INDIA")</f>
        <v>NAM-INDIA</v>
      </c>
      <c r="D149" s="13">
        <f>IFERROR(__xludf.DUMMYFUNCTION("""COMPUTED_VALUE"""),60.33599701071238)</f>
        <v>60.33599701</v>
      </c>
      <c r="E149" s="13">
        <f>IFERROR(__xludf.DUMMYFUNCTION("""COMPUTED_VALUE"""),26.286957071278213)</f>
        <v>26.28695707</v>
      </c>
      <c r="F149" s="13">
        <f>IFERROR(__xludf.DUMMYFUNCTION("""COMPUTED_VALUE"""),30.29228091709195)</f>
        <v>30.29228092</v>
      </c>
      <c r="G149" s="13">
        <f>IFERROR(__xludf.DUMMYFUNCTION("""COMPUTED_VALUE"""),18.383036996481415)</f>
        <v>18.383037</v>
      </c>
      <c r="H149" s="31" t="str">
        <f>IFERROR(__xludf.DUMMYFUNCTION("""COMPUTED_VALUE"""),"")</f>
        <v/>
      </c>
      <c r="I149" s="14" t="str">
        <f t="shared" si="2"/>
        <v>CHART</v>
      </c>
      <c r="P149" s="23"/>
    </row>
    <row r="150">
      <c r="A150" s="29"/>
      <c r="B150" s="12">
        <f>IFERROR(__xludf.DUMMYFUNCTION("""COMPUTED_VALUE"""),148.0)</f>
        <v>148</v>
      </c>
      <c r="C150" s="12" t="str">
        <f>IFERROR(__xludf.DUMMYFUNCTION("""COMPUTED_VALUE"""),"SRF")</f>
        <v>SRF</v>
      </c>
      <c r="D150" s="13">
        <f>IFERROR(__xludf.DUMMYFUNCTION("""COMPUTED_VALUE"""),60.83697463784792)</f>
        <v>60.83697464</v>
      </c>
      <c r="E150" s="13">
        <f>IFERROR(__xludf.DUMMYFUNCTION("""COMPUTED_VALUE"""),13.66044016951451)</f>
        <v>13.66044017</v>
      </c>
      <c r="F150" s="13">
        <f>IFERROR(__xludf.DUMMYFUNCTION("""COMPUTED_VALUE"""),32.82015981854362)</f>
        <v>32.82015982</v>
      </c>
      <c r="G150" s="13">
        <f>IFERROR(__xludf.DUMMYFUNCTION("""COMPUTED_VALUE"""),21.709364871014625)</f>
        <v>21.70936487</v>
      </c>
      <c r="H150" s="31" t="str">
        <f>IFERROR(__xludf.DUMMYFUNCTION("""COMPUTED_VALUE"""),"")</f>
        <v/>
      </c>
      <c r="I150" s="14" t="str">
        <f t="shared" si="2"/>
        <v>CHART</v>
      </c>
      <c r="P150" s="23"/>
    </row>
    <row r="151">
      <c r="A151" s="29"/>
      <c r="B151" s="12">
        <f>IFERROR(__xludf.DUMMYFUNCTION("""COMPUTED_VALUE"""),149.0)</f>
        <v>149</v>
      </c>
      <c r="C151" s="12" t="str">
        <f>IFERROR(__xludf.DUMMYFUNCTION("""COMPUTED_VALUE"""),"KALYANKJIL")</f>
        <v>KALYANKJIL</v>
      </c>
      <c r="D151" s="13">
        <f>IFERROR(__xludf.DUMMYFUNCTION("""COMPUTED_VALUE"""),37.80493432695939)</f>
        <v>37.80493433</v>
      </c>
      <c r="E151" s="13">
        <f>IFERROR(__xludf.DUMMYFUNCTION("""COMPUTED_VALUE"""),28.73253653565001)</f>
        <v>28.73253654</v>
      </c>
      <c r="F151" s="13">
        <f>IFERROR(__xludf.DUMMYFUNCTION("""COMPUTED_VALUE"""),19.471924765166047)</f>
        <v>19.47192477</v>
      </c>
      <c r="G151" s="13">
        <f>IFERROR(__xludf.DUMMYFUNCTION("""COMPUTED_VALUE"""),37.69517816004602)</f>
        <v>37.69517816</v>
      </c>
      <c r="H151" s="31">
        <f>IFERROR(__xludf.DUMMYFUNCTION("""COMPUTED_VALUE"""),-3.0)</f>
        <v>-3</v>
      </c>
      <c r="I151" s="14" t="str">
        <f t="shared" si="2"/>
        <v>CHART</v>
      </c>
      <c r="P151" s="23"/>
    </row>
    <row r="152">
      <c r="A152" s="29"/>
      <c r="B152" s="12">
        <f>IFERROR(__xludf.DUMMYFUNCTION("""COMPUTED_VALUE"""),150.0)</f>
        <v>150</v>
      </c>
      <c r="C152" s="12" t="str">
        <f>IFERROR(__xludf.DUMMYFUNCTION("""COMPUTED_VALUE"""),"ZYDUSLIFE")</f>
        <v>ZYDUSLIFE</v>
      </c>
      <c r="D152" s="13">
        <f>IFERROR(__xludf.DUMMYFUNCTION("""COMPUTED_VALUE"""),75.44863335026453)</f>
        <v>75.44863335</v>
      </c>
      <c r="E152" s="13">
        <f>IFERROR(__xludf.DUMMYFUNCTION("""COMPUTED_VALUE"""),41.318141147544445)</f>
        <v>41.31814115</v>
      </c>
      <c r="F152" s="13">
        <f>IFERROR(__xludf.DUMMYFUNCTION("""COMPUTED_VALUE"""),50.33780315616722)</f>
        <v>50.33780316</v>
      </c>
      <c r="G152" s="13">
        <f>IFERROR(__xludf.DUMMYFUNCTION("""COMPUTED_VALUE"""),8.706296828301163)</f>
        <v>8.706296828</v>
      </c>
      <c r="H152" s="31" t="str">
        <f>IFERROR(__xludf.DUMMYFUNCTION("""COMPUTED_VALUE"""),"")</f>
        <v/>
      </c>
      <c r="I152" s="14" t="str">
        <f t="shared" si="2"/>
        <v>CHART</v>
      </c>
      <c r="P152" s="23"/>
    </row>
    <row r="153">
      <c r="A153" s="29"/>
      <c r="B153" s="12">
        <f>IFERROR(__xludf.DUMMYFUNCTION("""COMPUTED_VALUE"""),151.0)</f>
        <v>151</v>
      </c>
      <c r="C153" s="12" t="str">
        <f>IFERROR(__xludf.DUMMYFUNCTION("""COMPUTED_VALUE"""),"IOC")</f>
        <v>IOC</v>
      </c>
      <c r="D153" s="13">
        <f>IFERROR(__xludf.DUMMYFUNCTION("""COMPUTED_VALUE"""),50.455693067107475)</f>
        <v>50.45569307</v>
      </c>
      <c r="E153" s="13">
        <f>IFERROR(__xludf.DUMMYFUNCTION("""COMPUTED_VALUE"""),12.755956806835295)</f>
        <v>12.75595681</v>
      </c>
      <c r="F153" s="13">
        <f>IFERROR(__xludf.DUMMYFUNCTION("""COMPUTED_VALUE"""),37.76503661419589)</f>
        <v>37.76503661</v>
      </c>
      <c r="G153" s="13">
        <f>IFERROR(__xludf.DUMMYFUNCTION("""COMPUTED_VALUE"""),34.14272940722015)</f>
        <v>34.14272941</v>
      </c>
      <c r="H153" s="31" t="str">
        <f>IFERROR(__xludf.DUMMYFUNCTION("""COMPUTED_VALUE"""),"NEUTRAL")</f>
        <v>NEUTRAL</v>
      </c>
      <c r="I153" s="14" t="str">
        <f t="shared" si="2"/>
        <v>CHART</v>
      </c>
      <c r="P153" s="23"/>
    </row>
    <row r="154">
      <c r="A154" s="29"/>
      <c r="B154" s="12">
        <f>IFERROR(__xludf.DUMMYFUNCTION("""COMPUTED_VALUE"""),152.0)</f>
        <v>152</v>
      </c>
      <c r="C154" s="12" t="str">
        <f>IFERROR(__xludf.DUMMYFUNCTION("""COMPUTED_VALUE"""),"HAVELLS")</f>
        <v>HAVELLS</v>
      </c>
      <c r="D154" s="13">
        <f>IFERROR(__xludf.DUMMYFUNCTION("""COMPUTED_VALUE"""),43.609690040611014)</f>
        <v>43.60969004</v>
      </c>
      <c r="E154" s="13">
        <f>IFERROR(__xludf.DUMMYFUNCTION("""COMPUTED_VALUE"""),13.646225273752846)</f>
        <v>13.64622527</v>
      </c>
      <c r="F154" s="13">
        <f>IFERROR(__xludf.DUMMYFUNCTION("""COMPUTED_VALUE"""),21.027200136159184)</f>
        <v>21.02720014</v>
      </c>
      <c r="G154" s="13">
        <f>IFERROR(__xludf.DUMMYFUNCTION("""COMPUTED_VALUE"""),28.21941568549598)</f>
        <v>28.21941569</v>
      </c>
      <c r="H154" s="31" t="str">
        <f>IFERROR(__xludf.DUMMYFUNCTION("""COMPUTED_VALUE"""),"")</f>
        <v/>
      </c>
      <c r="I154" s="14" t="str">
        <f t="shared" si="2"/>
        <v>CHART</v>
      </c>
      <c r="P154" s="23"/>
    </row>
    <row r="155">
      <c r="A155" s="29"/>
      <c r="B155" s="12">
        <f>IFERROR(__xludf.DUMMYFUNCTION("""COMPUTED_VALUE"""),153.0)</f>
        <v>153</v>
      </c>
      <c r="C155" s="12" t="str">
        <f>IFERROR(__xludf.DUMMYFUNCTION("""COMPUTED_VALUE"""),"CHOLAFIN")</f>
        <v>CHOLAFIN</v>
      </c>
      <c r="D155" s="13">
        <f>IFERROR(__xludf.DUMMYFUNCTION("""COMPUTED_VALUE"""),50.931763632462776)</f>
        <v>50.93176363</v>
      </c>
      <c r="E155" s="13">
        <f>IFERROR(__xludf.DUMMYFUNCTION("""COMPUTED_VALUE"""),15.306838380939865)</f>
        <v>15.30683838</v>
      </c>
      <c r="F155" s="13">
        <f>IFERROR(__xludf.DUMMYFUNCTION("""COMPUTED_VALUE"""),26.19951150367093)</f>
        <v>26.1995115</v>
      </c>
      <c r="G155" s="13">
        <f>IFERROR(__xludf.DUMMYFUNCTION("""COMPUTED_VALUE"""),26.863753533490677)</f>
        <v>26.86375353</v>
      </c>
      <c r="H155" s="31" t="str">
        <f>IFERROR(__xludf.DUMMYFUNCTION("""COMPUTED_VALUE"""),"NEUTRAL")</f>
        <v>NEUTRAL</v>
      </c>
      <c r="I155" s="14" t="str">
        <f t="shared" si="2"/>
        <v>CHART</v>
      </c>
      <c r="P155" s="23"/>
    </row>
    <row r="156">
      <c r="A156" s="29"/>
      <c r="B156" s="12">
        <f>IFERROR(__xludf.DUMMYFUNCTION("""COMPUTED_VALUE"""),154.0)</f>
        <v>154</v>
      </c>
      <c r="C156" s="12" t="str">
        <f>IFERROR(__xludf.DUMMYFUNCTION("""COMPUTED_VALUE"""),"GODREJCP")</f>
        <v>GODREJCP</v>
      </c>
      <c r="D156" s="13">
        <f>IFERROR(__xludf.DUMMYFUNCTION("""COMPUTED_VALUE"""),44.01828813378724)</f>
        <v>44.01828813</v>
      </c>
      <c r="E156" s="13">
        <f>IFERROR(__xludf.DUMMYFUNCTION("""COMPUTED_VALUE"""),24.62172347898034)</f>
        <v>24.62172348</v>
      </c>
      <c r="F156" s="13">
        <f>IFERROR(__xludf.DUMMYFUNCTION("""COMPUTED_VALUE"""),15.87877627293186)</f>
        <v>15.87877627</v>
      </c>
      <c r="G156" s="13">
        <f>IFERROR(__xludf.DUMMYFUNCTION("""COMPUTED_VALUE"""),26.043227755549232)</f>
        <v>26.04322776</v>
      </c>
      <c r="H156" s="31" t="str">
        <f>IFERROR(__xludf.DUMMYFUNCTION("""COMPUTED_VALUE"""),"")</f>
        <v/>
      </c>
      <c r="I156" s="14" t="str">
        <f t="shared" si="2"/>
        <v>CHART</v>
      </c>
      <c r="P156" s="23"/>
    </row>
    <row r="157">
      <c r="A157" s="29"/>
      <c r="B157" s="12">
        <f>IFERROR(__xludf.DUMMYFUNCTION("""COMPUTED_VALUE"""),155.0)</f>
        <v>155</v>
      </c>
      <c r="C157" s="12" t="str">
        <f>IFERROR(__xludf.DUMMYFUNCTION("""COMPUTED_VALUE"""),"NYKAA")</f>
        <v>NYKAA</v>
      </c>
      <c r="D157" s="13">
        <f>IFERROR(__xludf.DUMMYFUNCTION("""COMPUTED_VALUE"""),46.083797108065696)</f>
        <v>46.08379711</v>
      </c>
      <c r="E157" s="13">
        <f>IFERROR(__xludf.DUMMYFUNCTION("""COMPUTED_VALUE"""),16.092312127073914)</f>
        <v>16.09231213</v>
      </c>
      <c r="F157" s="13">
        <f>IFERROR(__xludf.DUMMYFUNCTION("""COMPUTED_VALUE"""),23.03408849424204)</f>
        <v>23.03408849</v>
      </c>
      <c r="G157" s="13">
        <f>IFERROR(__xludf.DUMMYFUNCTION("""COMPUTED_VALUE"""),19.075685714960628)</f>
        <v>19.07568571</v>
      </c>
      <c r="H157" s="31" t="str">
        <f>IFERROR(__xludf.DUMMYFUNCTION("""COMPUTED_VALUE"""),"NEUTRAL")</f>
        <v>NEUTRAL</v>
      </c>
      <c r="I157" s="14" t="str">
        <f t="shared" si="2"/>
        <v>CHART</v>
      </c>
      <c r="P157" s="23"/>
    </row>
    <row r="158">
      <c r="A158" s="29"/>
      <c r="B158" s="12">
        <f>IFERROR(__xludf.DUMMYFUNCTION("""COMPUTED_VALUE"""),156.0)</f>
        <v>156</v>
      </c>
      <c r="C158" s="12" t="str">
        <f>IFERROR(__xludf.DUMMYFUNCTION("""COMPUTED_VALUE"""),"INDHOTEL")</f>
        <v>INDHOTEL</v>
      </c>
      <c r="D158" s="13">
        <f>IFERROR(__xludf.DUMMYFUNCTION("""COMPUTED_VALUE"""),55.8481014762124)</f>
        <v>55.84810148</v>
      </c>
      <c r="E158" s="13">
        <f>IFERROR(__xludf.DUMMYFUNCTION("""COMPUTED_VALUE"""),9.114895721752745)</f>
        <v>9.114895722</v>
      </c>
      <c r="F158" s="13">
        <f>IFERROR(__xludf.DUMMYFUNCTION("""COMPUTED_VALUE"""),24.544226342030388)</f>
        <v>24.54422634</v>
      </c>
      <c r="G158" s="13">
        <f>IFERROR(__xludf.DUMMYFUNCTION("""COMPUTED_VALUE"""),24.551919984847896)</f>
        <v>24.55191998</v>
      </c>
      <c r="H158" s="31" t="str">
        <f>IFERROR(__xludf.DUMMYFUNCTION("""COMPUTED_VALUE"""),"")</f>
        <v/>
      </c>
      <c r="I158" s="14" t="str">
        <f t="shared" si="2"/>
        <v>CHART</v>
      </c>
      <c r="P158" s="23"/>
    </row>
    <row r="159">
      <c r="A159" s="29"/>
      <c r="B159" s="12">
        <f>IFERROR(__xludf.DUMMYFUNCTION("""COMPUTED_VALUE"""),157.0)</f>
        <v>157</v>
      </c>
      <c r="C159" s="12" t="str">
        <f>IFERROR(__xludf.DUMMYFUNCTION("""COMPUTED_VALUE"""),"MPHASIS")</f>
        <v>MPHASIS</v>
      </c>
      <c r="D159" s="13">
        <f>IFERROR(__xludf.DUMMYFUNCTION("""COMPUTED_VALUE"""),53.32894111475727)</f>
        <v>53.32894111</v>
      </c>
      <c r="E159" s="13">
        <f>IFERROR(__xludf.DUMMYFUNCTION("""COMPUTED_VALUE"""),15.01567188199554)</f>
        <v>15.01567188</v>
      </c>
      <c r="F159" s="13">
        <f>IFERROR(__xludf.DUMMYFUNCTION("""COMPUTED_VALUE"""),23.53551255717952)</f>
        <v>23.53551256</v>
      </c>
      <c r="G159" s="13">
        <f>IFERROR(__xludf.DUMMYFUNCTION("""COMPUTED_VALUE"""),22.22449478816802)</f>
        <v>22.22449479</v>
      </c>
      <c r="H159" s="31" t="str">
        <f>IFERROR(__xludf.DUMMYFUNCTION("""COMPUTED_VALUE"""),"NEUTRAL")</f>
        <v>NEUTRAL</v>
      </c>
      <c r="I159" s="14" t="str">
        <f t="shared" si="2"/>
        <v>CHART</v>
      </c>
      <c r="P159" s="23"/>
    </row>
    <row r="160">
      <c r="A160" s="29"/>
      <c r="B160" s="12">
        <f>IFERROR(__xludf.DUMMYFUNCTION("""COMPUTED_VALUE"""),158.0)</f>
        <v>158</v>
      </c>
      <c r="C160" s="12" t="str">
        <f>IFERROR(__xludf.DUMMYFUNCTION("""COMPUTED_VALUE"""),"MAXHEALTH")</f>
        <v>MAXHEALTH</v>
      </c>
      <c r="D160" s="13">
        <f>IFERROR(__xludf.DUMMYFUNCTION("""COMPUTED_VALUE"""),40.65175365412693)</f>
        <v>40.65175365</v>
      </c>
      <c r="E160" s="13">
        <f>IFERROR(__xludf.DUMMYFUNCTION("""COMPUTED_VALUE"""),14.697080835960097)</f>
        <v>14.69708084</v>
      </c>
      <c r="F160" s="13">
        <f>IFERROR(__xludf.DUMMYFUNCTION("""COMPUTED_VALUE"""),22.29515561172548)</f>
        <v>22.29515561</v>
      </c>
      <c r="G160" s="13">
        <f>IFERROR(__xludf.DUMMYFUNCTION("""COMPUTED_VALUE"""),34.831246183573604)</f>
        <v>34.83124618</v>
      </c>
      <c r="H160" s="31" t="str">
        <f>IFERROR(__xludf.DUMMYFUNCTION("""COMPUTED_VALUE"""),"")</f>
        <v/>
      </c>
      <c r="I160" s="14" t="str">
        <f t="shared" si="2"/>
        <v>CHART</v>
      </c>
      <c r="P160" s="23"/>
    </row>
    <row r="161">
      <c r="A161" s="29"/>
      <c r="B161" s="12">
        <f>IFERROR(__xludf.DUMMYFUNCTION("""COMPUTED_VALUE"""),159.0)</f>
        <v>159</v>
      </c>
      <c r="C161" s="12" t="str">
        <f>IFERROR(__xludf.DUMMYFUNCTION("""COMPUTED_VALUE"""),"VOLTAS")</f>
        <v>VOLTAS</v>
      </c>
      <c r="D161" s="13">
        <f>IFERROR(__xludf.DUMMYFUNCTION("""COMPUTED_VALUE"""),40.686619433318945)</f>
        <v>40.68661943</v>
      </c>
      <c r="E161" s="13">
        <f>IFERROR(__xludf.DUMMYFUNCTION("""COMPUTED_VALUE"""),25.091487513705594)</f>
        <v>25.09148751</v>
      </c>
      <c r="F161" s="13">
        <f>IFERROR(__xludf.DUMMYFUNCTION("""COMPUTED_VALUE"""),17.77214213593397)</f>
        <v>17.77214214</v>
      </c>
      <c r="G161" s="13">
        <f>IFERROR(__xludf.DUMMYFUNCTION("""COMPUTED_VALUE"""),30.42991092264223)</f>
        <v>30.42991092</v>
      </c>
      <c r="H161" s="31" t="str">
        <f>IFERROR(__xludf.DUMMYFUNCTION("""COMPUTED_VALUE"""),"")</f>
        <v/>
      </c>
      <c r="I161" s="14" t="str">
        <f t="shared" si="2"/>
        <v>CHART</v>
      </c>
      <c r="P161" s="23"/>
    </row>
    <row r="162">
      <c r="A162" s="29"/>
      <c r="B162" s="12">
        <f>IFERROR(__xludf.DUMMYFUNCTION("""COMPUTED_VALUE"""),160.0)</f>
        <v>160</v>
      </c>
      <c r="C162" s="12" t="str">
        <f>IFERROR(__xludf.DUMMYFUNCTION("""COMPUTED_VALUE"""),"TATACONSUM")</f>
        <v>TATACONSUM</v>
      </c>
      <c r="D162" s="13">
        <f>IFERROR(__xludf.DUMMYFUNCTION("""COMPUTED_VALUE"""),55.43756080956878)</f>
        <v>55.43756081</v>
      </c>
      <c r="E162" s="13">
        <f>IFERROR(__xludf.DUMMYFUNCTION("""COMPUTED_VALUE"""),27.130073557422772)</f>
        <v>27.13007356</v>
      </c>
      <c r="F162" s="13">
        <f>IFERROR(__xludf.DUMMYFUNCTION("""COMPUTED_VALUE"""),24.50441881894438)</f>
        <v>24.50441882</v>
      </c>
      <c r="G162" s="13">
        <f>IFERROR(__xludf.DUMMYFUNCTION("""COMPUTED_VALUE"""),18.298635223660394)</f>
        <v>18.29863522</v>
      </c>
      <c r="H162" s="31" t="str">
        <f>IFERROR(__xludf.DUMMYFUNCTION("""COMPUTED_VALUE"""),"")</f>
        <v/>
      </c>
      <c r="I162" s="14" t="str">
        <f t="shared" si="2"/>
        <v>CHART</v>
      </c>
      <c r="P162" s="23"/>
    </row>
    <row r="163">
      <c r="A163" s="29"/>
      <c r="B163" s="12">
        <f>IFERROR(__xludf.DUMMYFUNCTION("""COMPUTED_VALUE"""),161.0)</f>
        <v>161</v>
      </c>
      <c r="C163" s="12" t="str">
        <f>IFERROR(__xludf.DUMMYFUNCTION("""COMPUTED_VALUE"""),"PRESTIGE")</f>
        <v>PRESTIGE</v>
      </c>
      <c r="D163" s="13">
        <f>IFERROR(__xludf.DUMMYFUNCTION("""COMPUTED_VALUE"""),56.285907506054194)</f>
        <v>56.28590751</v>
      </c>
      <c r="E163" s="13">
        <f>IFERROR(__xludf.DUMMYFUNCTION("""COMPUTED_VALUE"""),12.437955493649529)</f>
        <v>12.43795549</v>
      </c>
      <c r="F163" s="13">
        <f>IFERROR(__xludf.DUMMYFUNCTION("""COMPUTED_VALUE"""),24.641397137249356)</f>
        <v>24.64139714</v>
      </c>
      <c r="G163" s="13">
        <f>IFERROR(__xludf.DUMMYFUNCTION("""COMPUTED_VALUE"""),24.134105787306353)</f>
        <v>24.13410579</v>
      </c>
      <c r="H163" s="31" t="str">
        <f>IFERROR(__xludf.DUMMYFUNCTION("""COMPUTED_VALUE"""),"")</f>
        <v/>
      </c>
      <c r="I163" s="14" t="str">
        <f t="shared" si="2"/>
        <v>CHART</v>
      </c>
      <c r="P163" s="23"/>
    </row>
    <row r="164">
      <c r="A164" s="29"/>
      <c r="B164" s="12">
        <f>IFERROR(__xludf.DUMMYFUNCTION("""COMPUTED_VALUE"""),162.0)</f>
        <v>162</v>
      </c>
      <c r="C164" s="12" t="str">
        <f>IFERROR(__xludf.DUMMYFUNCTION("""COMPUTED_VALUE"""),"INDIANB")</f>
        <v>INDIANB</v>
      </c>
      <c r="D164" s="13">
        <f>IFERROR(__xludf.DUMMYFUNCTION("""COMPUTED_VALUE"""),44.76428726179644)</f>
        <v>44.76428726</v>
      </c>
      <c r="E164" s="13">
        <f>IFERROR(__xludf.DUMMYFUNCTION("""COMPUTED_VALUE"""),26.104907137292276)</f>
        <v>26.10490714</v>
      </c>
      <c r="F164" s="13">
        <f>IFERROR(__xludf.DUMMYFUNCTION("""COMPUTED_VALUE"""),20.781278970070414)</f>
        <v>20.78127897</v>
      </c>
      <c r="G164" s="13">
        <f>IFERROR(__xludf.DUMMYFUNCTION("""COMPUTED_VALUE"""),29.340886854405152)</f>
        <v>29.34088685</v>
      </c>
      <c r="H164" s="31" t="str">
        <f>IFERROR(__xludf.DUMMYFUNCTION("""COMPUTED_VALUE"""),"")</f>
        <v/>
      </c>
      <c r="I164" s="14" t="str">
        <f t="shared" si="2"/>
        <v>CHART</v>
      </c>
      <c r="P164" s="23"/>
    </row>
    <row r="165">
      <c r="A165" s="29"/>
      <c r="B165" s="12">
        <f>IFERROR(__xludf.DUMMYFUNCTION("""COMPUTED_VALUE"""),163.0)</f>
        <v>163</v>
      </c>
      <c r="C165" s="12" t="str">
        <f>IFERROR(__xludf.DUMMYFUNCTION("""COMPUTED_VALUE"""),"GAIL")</f>
        <v>GAIL</v>
      </c>
      <c r="D165" s="13">
        <f>IFERROR(__xludf.DUMMYFUNCTION("""COMPUTED_VALUE"""),63.057010253512736)</f>
        <v>63.05701025</v>
      </c>
      <c r="E165" s="13">
        <f>IFERROR(__xludf.DUMMYFUNCTION("""COMPUTED_VALUE"""),18.089502027165583)</f>
        <v>18.08950203</v>
      </c>
      <c r="F165" s="13">
        <f>IFERROR(__xludf.DUMMYFUNCTION("""COMPUTED_VALUE"""),34.74162785917345)</f>
        <v>34.74162786</v>
      </c>
      <c r="G165" s="13">
        <f>IFERROR(__xludf.DUMMYFUNCTION("""COMPUTED_VALUE"""),21.45386468184688)</f>
        <v>21.45386468</v>
      </c>
      <c r="H165" s="31" t="str">
        <f>IFERROR(__xludf.DUMMYFUNCTION("""COMPUTED_VALUE"""),"")</f>
        <v/>
      </c>
      <c r="I165" s="14" t="str">
        <f t="shared" si="2"/>
        <v>CHART</v>
      </c>
      <c r="P165" s="23"/>
    </row>
    <row r="166">
      <c r="A166" s="29"/>
      <c r="B166" s="12">
        <f>IFERROR(__xludf.DUMMYFUNCTION("""COMPUTED_VALUE"""),164.0)</f>
        <v>164</v>
      </c>
      <c r="C166" s="12" t="str">
        <f>IFERROR(__xludf.DUMMYFUNCTION("""COMPUTED_VALUE"""),"LUPIN")</f>
        <v>LUPIN</v>
      </c>
      <c r="D166" s="13">
        <f>IFERROR(__xludf.DUMMYFUNCTION("""COMPUTED_VALUE"""),43.927186993638784)</f>
        <v>43.92718699</v>
      </c>
      <c r="E166" s="13">
        <f>IFERROR(__xludf.DUMMYFUNCTION("""COMPUTED_VALUE"""),12.181715077430693)</f>
        <v>12.18171508</v>
      </c>
      <c r="F166" s="13">
        <f>IFERROR(__xludf.DUMMYFUNCTION("""COMPUTED_VALUE"""),19.93871279152383)</f>
        <v>19.93871279</v>
      </c>
      <c r="G166" s="13">
        <f>IFERROR(__xludf.DUMMYFUNCTION("""COMPUTED_VALUE"""),26.633834182385353)</f>
        <v>26.63383418</v>
      </c>
      <c r="H166" s="31" t="str">
        <f>IFERROR(__xludf.DUMMYFUNCTION("""COMPUTED_VALUE"""),"")</f>
        <v/>
      </c>
      <c r="I166" s="14" t="str">
        <f t="shared" si="2"/>
        <v>CHART</v>
      </c>
      <c r="P166" s="23"/>
    </row>
    <row r="167">
      <c r="A167" s="29"/>
      <c r="B167" s="12">
        <f>IFERROR(__xludf.DUMMYFUNCTION("""COMPUTED_VALUE"""),165.0)</f>
        <v>165</v>
      </c>
      <c r="C167" s="12" t="str">
        <f>IFERROR(__xludf.DUMMYFUNCTION("""COMPUTED_VALUE"""),"DMART")</f>
        <v>DMART</v>
      </c>
      <c r="D167" s="13">
        <f>IFERROR(__xludf.DUMMYFUNCTION("""COMPUTED_VALUE"""),33.292587873465365)</f>
        <v>33.29258787</v>
      </c>
      <c r="E167" s="13">
        <f>IFERROR(__xludf.DUMMYFUNCTION("""COMPUTED_VALUE"""),25.347472257209372)</f>
        <v>25.34747226</v>
      </c>
      <c r="F167" s="13">
        <f>IFERROR(__xludf.DUMMYFUNCTION("""COMPUTED_VALUE"""),11.816290646184845)</f>
        <v>11.81629065</v>
      </c>
      <c r="G167" s="13">
        <f>IFERROR(__xludf.DUMMYFUNCTION("""COMPUTED_VALUE"""),29.249857829801517)</f>
        <v>29.24985783</v>
      </c>
      <c r="H167" s="31">
        <f>IFERROR(__xludf.DUMMYFUNCTION("""COMPUTED_VALUE"""),-4.0)</f>
        <v>-4</v>
      </c>
      <c r="I167" s="14" t="str">
        <f t="shared" si="2"/>
        <v>CHART</v>
      </c>
      <c r="P167" s="23"/>
    </row>
    <row r="168">
      <c r="A168" s="29"/>
      <c r="B168" s="12">
        <f>IFERROR(__xludf.DUMMYFUNCTION("""COMPUTED_VALUE"""),166.0)</f>
        <v>166</v>
      </c>
      <c r="C168" s="12" t="str">
        <f>IFERROR(__xludf.DUMMYFUNCTION("""COMPUTED_VALUE"""),"TORNTPHARM")</f>
        <v>TORNTPHARM</v>
      </c>
      <c r="D168" s="13">
        <f>IFERROR(__xludf.DUMMYFUNCTION("""COMPUTED_VALUE"""),59.295392300972615)</f>
        <v>59.2953923</v>
      </c>
      <c r="E168" s="13">
        <f>IFERROR(__xludf.DUMMYFUNCTION("""COMPUTED_VALUE"""),24.529705773281044)</f>
        <v>24.52970577</v>
      </c>
      <c r="F168" s="13">
        <f>IFERROR(__xludf.DUMMYFUNCTION("""COMPUTED_VALUE"""),32.234036048025146)</f>
        <v>32.23403605</v>
      </c>
      <c r="G168" s="13">
        <f>IFERROR(__xludf.DUMMYFUNCTION("""COMPUTED_VALUE"""),17.26077137489655)</f>
        <v>17.26077137</v>
      </c>
      <c r="H168" s="31" t="str">
        <f>IFERROR(__xludf.DUMMYFUNCTION("""COMPUTED_VALUE"""),"")</f>
        <v/>
      </c>
      <c r="I168" s="14" t="str">
        <f t="shared" si="2"/>
        <v>CHART</v>
      </c>
      <c r="P168" s="23"/>
    </row>
    <row r="169">
      <c r="A169" s="29"/>
      <c r="B169" s="12">
        <f>IFERROR(__xludf.DUMMYFUNCTION("""COMPUTED_VALUE"""),167.0)</f>
        <v>167</v>
      </c>
      <c r="C169" s="12" t="str">
        <f>IFERROR(__xludf.DUMMYFUNCTION("""COMPUTED_VALUE"""),"BPCL")</f>
        <v>BPCL</v>
      </c>
      <c r="D169" s="13">
        <f>IFERROR(__xludf.DUMMYFUNCTION("""COMPUTED_VALUE"""),52.952128589759944)</f>
        <v>52.95212859</v>
      </c>
      <c r="E169" s="13">
        <f>IFERROR(__xludf.DUMMYFUNCTION("""COMPUTED_VALUE"""),12.300743961889399)</f>
        <v>12.30074396</v>
      </c>
      <c r="F169" s="13">
        <f>IFERROR(__xludf.DUMMYFUNCTION("""COMPUTED_VALUE"""),38.11958585940569)</f>
        <v>38.11958586</v>
      </c>
      <c r="G169" s="13">
        <f>IFERROR(__xludf.DUMMYFUNCTION("""COMPUTED_VALUE"""),33.90799425434626)</f>
        <v>33.90799425</v>
      </c>
      <c r="H169" s="31" t="str">
        <f>IFERROR(__xludf.DUMMYFUNCTION("""COMPUTED_VALUE"""),"NEUTRAL")</f>
        <v>NEUTRAL</v>
      </c>
      <c r="I169" s="14" t="str">
        <f t="shared" si="2"/>
        <v>CHART</v>
      </c>
      <c r="P169" s="23"/>
    </row>
    <row r="170">
      <c r="A170" s="29"/>
      <c r="B170" s="12">
        <f>IFERROR(__xludf.DUMMYFUNCTION("""COMPUTED_VALUE"""),168.0)</f>
        <v>168</v>
      </c>
      <c r="C170" s="12" t="str">
        <f>IFERROR(__xludf.DUMMYFUNCTION("""COMPUTED_VALUE"""),"OIL")</f>
        <v>OIL</v>
      </c>
      <c r="D170" s="13">
        <f>IFERROR(__xludf.DUMMYFUNCTION("""COMPUTED_VALUE"""),49.6738580192676)</f>
        <v>49.67385802</v>
      </c>
      <c r="E170" s="13">
        <f>IFERROR(__xludf.DUMMYFUNCTION("""COMPUTED_VALUE"""),24.667657409112365)</f>
        <v>24.66765741</v>
      </c>
      <c r="F170" s="13">
        <f>IFERROR(__xludf.DUMMYFUNCTION("""COMPUTED_VALUE"""),30.632344709629038)</f>
        <v>30.63234471</v>
      </c>
      <c r="G170" s="13">
        <f>IFERROR(__xludf.DUMMYFUNCTION("""COMPUTED_VALUE"""),24.637071527756802)</f>
        <v>24.63707153</v>
      </c>
      <c r="H170" s="31" t="str">
        <f>IFERROR(__xludf.DUMMYFUNCTION("""COMPUTED_VALUE"""),"NEUTRAL")</f>
        <v>NEUTRAL</v>
      </c>
      <c r="I170" s="14" t="str">
        <f t="shared" si="2"/>
        <v>CHART</v>
      </c>
      <c r="P170" s="23"/>
    </row>
    <row r="171">
      <c r="A171" s="29"/>
      <c r="B171" s="12">
        <f>IFERROR(__xludf.DUMMYFUNCTION("""COMPUTED_VALUE"""),169.0)</f>
        <v>169</v>
      </c>
      <c r="C171" s="12" t="str">
        <f>IFERROR(__xludf.DUMMYFUNCTION("""COMPUTED_VALUE"""),"CIPLA")</f>
        <v>CIPLA</v>
      </c>
      <c r="D171" s="13">
        <f>IFERROR(__xludf.DUMMYFUNCTION("""COMPUTED_VALUE"""),65.75010092729704)</f>
        <v>65.75010093</v>
      </c>
      <c r="E171" s="13">
        <f>IFERROR(__xludf.DUMMYFUNCTION("""COMPUTED_VALUE"""),33.91941827430181)</f>
        <v>33.91941827</v>
      </c>
      <c r="F171" s="13">
        <f>IFERROR(__xludf.DUMMYFUNCTION("""COMPUTED_VALUE"""),36.0363853000947)</f>
        <v>36.0363853</v>
      </c>
      <c r="G171" s="13">
        <f>IFERROR(__xludf.DUMMYFUNCTION("""COMPUTED_VALUE"""),17.83955407977193)</f>
        <v>17.83955408</v>
      </c>
      <c r="H171" s="31" t="str">
        <f>IFERROR(__xludf.DUMMYFUNCTION("""COMPUTED_VALUE"""),"")</f>
        <v/>
      </c>
      <c r="I171" s="14" t="str">
        <f t="shared" si="2"/>
        <v>CHART</v>
      </c>
      <c r="P171" s="23"/>
    </row>
    <row r="172">
      <c r="A172" s="29"/>
      <c r="B172" s="12">
        <f>IFERROR(__xludf.DUMMYFUNCTION("""COMPUTED_VALUE"""),170.0)</f>
        <v>170</v>
      </c>
      <c r="C172" s="12" t="str">
        <f>IFERROR(__xludf.DUMMYFUNCTION("""COMPUTED_VALUE"""),"DELHIVERY")</f>
        <v>DELHIVERY</v>
      </c>
      <c r="D172" s="13">
        <f>IFERROR(__xludf.DUMMYFUNCTION("""COMPUTED_VALUE"""),52.80385259168615)</f>
        <v>52.80385259</v>
      </c>
      <c r="E172" s="13">
        <f>IFERROR(__xludf.DUMMYFUNCTION("""COMPUTED_VALUE"""),11.145372069879912)</f>
        <v>11.14537207</v>
      </c>
      <c r="F172" s="13">
        <f>IFERROR(__xludf.DUMMYFUNCTION("""COMPUTED_VALUE"""),27.82461482605745)</f>
        <v>27.82461483</v>
      </c>
      <c r="G172" s="13">
        <f>IFERROR(__xludf.DUMMYFUNCTION("""COMPUTED_VALUE"""),24.20011347251722)</f>
        <v>24.20011347</v>
      </c>
      <c r="H172" s="31" t="str">
        <f>IFERROR(__xludf.DUMMYFUNCTION("""COMPUTED_VALUE"""),"NEUTRAL")</f>
        <v>NEUTRAL</v>
      </c>
      <c r="I172" s="14" t="str">
        <f t="shared" si="2"/>
        <v>CHART</v>
      </c>
      <c r="P172" s="23"/>
    </row>
    <row r="173">
      <c r="A173" s="29"/>
      <c r="B173" s="12">
        <f>IFERROR(__xludf.DUMMYFUNCTION("""COMPUTED_VALUE"""),171.0)</f>
        <v>171</v>
      </c>
      <c r="C173" s="12" t="str">
        <f>IFERROR(__xludf.DUMMYFUNCTION("""COMPUTED_VALUE"""),"NUVAMA")</f>
        <v>NUVAMA</v>
      </c>
      <c r="D173" s="13">
        <f>IFERROR(__xludf.DUMMYFUNCTION("""COMPUTED_VALUE"""),62.54430861642441)</f>
        <v>62.54430862</v>
      </c>
      <c r="E173" s="13">
        <f>IFERROR(__xludf.DUMMYFUNCTION("""COMPUTED_VALUE"""),24.935960331631673)</f>
        <v>24.93596033</v>
      </c>
      <c r="F173" s="13">
        <f>IFERROR(__xludf.DUMMYFUNCTION("""COMPUTED_VALUE"""),33.19675676383751)</f>
        <v>33.19675676</v>
      </c>
      <c r="G173" s="13">
        <f>IFERROR(__xludf.DUMMYFUNCTION("""COMPUTED_VALUE"""),19.815782389251375)</f>
        <v>19.81578239</v>
      </c>
      <c r="H173" s="31" t="str">
        <f>IFERROR(__xludf.DUMMYFUNCTION("""COMPUTED_VALUE"""),"")</f>
        <v/>
      </c>
      <c r="I173" s="14" t="str">
        <f t="shared" si="2"/>
        <v>CHART</v>
      </c>
      <c r="P173" s="23"/>
    </row>
    <row r="174">
      <c r="A174" s="29"/>
      <c r="B174" s="12">
        <f>IFERROR(__xludf.DUMMYFUNCTION("""COMPUTED_VALUE"""),172.0)</f>
        <v>172</v>
      </c>
      <c r="C174" s="12" t="str">
        <f>IFERROR(__xludf.DUMMYFUNCTION("""COMPUTED_VALUE"""),"VBL")</f>
        <v>VBL</v>
      </c>
      <c r="D174" s="13">
        <f>IFERROR(__xludf.DUMMYFUNCTION("""COMPUTED_VALUE"""),66.91185573054355)</f>
        <v>66.91185573</v>
      </c>
      <c r="E174" s="13">
        <f>IFERROR(__xludf.DUMMYFUNCTION("""COMPUTED_VALUE"""),27.225424555306088)</f>
        <v>27.22542456</v>
      </c>
      <c r="F174" s="13">
        <f>IFERROR(__xludf.DUMMYFUNCTION("""COMPUTED_VALUE"""),31.444704544197283)</f>
        <v>31.44470454</v>
      </c>
      <c r="G174" s="13">
        <f>IFERROR(__xludf.DUMMYFUNCTION("""COMPUTED_VALUE"""),15.481026770933232)</f>
        <v>15.48102677</v>
      </c>
      <c r="H174" s="31" t="str">
        <f>IFERROR(__xludf.DUMMYFUNCTION("""COMPUTED_VALUE"""),"")</f>
        <v/>
      </c>
      <c r="I174" s="14" t="str">
        <f t="shared" si="2"/>
        <v>CHART</v>
      </c>
      <c r="P174" s="23"/>
    </row>
    <row r="175">
      <c r="A175" s="29"/>
      <c r="B175" s="12">
        <f>IFERROR(__xludf.DUMMYFUNCTION("""COMPUTED_VALUE"""),173.0)</f>
        <v>173</v>
      </c>
      <c r="C175" s="12" t="str">
        <f>IFERROR(__xludf.DUMMYFUNCTION("""COMPUTED_VALUE"""),"PIIND")</f>
        <v>PIIND</v>
      </c>
      <c r="D175" s="13">
        <f>IFERROR(__xludf.DUMMYFUNCTION("""COMPUTED_VALUE"""),40.8334851037069)</f>
        <v>40.8334851</v>
      </c>
      <c r="E175" s="13">
        <f>IFERROR(__xludf.DUMMYFUNCTION("""COMPUTED_VALUE"""),22.611577511784578)</f>
        <v>22.61157751</v>
      </c>
      <c r="F175" s="13">
        <f>IFERROR(__xludf.DUMMYFUNCTION("""COMPUTED_VALUE"""),21.97266222140296)</f>
        <v>21.97266222</v>
      </c>
      <c r="G175" s="13">
        <f>IFERROR(__xludf.DUMMYFUNCTION("""COMPUTED_VALUE"""),36.92087257161097)</f>
        <v>36.92087257</v>
      </c>
      <c r="H175" s="31" t="str">
        <f>IFERROR(__xludf.DUMMYFUNCTION("""COMPUTED_VALUE"""),"")</f>
        <v/>
      </c>
      <c r="I175" s="14" t="str">
        <f t="shared" si="2"/>
        <v>CHART</v>
      </c>
      <c r="P175" s="23"/>
    </row>
    <row r="176">
      <c r="A176" s="29"/>
      <c r="B176" s="12">
        <f>IFERROR(__xludf.DUMMYFUNCTION("""COMPUTED_VALUE"""),174.0)</f>
        <v>174</v>
      </c>
      <c r="C176" s="12" t="str">
        <f>IFERROR(__xludf.DUMMYFUNCTION("""COMPUTED_VALUE"""),"PAGEIND")</f>
        <v>PAGEIND</v>
      </c>
      <c r="D176" s="13">
        <f>IFERROR(__xludf.DUMMYFUNCTION("""COMPUTED_VALUE"""),56.88278262810176)</f>
        <v>56.88278263</v>
      </c>
      <c r="E176" s="13">
        <f>IFERROR(__xludf.DUMMYFUNCTION("""COMPUTED_VALUE"""),29.011461880378192)</f>
        <v>29.01146188</v>
      </c>
      <c r="F176" s="13">
        <f>IFERROR(__xludf.DUMMYFUNCTION("""COMPUTED_VALUE"""),29.220565549807308)</f>
        <v>29.22056555</v>
      </c>
      <c r="G176" s="13">
        <f>IFERROR(__xludf.DUMMYFUNCTION("""COMPUTED_VALUE"""),14.370052832571101)</f>
        <v>14.37005283</v>
      </c>
      <c r="H176" s="31" t="str">
        <f>IFERROR(__xludf.DUMMYFUNCTION("""COMPUTED_VALUE"""),"")</f>
        <v/>
      </c>
      <c r="I176" s="14" t="str">
        <f t="shared" si="2"/>
        <v>CHART</v>
      </c>
      <c r="P176" s="23"/>
    </row>
    <row r="177">
      <c r="A177" s="29"/>
      <c r="B177" s="12">
        <f>IFERROR(__xludf.DUMMYFUNCTION("""COMPUTED_VALUE"""),175.0)</f>
        <v>175</v>
      </c>
      <c r="C177" s="12" t="str">
        <f>IFERROR(__xludf.DUMMYFUNCTION("""COMPUTED_VALUE"""),"UPL")</f>
        <v>UPL</v>
      </c>
      <c r="D177" s="13">
        <f>IFERROR(__xludf.DUMMYFUNCTION("""COMPUTED_VALUE"""),56.63911695619484)</f>
        <v>56.63911696</v>
      </c>
      <c r="E177" s="13">
        <f>IFERROR(__xludf.DUMMYFUNCTION("""COMPUTED_VALUE"""),12.009819011855313)</f>
        <v>12.00981901</v>
      </c>
      <c r="F177" s="13">
        <f>IFERROR(__xludf.DUMMYFUNCTION("""COMPUTED_VALUE"""),28.8047879568594)</f>
        <v>28.80478796</v>
      </c>
      <c r="G177" s="13">
        <f>IFERROR(__xludf.DUMMYFUNCTION("""COMPUTED_VALUE"""),17.72617158442708)</f>
        <v>17.72617158</v>
      </c>
      <c r="H177" s="31" t="str">
        <f>IFERROR(__xludf.DUMMYFUNCTION("""COMPUTED_VALUE"""),"")</f>
        <v/>
      </c>
      <c r="I177" s="14" t="str">
        <f t="shared" si="2"/>
        <v>CHART</v>
      </c>
      <c r="P177" s="23"/>
    </row>
    <row r="178">
      <c r="A178" s="29"/>
      <c r="B178" s="12">
        <f>IFERROR(__xludf.DUMMYFUNCTION("""COMPUTED_VALUE"""),176.0)</f>
        <v>176</v>
      </c>
      <c r="C178" s="12" t="str">
        <f>IFERROR(__xludf.DUMMYFUNCTION("""COMPUTED_VALUE"""),"BAJAJFINSV")</f>
        <v>BAJAJFINSV</v>
      </c>
      <c r="D178" s="13">
        <f>IFERROR(__xludf.DUMMYFUNCTION("""COMPUTED_VALUE"""),55.45820308002875)</f>
        <v>55.45820308</v>
      </c>
      <c r="E178" s="13">
        <f>IFERROR(__xludf.DUMMYFUNCTION("""COMPUTED_VALUE"""),21.104009112400842)</f>
        <v>21.10400911</v>
      </c>
      <c r="F178" s="13">
        <f>IFERROR(__xludf.DUMMYFUNCTION("""COMPUTED_VALUE"""),20.682104157499996)</f>
        <v>20.68210416</v>
      </c>
      <c r="G178" s="13">
        <f>IFERROR(__xludf.DUMMYFUNCTION("""COMPUTED_VALUE"""),26.513400527716787)</f>
        <v>26.51340053</v>
      </c>
      <c r="H178" s="31" t="str">
        <f>IFERROR(__xludf.DUMMYFUNCTION("""COMPUTED_VALUE"""),"")</f>
        <v/>
      </c>
      <c r="I178" s="14" t="str">
        <f t="shared" si="2"/>
        <v>CHART</v>
      </c>
      <c r="P178" s="23"/>
    </row>
    <row r="179">
      <c r="A179" s="29"/>
      <c r="B179" s="12">
        <f>IFERROR(__xludf.DUMMYFUNCTION("""COMPUTED_VALUE"""),177.0)</f>
        <v>177</v>
      </c>
      <c r="C179" s="12" t="str">
        <f>IFERROR(__xludf.DUMMYFUNCTION("""COMPUTED_VALUE"""),"BOSCHLTD")</f>
        <v>BOSCHLTD</v>
      </c>
      <c r="D179" s="13">
        <f>IFERROR(__xludf.DUMMYFUNCTION("""COMPUTED_VALUE"""),48.38336374785565)</f>
        <v>48.38336375</v>
      </c>
      <c r="E179" s="13">
        <f>IFERROR(__xludf.DUMMYFUNCTION("""COMPUTED_VALUE"""),17.22226287762377)</f>
        <v>17.22226288</v>
      </c>
      <c r="F179" s="13">
        <f>IFERROR(__xludf.DUMMYFUNCTION("""COMPUTED_VALUE"""),17.593703004136643)</f>
        <v>17.593703</v>
      </c>
      <c r="G179" s="13">
        <f>IFERROR(__xludf.DUMMYFUNCTION("""COMPUTED_VALUE"""),25.456801500534297)</f>
        <v>25.4568015</v>
      </c>
      <c r="H179" s="31" t="str">
        <f>IFERROR(__xludf.DUMMYFUNCTION("""COMPUTED_VALUE"""),"NEUTRAL")</f>
        <v>NEUTRAL</v>
      </c>
      <c r="I179" s="14" t="str">
        <f t="shared" si="2"/>
        <v>CHART</v>
      </c>
      <c r="P179" s="23"/>
    </row>
    <row r="180">
      <c r="A180" s="29"/>
      <c r="B180" s="12">
        <f>IFERROR(__xludf.DUMMYFUNCTION("""COMPUTED_VALUE"""),178.0)</f>
        <v>178</v>
      </c>
      <c r="C180" s="12" t="str">
        <f>IFERROR(__xludf.DUMMYFUNCTION("""COMPUTED_VALUE"""),"PNBHOUSING")</f>
        <v>PNBHOUSING</v>
      </c>
      <c r="D180" s="13">
        <f>IFERROR(__xludf.DUMMYFUNCTION("""COMPUTED_VALUE"""),66.39198138459898)</f>
        <v>66.39198138</v>
      </c>
      <c r="E180" s="13">
        <f>IFERROR(__xludf.DUMMYFUNCTION("""COMPUTED_VALUE"""),39.724467600235634)</f>
        <v>39.7244676</v>
      </c>
      <c r="F180" s="13">
        <f>IFERROR(__xludf.DUMMYFUNCTION("""COMPUTED_VALUE"""),31.599738703123055)</f>
        <v>31.5997387</v>
      </c>
      <c r="G180" s="13">
        <f>IFERROR(__xludf.DUMMYFUNCTION("""COMPUTED_VALUE"""),12.441629319595584)</f>
        <v>12.44162932</v>
      </c>
      <c r="H180" s="31">
        <f>IFERROR(__xludf.DUMMYFUNCTION("""COMPUTED_VALUE"""),4.0)</f>
        <v>4</v>
      </c>
      <c r="I180" s="14" t="str">
        <f t="shared" si="2"/>
        <v>CHART</v>
      </c>
      <c r="P180" s="23"/>
    </row>
    <row r="181">
      <c r="A181" s="29"/>
      <c r="B181" s="12">
        <f>IFERROR(__xludf.DUMMYFUNCTION("""COMPUTED_VALUE"""),179.0)</f>
        <v>179</v>
      </c>
      <c r="C181" s="12" t="str">
        <f>IFERROR(__xludf.DUMMYFUNCTION("""COMPUTED_VALUE"""),"GVT&amp;D")</f>
        <v>GVT&amp;D</v>
      </c>
      <c r="D181" s="13">
        <f>IFERROR(__xludf.DUMMYFUNCTION("""COMPUTED_VALUE"""),70.48339080811168)</f>
        <v>70.48339081</v>
      </c>
      <c r="E181" s="13">
        <f>IFERROR(__xludf.DUMMYFUNCTION("""COMPUTED_VALUE"""),40.084556363942156)</f>
        <v>40.08455636</v>
      </c>
      <c r="F181" s="13">
        <f>IFERROR(__xludf.DUMMYFUNCTION("""COMPUTED_VALUE"""),32.819163335342616)</f>
        <v>32.81916334</v>
      </c>
      <c r="G181" s="13">
        <f>IFERROR(__xludf.DUMMYFUNCTION("""COMPUTED_VALUE"""),9.279768054584297)</f>
        <v>9.279768055</v>
      </c>
      <c r="H181" s="31">
        <f>IFERROR(__xludf.DUMMYFUNCTION("""COMPUTED_VALUE"""),5.0)</f>
        <v>5</v>
      </c>
      <c r="I181" s="14" t="str">
        <f t="shared" si="2"/>
        <v>CHART</v>
      </c>
      <c r="P181" s="23"/>
    </row>
    <row r="182">
      <c r="A182" s="29"/>
      <c r="B182" s="12">
        <f>IFERROR(__xludf.DUMMYFUNCTION("""COMPUTED_VALUE"""),180.0)</f>
        <v>180</v>
      </c>
      <c r="C182" s="12" t="str">
        <f>IFERROR(__xludf.DUMMYFUNCTION("""COMPUTED_VALUE"""),"BLUESTARCO")</f>
        <v>BLUESTARCO</v>
      </c>
      <c r="D182" s="13">
        <f>IFERROR(__xludf.DUMMYFUNCTION("""COMPUTED_VALUE"""),41.41087389466819)</f>
        <v>41.41087389</v>
      </c>
      <c r="E182" s="13">
        <f>IFERROR(__xludf.DUMMYFUNCTION("""COMPUTED_VALUE"""),21.356470417028238)</f>
        <v>21.35647042</v>
      </c>
      <c r="F182" s="13">
        <f>IFERROR(__xludf.DUMMYFUNCTION("""COMPUTED_VALUE"""),19.38683161780783)</f>
        <v>19.38683162</v>
      </c>
      <c r="G182" s="13">
        <f>IFERROR(__xludf.DUMMYFUNCTION("""COMPUTED_VALUE"""),30.129853575814362)</f>
        <v>30.12985358</v>
      </c>
      <c r="H182" s="31" t="str">
        <f>IFERROR(__xludf.DUMMYFUNCTION("""COMPUTED_VALUE"""),"")</f>
        <v/>
      </c>
      <c r="I182" s="14" t="str">
        <f t="shared" si="2"/>
        <v>CHART</v>
      </c>
      <c r="P182" s="23"/>
    </row>
    <row r="183">
      <c r="A183" s="29"/>
      <c r="B183" s="12">
        <f>IFERROR(__xludf.DUMMYFUNCTION("""COMPUTED_VALUE"""),181.0)</f>
        <v>181</v>
      </c>
      <c r="C183" s="12" t="str">
        <f>IFERROR(__xludf.DUMMYFUNCTION("""COMPUTED_VALUE"""),"SBILIFE")</f>
        <v>SBILIFE</v>
      </c>
      <c r="D183" s="13">
        <f>IFERROR(__xludf.DUMMYFUNCTION("""COMPUTED_VALUE"""),51.79541997986454)</f>
        <v>51.79541998</v>
      </c>
      <c r="E183" s="13">
        <f>IFERROR(__xludf.DUMMYFUNCTION("""COMPUTED_VALUE"""),12.055526430374846)</f>
        <v>12.05552643</v>
      </c>
      <c r="F183" s="13">
        <f>IFERROR(__xludf.DUMMYFUNCTION("""COMPUTED_VALUE"""),24.238848494573276)</f>
        <v>24.23884849</v>
      </c>
      <c r="G183" s="13">
        <f>IFERROR(__xludf.DUMMYFUNCTION("""COMPUTED_VALUE"""),22.18295238436388)</f>
        <v>22.18295238</v>
      </c>
      <c r="H183" s="31" t="str">
        <f>IFERROR(__xludf.DUMMYFUNCTION("""COMPUTED_VALUE"""),"NEUTRAL")</f>
        <v>NEUTRAL</v>
      </c>
      <c r="I183" s="14" t="str">
        <f t="shared" si="2"/>
        <v>CHART</v>
      </c>
      <c r="P183" s="23"/>
    </row>
    <row r="184">
      <c r="A184" s="29"/>
      <c r="B184" s="12">
        <f>IFERROR(__xludf.DUMMYFUNCTION("""COMPUTED_VALUE"""),182.0)</f>
        <v>182</v>
      </c>
      <c r="C184" s="12" t="str">
        <f>IFERROR(__xludf.DUMMYFUNCTION("""COMPUTED_VALUE"""),"GODFRYPHLP")</f>
        <v>GODFRYPHLP</v>
      </c>
      <c r="D184" s="13">
        <f>IFERROR(__xludf.DUMMYFUNCTION("""COMPUTED_VALUE"""),54.53741695361566)</f>
        <v>54.53741695</v>
      </c>
      <c r="E184" s="13">
        <f>IFERROR(__xludf.DUMMYFUNCTION("""COMPUTED_VALUE"""),27.676374287277604)</f>
        <v>27.67637429</v>
      </c>
      <c r="F184" s="13">
        <f>IFERROR(__xludf.DUMMYFUNCTION("""COMPUTED_VALUE"""),22.92160411449176)</f>
        <v>22.92160411</v>
      </c>
      <c r="G184" s="13">
        <f>IFERROR(__xludf.DUMMYFUNCTION("""COMPUTED_VALUE"""),18.042993683020413)</f>
        <v>18.04299368</v>
      </c>
      <c r="H184" s="31" t="str">
        <f>IFERROR(__xludf.DUMMYFUNCTION("""COMPUTED_VALUE"""),"NEUTRAL")</f>
        <v>NEUTRAL</v>
      </c>
      <c r="I184" s="14" t="str">
        <f t="shared" si="2"/>
        <v>CHART</v>
      </c>
      <c r="P184" s="23"/>
    </row>
    <row r="185">
      <c r="A185" s="29"/>
      <c r="B185" s="12">
        <f>IFERROR(__xludf.DUMMYFUNCTION("""COMPUTED_VALUE"""),183.0)</f>
        <v>183</v>
      </c>
      <c r="C185" s="12" t="str">
        <f>IFERROR(__xludf.DUMMYFUNCTION("""COMPUTED_VALUE"""),"TATAELXSI")</f>
        <v>TATAELXSI</v>
      </c>
      <c r="D185" s="13">
        <f>IFERROR(__xludf.DUMMYFUNCTION("""COMPUTED_VALUE"""),56.142683336270984)</f>
        <v>56.14268334</v>
      </c>
      <c r="E185" s="13">
        <f>IFERROR(__xludf.DUMMYFUNCTION("""COMPUTED_VALUE"""),12.73578392536214)</f>
        <v>12.73578393</v>
      </c>
      <c r="F185" s="13">
        <f>IFERROR(__xludf.DUMMYFUNCTION("""COMPUTED_VALUE"""),32.53519565479991)</f>
        <v>32.53519565</v>
      </c>
      <c r="G185" s="13">
        <f>IFERROR(__xludf.DUMMYFUNCTION("""COMPUTED_VALUE"""),24.450066568195425)</f>
        <v>24.45006657</v>
      </c>
      <c r="H185" s="31" t="str">
        <f>IFERROR(__xludf.DUMMYFUNCTION("""COMPUTED_VALUE"""),"")</f>
        <v/>
      </c>
      <c r="I185" s="14" t="str">
        <f t="shared" si="2"/>
        <v>CHART</v>
      </c>
      <c r="P185" s="23"/>
    </row>
    <row r="186">
      <c r="A186" s="29"/>
      <c r="B186" s="12">
        <f>IFERROR(__xludf.DUMMYFUNCTION("""COMPUTED_VALUE"""),184.0)</f>
        <v>184</v>
      </c>
      <c r="C186" s="12" t="str">
        <f>IFERROR(__xludf.DUMMYFUNCTION("""COMPUTED_VALUE"""),"SHREECEM")</f>
        <v>SHREECEM</v>
      </c>
      <c r="D186" s="13">
        <f>IFERROR(__xludf.DUMMYFUNCTION("""COMPUTED_VALUE"""),59.61120511054073)</f>
        <v>59.61120511</v>
      </c>
      <c r="E186" s="13">
        <f>IFERROR(__xludf.DUMMYFUNCTION("""COMPUTED_VALUE"""),11.648635832801276)</f>
        <v>11.64863583</v>
      </c>
      <c r="F186" s="13">
        <f>IFERROR(__xludf.DUMMYFUNCTION("""COMPUTED_VALUE"""),27.315456836818914)</f>
        <v>27.31545684</v>
      </c>
      <c r="G186" s="13">
        <f>IFERROR(__xludf.DUMMYFUNCTION("""COMPUTED_VALUE"""),23.78358501871168)</f>
        <v>23.78358502</v>
      </c>
      <c r="H186" s="31" t="str">
        <f>IFERROR(__xludf.DUMMYFUNCTION("""COMPUTED_VALUE"""),"")</f>
        <v/>
      </c>
      <c r="I186" s="14" t="str">
        <f t="shared" si="2"/>
        <v>CHART</v>
      </c>
      <c r="P186" s="23"/>
    </row>
    <row r="187">
      <c r="A187" s="29"/>
      <c r="B187" s="12">
        <f>IFERROR(__xludf.DUMMYFUNCTION("""COMPUTED_VALUE"""),185.0)</f>
        <v>185</v>
      </c>
      <c r="C187" s="12" t="str">
        <f>IFERROR(__xludf.DUMMYFUNCTION("""COMPUTED_VALUE"""),"PETRONET")</f>
        <v>PETRONET</v>
      </c>
      <c r="D187" s="13">
        <f>IFERROR(__xludf.DUMMYFUNCTION("""COMPUTED_VALUE"""),55.0143900605071)</f>
        <v>55.01439006</v>
      </c>
      <c r="E187" s="13">
        <f>IFERROR(__xludf.DUMMYFUNCTION("""COMPUTED_VALUE"""),13.411281686926008)</f>
        <v>13.41128169</v>
      </c>
      <c r="F187" s="13">
        <f>IFERROR(__xludf.DUMMYFUNCTION("""COMPUTED_VALUE"""),26.99523363002813)</f>
        <v>26.99523363</v>
      </c>
      <c r="G187" s="13">
        <f>IFERROR(__xludf.DUMMYFUNCTION("""COMPUTED_VALUE"""),21.93950008877856)</f>
        <v>21.93950009</v>
      </c>
      <c r="H187" s="31" t="str">
        <f>IFERROR(__xludf.DUMMYFUNCTION("""COMPUTED_VALUE"""),"")</f>
        <v/>
      </c>
      <c r="I187" s="14" t="str">
        <f t="shared" si="2"/>
        <v>CHART</v>
      </c>
      <c r="P187" s="23"/>
    </row>
    <row r="188">
      <c r="A188" s="29"/>
      <c r="B188" s="12">
        <f>IFERROR(__xludf.DUMMYFUNCTION("""COMPUTED_VALUE"""),186.0)</f>
        <v>186</v>
      </c>
      <c r="C188" s="12" t="str">
        <f>IFERROR(__xludf.DUMMYFUNCTION("""COMPUTED_VALUE"""),"BRITANNIA")</f>
        <v>BRITANNIA</v>
      </c>
      <c r="D188" s="13">
        <f>IFERROR(__xludf.DUMMYFUNCTION("""COMPUTED_VALUE"""),35.95186117830295)</f>
        <v>35.95186118</v>
      </c>
      <c r="E188" s="13">
        <f>IFERROR(__xludf.DUMMYFUNCTION("""COMPUTED_VALUE"""),24.478094119135857)</f>
        <v>24.47809412</v>
      </c>
      <c r="F188" s="13">
        <f>IFERROR(__xludf.DUMMYFUNCTION("""COMPUTED_VALUE"""),16.801690667756144)</f>
        <v>16.80169067</v>
      </c>
      <c r="G188" s="13">
        <f>IFERROR(__xludf.DUMMYFUNCTION("""COMPUTED_VALUE"""),31.27845229969633)</f>
        <v>31.2784523</v>
      </c>
      <c r="H188" s="31">
        <f>IFERROR(__xludf.DUMMYFUNCTION("""COMPUTED_VALUE"""),-3.0)</f>
        <v>-3</v>
      </c>
      <c r="I188" s="14" t="str">
        <f t="shared" si="2"/>
        <v>CHART</v>
      </c>
      <c r="P188" s="23"/>
    </row>
    <row r="189">
      <c r="A189" s="29"/>
      <c r="B189" s="12">
        <f>IFERROR(__xludf.DUMMYFUNCTION("""COMPUTED_VALUE"""),187.0)</f>
        <v>187</v>
      </c>
      <c r="C189" s="12" t="str">
        <f>IFERROR(__xludf.DUMMYFUNCTION("""COMPUTED_VALUE"""),"PATANJALI")</f>
        <v>PATANJALI</v>
      </c>
      <c r="D189" s="13">
        <f>IFERROR(__xludf.DUMMYFUNCTION("""COMPUTED_VALUE"""),49.38043593194046)</f>
        <v>49.38043593</v>
      </c>
      <c r="E189" s="13">
        <f>IFERROR(__xludf.DUMMYFUNCTION("""COMPUTED_VALUE"""),21.751085333908634)</f>
        <v>21.75108533</v>
      </c>
      <c r="F189" s="13">
        <f>IFERROR(__xludf.DUMMYFUNCTION("""COMPUTED_VALUE"""),21.99727687656175)</f>
        <v>21.99727688</v>
      </c>
      <c r="G189" s="13">
        <f>IFERROR(__xludf.DUMMYFUNCTION("""COMPUTED_VALUE"""),17.001534940094114)</f>
        <v>17.00153494</v>
      </c>
      <c r="H189" s="31" t="str">
        <f>IFERROR(__xludf.DUMMYFUNCTION("""COMPUTED_VALUE"""),"NEUTRAL")</f>
        <v>NEUTRAL</v>
      </c>
      <c r="I189" s="14" t="str">
        <f t="shared" si="2"/>
        <v>CHART</v>
      </c>
      <c r="P189" s="23"/>
    </row>
    <row r="190">
      <c r="A190" s="29"/>
      <c r="B190" s="12">
        <f>IFERROR(__xludf.DUMMYFUNCTION("""COMPUTED_VALUE"""),188.0)</f>
        <v>188</v>
      </c>
      <c r="C190" s="12" t="str">
        <f>IFERROR(__xludf.DUMMYFUNCTION("""COMPUTED_VALUE"""),"OBEROIRLTY")</f>
        <v>OBEROIRLTY</v>
      </c>
      <c r="D190" s="13">
        <f>IFERROR(__xludf.DUMMYFUNCTION("""COMPUTED_VALUE"""),58.8867892934929)</f>
        <v>58.88678929</v>
      </c>
      <c r="E190" s="13">
        <f>IFERROR(__xludf.DUMMYFUNCTION("""COMPUTED_VALUE"""),14.201952912925085)</f>
        <v>14.20195291</v>
      </c>
      <c r="F190" s="13">
        <f>IFERROR(__xludf.DUMMYFUNCTION("""COMPUTED_VALUE"""),25.293198931710258)</f>
        <v>25.29319893</v>
      </c>
      <c r="G190" s="13">
        <f>IFERROR(__xludf.DUMMYFUNCTION("""COMPUTED_VALUE"""),16.503111209353676)</f>
        <v>16.50311121</v>
      </c>
      <c r="H190" s="31" t="str">
        <f>IFERROR(__xludf.DUMMYFUNCTION("""COMPUTED_VALUE"""),"")</f>
        <v/>
      </c>
      <c r="I190" s="14" t="str">
        <f t="shared" si="2"/>
        <v>CHART</v>
      </c>
      <c r="P190" s="23"/>
    </row>
    <row r="191">
      <c r="A191" s="29"/>
      <c r="B191" s="12">
        <f>IFERROR(__xludf.DUMMYFUNCTION("""COMPUTED_VALUE"""),189.0)</f>
        <v>189</v>
      </c>
      <c r="C191" s="12" t="str">
        <f>IFERROR(__xludf.DUMMYFUNCTION("""COMPUTED_VALUE"""),"BDL")</f>
        <v>BDL</v>
      </c>
      <c r="D191" s="13">
        <f>IFERROR(__xludf.DUMMYFUNCTION("""COMPUTED_VALUE"""),48.79680698250759)</f>
        <v>48.79680698</v>
      </c>
      <c r="E191" s="13">
        <f>IFERROR(__xludf.DUMMYFUNCTION("""COMPUTED_VALUE"""),16.181295829004142)</f>
        <v>16.18129583</v>
      </c>
      <c r="F191" s="13">
        <f>IFERROR(__xludf.DUMMYFUNCTION("""COMPUTED_VALUE"""),23.793751889322618)</f>
        <v>23.79375189</v>
      </c>
      <c r="G191" s="13">
        <f>IFERROR(__xludf.DUMMYFUNCTION("""COMPUTED_VALUE"""),24.682279876490384)</f>
        <v>24.68227988</v>
      </c>
      <c r="H191" s="31" t="str">
        <f>IFERROR(__xludf.DUMMYFUNCTION("""COMPUTED_VALUE"""),"NEUTRAL")</f>
        <v>NEUTRAL</v>
      </c>
      <c r="I191" s="14" t="str">
        <f t="shared" si="2"/>
        <v>CHART</v>
      </c>
      <c r="P191" s="23"/>
    </row>
    <row r="192">
      <c r="A192" s="29"/>
      <c r="B192" s="12">
        <f>IFERROR(__xludf.DUMMYFUNCTION("""COMPUTED_VALUE"""),190.0)</f>
        <v>190</v>
      </c>
      <c r="C192" s="12" t="str">
        <f>IFERROR(__xludf.DUMMYFUNCTION("""COMPUTED_VALUE"""),"UNOMINDA")</f>
        <v>UNOMINDA</v>
      </c>
      <c r="D192" s="13">
        <f>IFERROR(__xludf.DUMMYFUNCTION("""COMPUTED_VALUE"""),53.46843769904793)</f>
        <v>53.4684377</v>
      </c>
      <c r="E192" s="13">
        <f>IFERROR(__xludf.DUMMYFUNCTION("""COMPUTED_VALUE"""),13.742490669551325)</f>
        <v>13.74249067</v>
      </c>
      <c r="F192" s="13">
        <f>IFERROR(__xludf.DUMMYFUNCTION("""COMPUTED_VALUE"""),23.951700913634934)</f>
        <v>23.95170091</v>
      </c>
      <c r="G192" s="13">
        <f>IFERROR(__xludf.DUMMYFUNCTION("""COMPUTED_VALUE"""),26.865955671014323)</f>
        <v>26.86595567</v>
      </c>
      <c r="H192" s="31" t="str">
        <f>IFERROR(__xludf.DUMMYFUNCTION("""COMPUTED_VALUE"""),"NEUTRAL")</f>
        <v>NEUTRAL</v>
      </c>
      <c r="I192" s="14" t="str">
        <f t="shared" si="2"/>
        <v>CHART</v>
      </c>
      <c r="P192" s="23"/>
    </row>
    <row r="193">
      <c r="A193" s="29"/>
      <c r="B193" s="12">
        <f>IFERROR(__xludf.DUMMYFUNCTION("""COMPUTED_VALUE"""),191.0)</f>
        <v>191</v>
      </c>
      <c r="C193" s="12" t="str">
        <f>IFERROR(__xludf.DUMMYFUNCTION("""COMPUTED_VALUE"""),"IREDA")</f>
        <v>IREDA</v>
      </c>
      <c r="D193" s="13">
        <f>IFERROR(__xludf.DUMMYFUNCTION("""COMPUTED_VALUE"""),52.002598564686906)</f>
        <v>52.00259856</v>
      </c>
      <c r="E193" s="13">
        <f>IFERROR(__xludf.DUMMYFUNCTION("""COMPUTED_VALUE"""),14.922910495395637)</f>
        <v>14.9229105</v>
      </c>
      <c r="F193" s="13">
        <f>IFERROR(__xludf.DUMMYFUNCTION("""COMPUTED_VALUE"""),28.02086879856166)</f>
        <v>28.0208688</v>
      </c>
      <c r="G193" s="13">
        <f>IFERROR(__xludf.DUMMYFUNCTION("""COMPUTED_VALUE"""),25.897748749785592)</f>
        <v>25.89774875</v>
      </c>
      <c r="H193" s="31" t="str">
        <f>IFERROR(__xludf.DUMMYFUNCTION("""COMPUTED_VALUE"""),"NEUTRAL")</f>
        <v>NEUTRAL</v>
      </c>
      <c r="I193" s="14" t="str">
        <f t="shared" si="2"/>
        <v>CHART</v>
      </c>
      <c r="P193" s="23"/>
    </row>
    <row r="194">
      <c r="A194" s="29"/>
      <c r="B194" s="12">
        <f>IFERROR(__xludf.DUMMYFUNCTION("""COMPUTED_VALUE"""),192.0)</f>
        <v>192</v>
      </c>
      <c r="C194" s="12" t="str">
        <f>IFERROR(__xludf.DUMMYFUNCTION("""COMPUTED_VALUE"""),"FORTIS")</f>
        <v>FORTIS</v>
      </c>
      <c r="D194" s="13">
        <f>IFERROR(__xludf.DUMMYFUNCTION("""COMPUTED_VALUE"""),56.929946495328196)</f>
        <v>56.9299465</v>
      </c>
      <c r="E194" s="13">
        <f>IFERROR(__xludf.DUMMYFUNCTION("""COMPUTED_VALUE"""),24.796176249926507)</f>
        <v>24.79617625</v>
      </c>
      <c r="F194" s="13">
        <f>IFERROR(__xludf.DUMMYFUNCTION("""COMPUTED_VALUE"""),24.508640751284673)</f>
        <v>24.50864075</v>
      </c>
      <c r="G194" s="13">
        <f>IFERROR(__xludf.DUMMYFUNCTION("""COMPUTED_VALUE"""),17.32145187389514)</f>
        <v>17.32145187</v>
      </c>
      <c r="H194" s="31" t="str">
        <f>IFERROR(__xludf.DUMMYFUNCTION("""COMPUTED_VALUE"""),"")</f>
        <v/>
      </c>
      <c r="I194" s="14" t="str">
        <f t="shared" si="2"/>
        <v>CHART</v>
      </c>
      <c r="P194" s="23"/>
    </row>
    <row r="195">
      <c r="A195" s="29"/>
      <c r="B195" s="12">
        <f>IFERROR(__xludf.DUMMYFUNCTION("""COMPUTED_VALUE"""),193.0)</f>
        <v>193</v>
      </c>
      <c r="C195" s="12" t="str">
        <f>IFERROR(__xludf.DUMMYFUNCTION("""COMPUTED_VALUE"""),"IEX")</f>
        <v>IEX</v>
      </c>
      <c r="D195" s="13">
        <f>IFERROR(__xludf.DUMMYFUNCTION("""COMPUTED_VALUE"""),50.174401631277355)</f>
        <v>50.17440163</v>
      </c>
      <c r="E195" s="13">
        <f>IFERROR(__xludf.DUMMYFUNCTION("""COMPUTED_VALUE"""),10.549293428888147)</f>
        <v>10.54929343</v>
      </c>
      <c r="F195" s="13">
        <f>IFERROR(__xludf.DUMMYFUNCTION("""COMPUTED_VALUE"""),28.078762297326605)</f>
        <v>28.0787623</v>
      </c>
      <c r="G195" s="13">
        <f>IFERROR(__xludf.DUMMYFUNCTION("""COMPUTED_VALUE"""),22.938373573449244)</f>
        <v>22.93837357</v>
      </c>
      <c r="H195" s="31" t="str">
        <f>IFERROR(__xludf.DUMMYFUNCTION("""COMPUTED_VALUE"""),"NEUTRAL")</f>
        <v>NEUTRAL</v>
      </c>
      <c r="I195" s="14" t="str">
        <f t="shared" si="2"/>
        <v>CHART</v>
      </c>
      <c r="P195" s="23"/>
    </row>
    <row r="196">
      <c r="A196" s="29"/>
      <c r="B196" s="12">
        <f>IFERROR(__xludf.DUMMYFUNCTION("""COMPUTED_VALUE"""),194.0)</f>
        <v>194</v>
      </c>
      <c r="C196" s="12" t="str">
        <f>IFERROR(__xludf.DUMMYFUNCTION("""COMPUTED_VALUE"""),"PHOENIXLTD")</f>
        <v>PHOENIXLTD</v>
      </c>
      <c r="D196" s="13">
        <f>IFERROR(__xludf.DUMMYFUNCTION("""COMPUTED_VALUE"""),53.56400667656042)</f>
        <v>53.56400668</v>
      </c>
      <c r="E196" s="13">
        <f>IFERROR(__xludf.DUMMYFUNCTION("""COMPUTED_VALUE"""),16.032663033753625)</f>
        <v>16.03266303</v>
      </c>
      <c r="F196" s="13">
        <f>IFERROR(__xludf.DUMMYFUNCTION("""COMPUTED_VALUE"""),20.420786861448995)</f>
        <v>20.42078686</v>
      </c>
      <c r="G196" s="13">
        <f>IFERROR(__xludf.DUMMYFUNCTION("""COMPUTED_VALUE"""),22.321889391681417)</f>
        <v>22.32188939</v>
      </c>
      <c r="H196" s="31" t="str">
        <f>IFERROR(__xludf.DUMMYFUNCTION("""COMPUTED_VALUE"""),"NEUTRAL")</f>
        <v>NEUTRAL</v>
      </c>
      <c r="I196" s="14" t="str">
        <f t="shared" si="2"/>
        <v>CHART</v>
      </c>
      <c r="P196" s="23"/>
    </row>
    <row r="197">
      <c r="A197" s="29"/>
      <c r="B197" s="12">
        <f>IFERROR(__xludf.DUMMYFUNCTION("""COMPUTED_VALUE"""),195.0)</f>
        <v>195</v>
      </c>
      <c r="C197" s="12" t="str">
        <f>IFERROR(__xludf.DUMMYFUNCTION("""COMPUTED_VALUE"""),"UNITDSPR")</f>
        <v>UNITDSPR</v>
      </c>
      <c r="D197" s="13">
        <f>IFERROR(__xludf.DUMMYFUNCTION("""COMPUTED_VALUE"""),51.25430913910599)</f>
        <v>51.25430914</v>
      </c>
      <c r="E197" s="13">
        <f>IFERROR(__xludf.DUMMYFUNCTION("""COMPUTED_VALUE"""),13.548473344815239)</f>
        <v>13.54847334</v>
      </c>
      <c r="F197" s="13">
        <f>IFERROR(__xludf.DUMMYFUNCTION("""COMPUTED_VALUE"""),25.955989713056148)</f>
        <v>25.95598971</v>
      </c>
      <c r="G197" s="13">
        <f>IFERROR(__xludf.DUMMYFUNCTION("""COMPUTED_VALUE"""),27.745226085149937)</f>
        <v>27.74522609</v>
      </c>
      <c r="H197" s="31" t="str">
        <f>IFERROR(__xludf.DUMMYFUNCTION("""COMPUTED_VALUE"""),"NEUTRAL")</f>
        <v>NEUTRAL</v>
      </c>
      <c r="I197" s="14" t="str">
        <f t="shared" si="2"/>
        <v>CHART</v>
      </c>
      <c r="P197" s="23"/>
    </row>
    <row r="198">
      <c r="A198" s="29"/>
      <c r="B198" s="12">
        <f>IFERROR(__xludf.DUMMYFUNCTION("""COMPUTED_VALUE"""),196.0)</f>
        <v>196</v>
      </c>
      <c r="C198" s="12" t="str">
        <f>IFERROR(__xludf.DUMMYFUNCTION("""COMPUTED_VALUE"""),"LICHSGFIN")</f>
        <v>LICHSGFIN</v>
      </c>
      <c r="D198" s="13">
        <f>IFERROR(__xludf.DUMMYFUNCTION("""COMPUTED_VALUE"""),48.079387700707024)</f>
        <v>48.0793877</v>
      </c>
      <c r="E198" s="13">
        <f>IFERROR(__xludf.DUMMYFUNCTION("""COMPUTED_VALUE"""),17.56848240136113)</f>
        <v>17.5684824</v>
      </c>
      <c r="F198" s="13">
        <f>IFERROR(__xludf.DUMMYFUNCTION("""COMPUTED_VALUE"""),22.530775615938285)</f>
        <v>22.53077562</v>
      </c>
      <c r="G198" s="13">
        <f>IFERROR(__xludf.DUMMYFUNCTION("""COMPUTED_VALUE"""),18.709509886641467)</f>
        <v>18.70950989</v>
      </c>
      <c r="H198" s="31" t="str">
        <f>IFERROR(__xludf.DUMMYFUNCTION("""COMPUTED_VALUE"""),"NEUTRAL")</f>
        <v>NEUTRAL</v>
      </c>
      <c r="I198" s="14" t="str">
        <f t="shared" si="2"/>
        <v>CHART</v>
      </c>
      <c r="P198" s="23"/>
    </row>
    <row r="199">
      <c r="A199" s="29"/>
      <c r="B199" s="12">
        <f>IFERROR(__xludf.DUMMYFUNCTION("""COMPUTED_VALUE"""),197.0)</f>
        <v>197</v>
      </c>
      <c r="C199" s="12" t="str">
        <f>IFERROR(__xludf.DUMMYFUNCTION("""COMPUTED_VALUE"""),"DALBHARAT")</f>
        <v>DALBHARAT</v>
      </c>
      <c r="D199" s="13">
        <f>IFERROR(__xludf.DUMMYFUNCTION("""COMPUTED_VALUE"""),45.369839378586285)</f>
        <v>45.36983938</v>
      </c>
      <c r="E199" s="13">
        <f>IFERROR(__xludf.DUMMYFUNCTION("""COMPUTED_VALUE"""),31.528481230629215)</f>
        <v>31.52848123</v>
      </c>
      <c r="F199" s="13">
        <f>IFERROR(__xludf.DUMMYFUNCTION("""COMPUTED_VALUE"""),22.611220982380882)</f>
        <v>22.61122098</v>
      </c>
      <c r="G199" s="13">
        <f>IFERROR(__xludf.DUMMYFUNCTION("""COMPUTED_VALUE"""),29.395302093377108)</f>
        <v>29.39530209</v>
      </c>
      <c r="H199" s="31" t="str">
        <f>IFERROR(__xludf.DUMMYFUNCTION("""COMPUTED_VALUE"""),"NEUTRAL")</f>
        <v>NEUTRAL</v>
      </c>
      <c r="I199" s="14" t="str">
        <f t="shared" si="2"/>
        <v>CHART</v>
      </c>
      <c r="P199" s="23"/>
    </row>
    <row r="200">
      <c r="A200" s="29"/>
      <c r="B200" s="12">
        <f>IFERROR(__xludf.DUMMYFUNCTION("""COMPUTED_VALUE"""),198.0)</f>
        <v>198</v>
      </c>
      <c r="C200" s="12" t="str">
        <f>IFERROR(__xludf.DUMMYFUNCTION("""COMPUTED_VALUE"""),"IRFC")</f>
        <v>IRFC</v>
      </c>
      <c r="D200" s="13">
        <f>IFERROR(__xludf.DUMMYFUNCTION("""COMPUTED_VALUE"""),46.5187370748791)</f>
        <v>46.51873707</v>
      </c>
      <c r="E200" s="13">
        <f>IFERROR(__xludf.DUMMYFUNCTION("""COMPUTED_VALUE"""),17.40948957759358)</f>
        <v>17.40948958</v>
      </c>
      <c r="F200" s="13">
        <f>IFERROR(__xludf.DUMMYFUNCTION("""COMPUTED_VALUE"""),30.255189786940534)</f>
        <v>30.25518979</v>
      </c>
      <c r="G200" s="13">
        <f>IFERROR(__xludf.DUMMYFUNCTION("""COMPUTED_VALUE"""),32.70232931477507)</f>
        <v>32.70232931</v>
      </c>
      <c r="H200" s="31" t="str">
        <f>IFERROR(__xludf.DUMMYFUNCTION("""COMPUTED_VALUE"""),"NEUTRAL")</f>
        <v>NEUTRAL</v>
      </c>
      <c r="I200" s="14" t="str">
        <f t="shared" si="2"/>
        <v>CHART</v>
      </c>
      <c r="P200" s="23"/>
    </row>
    <row r="201">
      <c r="A201" s="29"/>
      <c r="B201" s="12">
        <f>IFERROR(__xludf.DUMMYFUNCTION("""COMPUTED_VALUE"""),199.0)</f>
        <v>199</v>
      </c>
      <c r="C201" s="12" t="str">
        <f>IFERROR(__xludf.DUMMYFUNCTION("""COMPUTED_VALUE"""),"MANKIND")</f>
        <v>MANKIND</v>
      </c>
      <c r="D201" s="13">
        <f>IFERROR(__xludf.DUMMYFUNCTION("""COMPUTED_VALUE"""),55.73508470199812)</f>
        <v>55.7350847</v>
      </c>
      <c r="E201" s="13">
        <f>IFERROR(__xludf.DUMMYFUNCTION("""COMPUTED_VALUE"""),43.147169825753096)</f>
        <v>43.14716983</v>
      </c>
      <c r="F201" s="13">
        <f>IFERROR(__xludf.DUMMYFUNCTION("""COMPUTED_VALUE"""),27.661225245974503)</f>
        <v>27.66122525</v>
      </c>
      <c r="G201" s="13">
        <f>IFERROR(__xludf.DUMMYFUNCTION("""COMPUTED_VALUE"""),13.632716164819145)</f>
        <v>13.63271616</v>
      </c>
      <c r="H201" s="31" t="str">
        <f>IFERROR(__xludf.DUMMYFUNCTION("""COMPUTED_VALUE"""),"")</f>
        <v/>
      </c>
      <c r="I201" s="14" t="str">
        <f t="shared" si="2"/>
        <v>CHART</v>
      </c>
      <c r="P201" s="23"/>
    </row>
    <row r="202">
      <c r="A202" s="29"/>
      <c r="B202" s="12">
        <f>IFERROR(__xludf.DUMMYFUNCTION("""COMPUTED_VALUE"""),200.0)</f>
        <v>200</v>
      </c>
      <c r="C202" s="12" t="str">
        <f>IFERROR(__xludf.DUMMYFUNCTION("""COMPUTED_VALUE"""),"ALKEM")</f>
        <v>ALKEM</v>
      </c>
      <c r="D202" s="13">
        <f>IFERROR(__xludf.DUMMYFUNCTION("""COMPUTED_VALUE"""),46.607815069954384)</f>
        <v>46.60781507</v>
      </c>
      <c r="E202" s="13">
        <f>IFERROR(__xludf.DUMMYFUNCTION("""COMPUTED_VALUE"""),13.207204364105545)</f>
        <v>13.20720436</v>
      </c>
      <c r="F202" s="13">
        <f>IFERROR(__xludf.DUMMYFUNCTION("""COMPUTED_VALUE"""),20.296825435620423)</f>
        <v>20.29682544</v>
      </c>
      <c r="G202" s="13">
        <f>IFERROR(__xludf.DUMMYFUNCTION("""COMPUTED_VALUE"""),15.656608626492538)</f>
        <v>15.65660863</v>
      </c>
      <c r="H202" s="31" t="str">
        <f>IFERROR(__xludf.DUMMYFUNCTION("""COMPUTED_VALUE"""),"NEUTRAL")</f>
        <v>NEUTRAL</v>
      </c>
      <c r="I202" s="14" t="str">
        <f t="shared" si="2"/>
        <v>CHART</v>
      </c>
      <c r="P202" s="23"/>
    </row>
    <row r="203">
      <c r="A203" s="29"/>
      <c r="B203" s="51"/>
      <c r="C203" s="48"/>
      <c r="D203" s="52"/>
      <c r="E203" s="52"/>
      <c r="F203" s="52"/>
      <c r="G203" s="52"/>
      <c r="H203" s="53"/>
      <c r="I203" s="54"/>
      <c r="P203" s="23"/>
    </row>
  </sheetData>
  <mergeCells count="3">
    <mergeCell ref="B1:I1"/>
    <mergeCell ref="L28:M28"/>
    <mergeCell ref="N28:Q28"/>
  </mergeCells>
  <conditionalFormatting sqref="L3:L27">
    <cfRule type="expression" dxfId="2" priority="1">
      <formula>N3="G"</formula>
    </cfRule>
  </conditionalFormatting>
  <conditionalFormatting sqref="L3:L27">
    <cfRule type="expression" dxfId="3" priority="2">
      <formula>N3="Y"</formula>
    </cfRule>
  </conditionalFormatting>
  <conditionalFormatting sqref="L3:L27">
    <cfRule type="expression" dxfId="0" priority="3">
      <formula>N3="B"</formula>
    </cfRule>
  </conditionalFormatting>
  <conditionalFormatting sqref="R3:R27">
    <cfRule type="expression" dxfId="1" priority="4">
      <formula>T3="R"</formula>
    </cfRule>
  </conditionalFormatting>
  <conditionalFormatting sqref="R3:R27">
    <cfRule type="expression" dxfId="4" priority="5">
      <formula>T3="Y"</formula>
    </cfRule>
  </conditionalFormatting>
  <conditionalFormatting sqref="R3:R27">
    <cfRule type="expression" dxfId="0" priority="6">
      <formula>T3="B"</formula>
    </cfRule>
  </conditionalFormatting>
  <conditionalFormatting sqref="K3:K27">
    <cfRule type="expression" dxfId="5" priority="7">
      <formula>Y3="X"</formula>
    </cfRule>
  </conditionalFormatting>
  <conditionalFormatting sqref="Q3:Q27">
    <cfRule type="expression" dxfId="1" priority="8">
      <formula>Z3="X"</formula>
    </cfRule>
  </conditionalFormatting>
  <hyperlinks>
    <hyperlink r:id="rId1" ref="K30"/>
    <hyperlink r:id="rId2" ref="K53"/>
    <hyperlink r:id="rId3" ref="K5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88"/>
    <col customWidth="1" min="2" max="2" width="5.25"/>
    <col customWidth="1" min="3" max="3" width="14.88"/>
    <col customWidth="1" min="4" max="4" width="12.13"/>
    <col customWidth="1" min="5" max="5" width="12.38"/>
    <col customWidth="1" min="6" max="6" width="12.88"/>
    <col customWidth="1" min="7" max="7" width="9.75"/>
    <col customWidth="1" min="8" max="8" width="80.25"/>
  </cols>
  <sheetData>
    <row r="1">
      <c r="A1" s="55">
        <f>NOW()-TODAY()</f>
        <v>0.4841914005</v>
      </c>
      <c r="B1" s="2" t="s">
        <v>39</v>
      </c>
      <c r="H1" s="3" t="str">
        <f>HYPERLINK("https://www.youtube.com/channel/UCDbfoNplY71wi5e_qiO_szg?view_as=subscriber","SUBSCRIBE")</f>
        <v>SUBSCRIBE</v>
      </c>
    </row>
    <row r="2">
      <c r="A2" s="56">
        <v>0.625</v>
      </c>
      <c r="B2" s="57" t="str">
        <f>IFERROR(__xludf.DUMMYFUNCTION("IF(Weekday(today())&lt;&gt;5,""Data will appear on 15.00 on every Thursday"",IMPORTRANGE(""1Ibur3RgbyVERKCyFBiczOEVwS4lwQcIDd420uGCN4f0"",""01!BM2""))"),"Data will appear on 15.00 on every Thursday")</f>
        <v>Data will appear on 15.00 on every Thursday</v>
      </c>
      <c r="H2" s="58" t="s">
        <v>40</v>
      </c>
    </row>
    <row r="3">
      <c r="A3" s="59" t="str">
        <f>IF(A2&gt;A1,"A","B")</f>
        <v>A</v>
      </c>
      <c r="B3" s="8" t="str">
        <f>IFERROR(__xludf.DUMMYFUNCTION("IF(A3=""A"","""",IMPORTRANGE(""1Ibur3RgbyVERKCyFBiczOEVwS4lwQcIDd420uGCN4f0"",""01!BM3:BP56""))"),"")</f>
        <v/>
      </c>
      <c r="C3" s="8"/>
      <c r="D3" s="8"/>
      <c r="E3" s="8"/>
      <c r="F3" s="8" t="s">
        <v>41</v>
      </c>
      <c r="G3" s="9" t="s">
        <v>18</v>
      </c>
      <c r="H3" s="60" t="s">
        <v>42</v>
      </c>
    </row>
    <row r="4">
      <c r="A4" s="59" t="str">
        <f t="shared" ref="A4:A56" si="1">IF(F4&gt;D4,"X",IF(F4&lt;E4,"Y",""))</f>
        <v/>
      </c>
      <c r="B4" s="12"/>
      <c r="C4" s="12"/>
      <c r="D4" s="61"/>
      <c r="E4" s="61"/>
      <c r="F4" s="13" t="str">
        <f>IFERROR(__xludf.DUMMYFUNCTION("IF(C4&lt;&gt;"""",GOOGLEFINANCE(""NSE:""&amp;C4),"""")"),"")</f>
        <v/>
      </c>
      <c r="G4" s="35" t="str">
        <f t="shared" ref="G4:G56" si="2">IF(C4="","",HYPERLINK("https://in.tradingview.com/chart/?symbol=NSE:"&amp;C4,"CHART"))</f>
        <v/>
      </c>
      <c r="H4" s="15" t="s">
        <v>2</v>
      </c>
    </row>
    <row r="5">
      <c r="A5" s="59" t="str">
        <f t="shared" si="1"/>
        <v/>
      </c>
      <c r="B5" s="12"/>
      <c r="C5" s="12"/>
      <c r="D5" s="61"/>
      <c r="E5" s="61"/>
      <c r="F5" s="13" t="str">
        <f>IFERROR(__xludf.DUMMYFUNCTION("IF(C5&lt;&gt;"""",GOOGLEFINANCE(""NSE:""&amp;C5),"""")"),"")</f>
        <v/>
      </c>
      <c r="G5" s="35" t="str">
        <f t="shared" si="2"/>
        <v/>
      </c>
      <c r="H5" s="15" t="s">
        <v>3</v>
      </c>
    </row>
    <row r="6">
      <c r="A6" s="59" t="str">
        <f t="shared" si="1"/>
        <v/>
      </c>
      <c r="B6" s="12"/>
      <c r="C6" s="12"/>
      <c r="D6" s="61"/>
      <c r="E6" s="61"/>
      <c r="F6" s="13" t="str">
        <f>IFERROR(__xludf.DUMMYFUNCTION("IF(C6&lt;&gt;"""",GOOGLEFINANCE(""NSE:""&amp;C6),"""")"),"")</f>
        <v/>
      </c>
      <c r="G6" s="35" t="str">
        <f t="shared" si="2"/>
        <v/>
      </c>
      <c r="H6" s="16" t="s">
        <v>4</v>
      </c>
    </row>
    <row r="7">
      <c r="A7" s="59" t="str">
        <f t="shared" si="1"/>
        <v/>
      </c>
      <c r="B7" s="12"/>
      <c r="C7" s="12"/>
      <c r="D7" s="61"/>
      <c r="E7" s="61"/>
      <c r="F7" s="13" t="str">
        <f>IFERROR(__xludf.DUMMYFUNCTION("IF(C7&lt;&gt;"""",GOOGLEFINANCE(""NSE:""&amp;C7),"""")"),"")</f>
        <v/>
      </c>
      <c r="G7" s="35" t="str">
        <f t="shared" si="2"/>
        <v/>
      </c>
      <c r="H7" s="17" t="s">
        <v>5</v>
      </c>
    </row>
    <row r="8">
      <c r="A8" s="59" t="str">
        <f t="shared" si="1"/>
        <v/>
      </c>
      <c r="B8" s="12"/>
      <c r="C8" s="12"/>
      <c r="D8" s="61"/>
      <c r="E8" s="61"/>
      <c r="F8" s="13" t="str">
        <f>IFERROR(__xludf.DUMMYFUNCTION("IF(C8&lt;&gt;"""",GOOGLEFINANCE(""NSE:""&amp;C8),"""")"),"")</f>
        <v/>
      </c>
      <c r="G8" s="35" t="str">
        <f t="shared" si="2"/>
        <v/>
      </c>
      <c r="H8" s="18" t="s">
        <v>6</v>
      </c>
    </row>
    <row r="9">
      <c r="A9" s="59" t="str">
        <f t="shared" si="1"/>
        <v/>
      </c>
      <c r="B9" s="12"/>
      <c r="C9" s="12"/>
      <c r="D9" s="61"/>
      <c r="E9" s="61"/>
      <c r="F9" s="13" t="str">
        <f>IFERROR(__xludf.DUMMYFUNCTION("IF(C9&lt;&gt;"""",GOOGLEFINANCE(""NSE:""&amp;C9),"""")"),"")</f>
        <v/>
      </c>
      <c r="G9" s="35" t="str">
        <f t="shared" si="2"/>
        <v/>
      </c>
      <c r="H9" s="18" t="s">
        <v>7</v>
      </c>
    </row>
    <row r="10">
      <c r="A10" s="59" t="str">
        <f t="shared" si="1"/>
        <v/>
      </c>
      <c r="B10" s="12"/>
      <c r="C10" s="12"/>
      <c r="D10" s="61"/>
      <c r="E10" s="61"/>
      <c r="F10" s="13" t="str">
        <f>IFERROR(__xludf.DUMMYFUNCTION("IF(C10&lt;&gt;"""",GOOGLEFINANCE(""NSE:""&amp;C10),"""")"),"")</f>
        <v/>
      </c>
      <c r="G10" s="35" t="str">
        <f t="shared" si="2"/>
        <v/>
      </c>
      <c r="H10" s="19" t="s">
        <v>8</v>
      </c>
    </row>
    <row r="11">
      <c r="A11" s="59" t="str">
        <f t="shared" si="1"/>
        <v/>
      </c>
      <c r="B11" s="12"/>
      <c r="C11" s="12"/>
      <c r="D11" s="61"/>
      <c r="E11" s="61"/>
      <c r="F11" s="13" t="str">
        <f>IFERROR(__xludf.DUMMYFUNCTION("IF(C11&lt;&gt;"""",GOOGLEFINANCE(""NSE:""&amp;C11),"""")"),"")</f>
        <v/>
      </c>
      <c r="G11" s="35" t="str">
        <f t="shared" si="2"/>
        <v/>
      </c>
      <c r="H11" s="18" t="s">
        <v>9</v>
      </c>
    </row>
    <row r="12">
      <c r="A12" s="59" t="str">
        <f t="shared" si="1"/>
        <v/>
      </c>
      <c r="B12" s="12"/>
      <c r="C12" s="12"/>
      <c r="D12" s="61"/>
      <c r="E12" s="61"/>
      <c r="F12" s="13" t="str">
        <f>IFERROR(__xludf.DUMMYFUNCTION("IF(C12&lt;&gt;"""",GOOGLEFINANCE(""NSE:""&amp;C12),"""")"),"")</f>
        <v/>
      </c>
      <c r="G12" s="35" t="str">
        <f t="shared" si="2"/>
        <v/>
      </c>
      <c r="H12" s="18"/>
    </row>
    <row r="13">
      <c r="A13" s="59" t="str">
        <f t="shared" si="1"/>
        <v/>
      </c>
      <c r="B13" s="12"/>
      <c r="C13" s="12"/>
      <c r="D13" s="61"/>
      <c r="E13" s="61"/>
      <c r="F13" s="13" t="str">
        <f>IFERROR(__xludf.DUMMYFUNCTION("IF(C13&lt;&gt;"""",GOOGLEFINANCE(""NSE:""&amp;C13),"""")"),"")</f>
        <v/>
      </c>
      <c r="G13" s="35" t="str">
        <f t="shared" si="2"/>
        <v/>
      </c>
      <c r="H13" s="18" t="s">
        <v>10</v>
      </c>
    </row>
    <row r="14">
      <c r="A14" s="59" t="str">
        <f t="shared" si="1"/>
        <v/>
      </c>
      <c r="B14" s="12"/>
      <c r="C14" s="12"/>
      <c r="D14" s="61"/>
      <c r="E14" s="61"/>
      <c r="F14" s="13" t="str">
        <f>IFERROR(__xludf.DUMMYFUNCTION("IF(C14&lt;&gt;"""",GOOGLEFINANCE(""NSE:""&amp;C14),"""")"),"")</f>
        <v/>
      </c>
      <c r="G14" s="35" t="str">
        <f t="shared" si="2"/>
        <v/>
      </c>
      <c r="H14" s="18" t="s">
        <v>11</v>
      </c>
    </row>
    <row r="15">
      <c r="A15" s="59" t="str">
        <f t="shared" si="1"/>
        <v/>
      </c>
      <c r="B15" s="12"/>
      <c r="C15" s="12"/>
      <c r="D15" s="61"/>
      <c r="E15" s="61"/>
      <c r="F15" s="13" t="str">
        <f>IFERROR(__xludf.DUMMYFUNCTION("IF(C15&lt;&gt;"""",GOOGLEFINANCE(""NSE:""&amp;C15),"""")"),"")</f>
        <v/>
      </c>
      <c r="G15" s="35" t="str">
        <f t="shared" si="2"/>
        <v/>
      </c>
      <c r="H15" s="18">
        <f>Weekday(today())</f>
        <v>4</v>
      </c>
    </row>
    <row r="16">
      <c r="A16" s="59" t="str">
        <f t="shared" si="1"/>
        <v/>
      </c>
      <c r="B16" s="12"/>
      <c r="C16" s="12"/>
      <c r="D16" s="61"/>
      <c r="E16" s="61"/>
      <c r="F16" s="13" t="str">
        <f>IFERROR(__xludf.DUMMYFUNCTION("IF(C16&lt;&gt;"""",GOOGLEFINANCE(""NSE:""&amp;C16),"""")"),"")</f>
        <v/>
      </c>
      <c r="G16" s="35" t="str">
        <f t="shared" si="2"/>
        <v/>
      </c>
      <c r="H16" s="20"/>
    </row>
    <row r="17">
      <c r="A17" s="59" t="str">
        <f t="shared" si="1"/>
        <v/>
      </c>
      <c r="B17" s="12"/>
      <c r="C17" s="12"/>
      <c r="D17" s="61"/>
      <c r="E17" s="61"/>
      <c r="F17" s="13" t="str">
        <f>IFERROR(__xludf.DUMMYFUNCTION("IF(C17&lt;&gt;"""",GOOGLEFINANCE(""NSE:""&amp;C17),"""")"),"")</f>
        <v/>
      </c>
      <c r="G17" s="35" t="str">
        <f t="shared" si="2"/>
        <v/>
      </c>
      <c r="H17" s="21"/>
    </row>
    <row r="18">
      <c r="A18" s="59" t="str">
        <f t="shared" si="1"/>
        <v/>
      </c>
      <c r="B18" s="12"/>
      <c r="C18" s="12"/>
      <c r="D18" s="61"/>
      <c r="E18" s="61"/>
      <c r="F18" s="13" t="str">
        <f>IFERROR(__xludf.DUMMYFUNCTION("IF(C18&lt;&gt;"""",GOOGLEFINANCE(""NSE:""&amp;C18),"""")"),"")</f>
        <v/>
      </c>
      <c r="G18" s="35" t="str">
        <f t="shared" si="2"/>
        <v/>
      </c>
      <c r="H18" s="20"/>
    </row>
    <row r="19">
      <c r="A19" s="59" t="str">
        <f t="shared" si="1"/>
        <v/>
      </c>
      <c r="B19" s="12"/>
      <c r="C19" s="12"/>
      <c r="D19" s="61"/>
      <c r="E19" s="61"/>
      <c r="F19" s="13" t="str">
        <f>IFERROR(__xludf.DUMMYFUNCTION("IF(C19&lt;&gt;"""",GOOGLEFINANCE(""NSE:""&amp;C19),"""")"),"")</f>
        <v/>
      </c>
      <c r="G19" s="35" t="str">
        <f t="shared" si="2"/>
        <v/>
      </c>
      <c r="H19" s="21"/>
    </row>
    <row r="20">
      <c r="A20" s="59" t="str">
        <f t="shared" si="1"/>
        <v/>
      </c>
      <c r="B20" s="12"/>
      <c r="C20" s="12"/>
      <c r="D20" s="61"/>
      <c r="E20" s="61"/>
      <c r="F20" s="13" t="str">
        <f>IFERROR(__xludf.DUMMYFUNCTION("IF(C20&lt;&gt;"""",GOOGLEFINANCE(""NSE:""&amp;C20),"""")"),"")</f>
        <v/>
      </c>
      <c r="G20" s="35" t="str">
        <f t="shared" si="2"/>
        <v/>
      </c>
    </row>
    <row r="21">
      <c r="A21" s="59" t="str">
        <f t="shared" si="1"/>
        <v/>
      </c>
      <c r="B21" s="12"/>
      <c r="C21" s="12"/>
      <c r="D21" s="61"/>
      <c r="E21" s="61"/>
      <c r="F21" s="13" t="str">
        <f>IFERROR(__xludf.DUMMYFUNCTION("IF(C21&lt;&gt;"""",GOOGLEFINANCE(""NSE:""&amp;C21),"""")"),"")</f>
        <v/>
      </c>
      <c r="G21" s="35" t="str">
        <f t="shared" si="2"/>
        <v/>
      </c>
    </row>
    <row r="22">
      <c r="A22" s="59" t="str">
        <f t="shared" si="1"/>
        <v/>
      </c>
      <c r="B22" s="12"/>
      <c r="C22" s="12"/>
      <c r="D22" s="61"/>
      <c r="E22" s="61"/>
      <c r="F22" s="13" t="str">
        <f>IFERROR(__xludf.DUMMYFUNCTION("IF(C22&lt;&gt;"""",GOOGLEFINANCE(""NSE:""&amp;C22),"""")"),"")</f>
        <v/>
      </c>
      <c r="G22" s="35" t="str">
        <f t="shared" si="2"/>
        <v/>
      </c>
    </row>
    <row r="23">
      <c r="A23" s="59" t="str">
        <f t="shared" si="1"/>
        <v/>
      </c>
      <c r="B23" s="12"/>
      <c r="C23" s="12"/>
      <c r="D23" s="61"/>
      <c r="E23" s="61"/>
      <c r="F23" s="13" t="str">
        <f>IFERROR(__xludf.DUMMYFUNCTION("IF(C23&lt;&gt;"""",GOOGLEFINANCE(""NSE:""&amp;C23),"""")"),"")</f>
        <v/>
      </c>
      <c r="G23" s="35" t="str">
        <f t="shared" si="2"/>
        <v/>
      </c>
    </row>
    <row r="24">
      <c r="A24" s="59" t="str">
        <f t="shared" si="1"/>
        <v/>
      </c>
      <c r="B24" s="12"/>
      <c r="C24" s="12"/>
      <c r="D24" s="61"/>
      <c r="E24" s="61"/>
      <c r="F24" s="13" t="str">
        <f>IFERROR(__xludf.DUMMYFUNCTION("IF(C24&lt;&gt;"""",GOOGLEFINANCE(""NSE:""&amp;C24),"""")"),"")</f>
        <v/>
      </c>
      <c r="G24" s="35" t="str">
        <f t="shared" si="2"/>
        <v/>
      </c>
    </row>
    <row r="25">
      <c r="A25" s="59" t="str">
        <f t="shared" si="1"/>
        <v/>
      </c>
      <c r="B25" s="12"/>
      <c r="C25" s="12"/>
      <c r="D25" s="61"/>
      <c r="E25" s="61"/>
      <c r="F25" s="13" t="str">
        <f>IFERROR(__xludf.DUMMYFUNCTION("IF(C25&lt;&gt;"""",GOOGLEFINANCE(""NSE:""&amp;C25),"""")"),"")</f>
        <v/>
      </c>
      <c r="G25" s="35" t="str">
        <f t="shared" si="2"/>
        <v/>
      </c>
    </row>
    <row r="26">
      <c r="A26" s="59" t="str">
        <f t="shared" si="1"/>
        <v/>
      </c>
      <c r="B26" s="12"/>
      <c r="C26" s="12"/>
      <c r="D26" s="61"/>
      <c r="E26" s="61"/>
      <c r="F26" s="13" t="str">
        <f>IFERROR(__xludf.DUMMYFUNCTION("IF(C26&lt;&gt;"""",GOOGLEFINANCE(""NSE:""&amp;C26),"""")"),"")</f>
        <v/>
      </c>
      <c r="G26" s="35" t="str">
        <f t="shared" si="2"/>
        <v/>
      </c>
    </row>
    <row r="27">
      <c r="A27" s="59" t="str">
        <f t="shared" si="1"/>
        <v/>
      </c>
      <c r="B27" s="12"/>
      <c r="C27" s="12"/>
      <c r="D27" s="61"/>
      <c r="E27" s="61"/>
      <c r="F27" s="13" t="str">
        <f>IFERROR(__xludf.DUMMYFUNCTION("IF(C27&lt;&gt;"""",GOOGLEFINANCE(""NSE:""&amp;C27),"""")"),"")</f>
        <v/>
      </c>
      <c r="G27" s="35" t="str">
        <f t="shared" si="2"/>
        <v/>
      </c>
    </row>
    <row r="28">
      <c r="A28" s="59" t="str">
        <f t="shared" si="1"/>
        <v/>
      </c>
      <c r="B28" s="12"/>
      <c r="C28" s="12"/>
      <c r="D28" s="61"/>
      <c r="E28" s="61"/>
      <c r="F28" s="13" t="str">
        <f>IFERROR(__xludf.DUMMYFUNCTION("IF(C28&lt;&gt;"""",GOOGLEFINANCE(""NSE:""&amp;C28),"""")"),"")</f>
        <v/>
      </c>
      <c r="G28" s="35" t="str">
        <f t="shared" si="2"/>
        <v/>
      </c>
    </row>
    <row r="29">
      <c r="A29" s="59" t="str">
        <f t="shared" si="1"/>
        <v/>
      </c>
      <c r="B29" s="12"/>
      <c r="C29" s="12"/>
      <c r="D29" s="61"/>
      <c r="E29" s="61"/>
      <c r="F29" s="13" t="str">
        <f>IFERROR(__xludf.DUMMYFUNCTION("IF(C29&lt;&gt;"""",GOOGLEFINANCE(""NSE:""&amp;C29),"""")"),"")</f>
        <v/>
      </c>
      <c r="G29" s="35" t="str">
        <f t="shared" si="2"/>
        <v/>
      </c>
    </row>
    <row r="30">
      <c r="A30" s="59" t="str">
        <f t="shared" si="1"/>
        <v/>
      </c>
      <c r="B30" s="12"/>
      <c r="C30" s="12"/>
      <c r="D30" s="61"/>
      <c r="E30" s="61"/>
      <c r="F30" s="13" t="str">
        <f>IFERROR(__xludf.DUMMYFUNCTION("IF(C30&lt;&gt;"""",GOOGLEFINANCE(""NSE:""&amp;C30),"""")"),"")</f>
        <v/>
      </c>
      <c r="G30" s="35" t="str">
        <f t="shared" si="2"/>
        <v/>
      </c>
    </row>
    <row r="31">
      <c r="A31" s="59" t="str">
        <f t="shared" si="1"/>
        <v/>
      </c>
      <c r="B31" s="12"/>
      <c r="C31" s="12"/>
      <c r="D31" s="61"/>
      <c r="E31" s="61"/>
      <c r="F31" s="13" t="str">
        <f>IFERROR(__xludf.DUMMYFUNCTION("IF(C31&lt;&gt;"""",GOOGLEFINANCE(""NSE:""&amp;C31),"""")"),"")</f>
        <v/>
      </c>
      <c r="G31" s="35" t="str">
        <f t="shared" si="2"/>
        <v/>
      </c>
    </row>
    <row r="32">
      <c r="A32" s="59" t="str">
        <f t="shared" si="1"/>
        <v/>
      </c>
      <c r="B32" s="12"/>
      <c r="C32" s="12"/>
      <c r="D32" s="61"/>
      <c r="E32" s="61"/>
      <c r="F32" s="13" t="str">
        <f>IFERROR(__xludf.DUMMYFUNCTION("IF(C32&lt;&gt;"""",GOOGLEFINANCE(""NSE:""&amp;C32),"""")"),"")</f>
        <v/>
      </c>
      <c r="G32" s="35" t="str">
        <f t="shared" si="2"/>
        <v/>
      </c>
    </row>
    <row r="33">
      <c r="A33" s="59" t="str">
        <f t="shared" si="1"/>
        <v/>
      </c>
      <c r="B33" s="12"/>
      <c r="C33" s="12"/>
      <c r="D33" s="61"/>
      <c r="E33" s="61"/>
      <c r="F33" s="13" t="str">
        <f>IFERROR(__xludf.DUMMYFUNCTION("IF(C33&lt;&gt;"""",GOOGLEFINANCE(""NSE:""&amp;C33),"""")"),"")</f>
        <v/>
      </c>
      <c r="G33" s="35" t="str">
        <f t="shared" si="2"/>
        <v/>
      </c>
    </row>
    <row r="34">
      <c r="A34" s="59" t="str">
        <f t="shared" si="1"/>
        <v/>
      </c>
      <c r="B34" s="12"/>
      <c r="C34" s="12"/>
      <c r="D34" s="61"/>
      <c r="E34" s="61"/>
      <c r="F34" s="13" t="str">
        <f>IFERROR(__xludf.DUMMYFUNCTION("IF(C34&lt;&gt;"""",GOOGLEFINANCE(""NSE:""&amp;C34),"""")"),"")</f>
        <v/>
      </c>
      <c r="G34" s="35" t="str">
        <f t="shared" si="2"/>
        <v/>
      </c>
    </row>
    <row r="35">
      <c r="A35" s="59" t="str">
        <f t="shared" si="1"/>
        <v/>
      </c>
      <c r="B35" s="12"/>
      <c r="C35" s="12"/>
      <c r="D35" s="61"/>
      <c r="E35" s="61"/>
      <c r="F35" s="13" t="str">
        <f>IFERROR(__xludf.DUMMYFUNCTION("IF(C35&lt;&gt;"""",GOOGLEFINANCE(""NSE:""&amp;C35),"""")"),"")</f>
        <v/>
      </c>
      <c r="G35" s="35" t="str">
        <f t="shared" si="2"/>
        <v/>
      </c>
    </row>
    <row r="36">
      <c r="A36" s="59" t="str">
        <f t="shared" si="1"/>
        <v/>
      </c>
      <c r="B36" s="12"/>
      <c r="C36" s="12"/>
      <c r="D36" s="61"/>
      <c r="E36" s="61"/>
      <c r="F36" s="13" t="str">
        <f>IFERROR(__xludf.DUMMYFUNCTION("IF(C36&lt;&gt;"""",GOOGLEFINANCE(""NSE:""&amp;C36),"""")"),"")</f>
        <v/>
      </c>
      <c r="G36" s="35" t="str">
        <f t="shared" si="2"/>
        <v/>
      </c>
    </row>
    <row r="37">
      <c r="A37" s="59" t="str">
        <f t="shared" si="1"/>
        <v/>
      </c>
      <c r="B37" s="12"/>
      <c r="C37" s="12"/>
      <c r="D37" s="61"/>
      <c r="E37" s="61"/>
      <c r="F37" s="13" t="str">
        <f>IFERROR(__xludf.DUMMYFUNCTION("IF(C37&lt;&gt;"""",GOOGLEFINANCE(""NSE:""&amp;C37),"""")"),"")</f>
        <v/>
      </c>
      <c r="G37" s="35" t="str">
        <f t="shared" si="2"/>
        <v/>
      </c>
    </row>
    <row r="38">
      <c r="A38" s="59" t="str">
        <f t="shared" si="1"/>
        <v/>
      </c>
      <c r="B38" s="12"/>
      <c r="C38" s="12"/>
      <c r="D38" s="61"/>
      <c r="E38" s="61"/>
      <c r="F38" s="13" t="str">
        <f>IFERROR(__xludf.DUMMYFUNCTION("IF(C38&lt;&gt;"""",GOOGLEFINANCE(""NSE:""&amp;C38),"""")"),"")</f>
        <v/>
      </c>
      <c r="G38" s="35" t="str">
        <f t="shared" si="2"/>
        <v/>
      </c>
    </row>
    <row r="39">
      <c r="A39" s="59" t="str">
        <f t="shared" si="1"/>
        <v/>
      </c>
      <c r="B39" s="12"/>
      <c r="C39" s="12"/>
      <c r="D39" s="61"/>
      <c r="E39" s="61"/>
      <c r="F39" s="13" t="str">
        <f>IFERROR(__xludf.DUMMYFUNCTION("IF(C39&lt;&gt;"""",GOOGLEFINANCE(""NSE:""&amp;C39),"""")"),"")</f>
        <v/>
      </c>
      <c r="G39" s="35" t="str">
        <f t="shared" si="2"/>
        <v/>
      </c>
    </row>
    <row r="40">
      <c r="A40" s="59" t="str">
        <f t="shared" si="1"/>
        <v/>
      </c>
      <c r="B40" s="12"/>
      <c r="C40" s="12"/>
      <c r="D40" s="61"/>
      <c r="E40" s="61"/>
      <c r="F40" s="13" t="str">
        <f>IFERROR(__xludf.DUMMYFUNCTION("IF(C40&lt;&gt;"""",GOOGLEFINANCE(""NSE:""&amp;C40),"""")"),"")</f>
        <v/>
      </c>
      <c r="G40" s="35" t="str">
        <f t="shared" si="2"/>
        <v/>
      </c>
    </row>
    <row r="41">
      <c r="A41" s="59" t="str">
        <f t="shared" si="1"/>
        <v/>
      </c>
      <c r="B41" s="12"/>
      <c r="C41" s="12"/>
      <c r="D41" s="61"/>
      <c r="E41" s="61"/>
      <c r="F41" s="13" t="str">
        <f>IFERROR(__xludf.DUMMYFUNCTION("IF(C41&lt;&gt;"""",GOOGLEFINANCE(""NSE:""&amp;C41),"""")"),"")</f>
        <v/>
      </c>
      <c r="G41" s="35" t="str">
        <f t="shared" si="2"/>
        <v/>
      </c>
    </row>
    <row r="42">
      <c r="A42" s="59" t="str">
        <f t="shared" si="1"/>
        <v/>
      </c>
      <c r="B42" s="12"/>
      <c r="C42" s="12"/>
      <c r="D42" s="61"/>
      <c r="E42" s="61"/>
      <c r="F42" s="13" t="str">
        <f>IFERROR(__xludf.DUMMYFUNCTION("IF(C42&lt;&gt;"""",GOOGLEFINANCE(""NSE:""&amp;C42),"""")"),"")</f>
        <v/>
      </c>
      <c r="G42" s="35" t="str">
        <f t="shared" si="2"/>
        <v/>
      </c>
    </row>
    <row r="43">
      <c r="A43" s="59" t="str">
        <f t="shared" si="1"/>
        <v/>
      </c>
      <c r="B43" s="12"/>
      <c r="C43" s="12"/>
      <c r="D43" s="61"/>
      <c r="E43" s="61"/>
      <c r="F43" s="13" t="str">
        <f>IFERROR(__xludf.DUMMYFUNCTION("IF(C43&lt;&gt;"""",GOOGLEFINANCE(""NSE:""&amp;C43),"""")"),"")</f>
        <v/>
      </c>
      <c r="G43" s="35" t="str">
        <f t="shared" si="2"/>
        <v/>
      </c>
    </row>
    <row r="44">
      <c r="A44" s="59" t="str">
        <f t="shared" si="1"/>
        <v/>
      </c>
      <c r="B44" s="12"/>
      <c r="C44" s="12"/>
      <c r="D44" s="61"/>
      <c r="E44" s="61"/>
      <c r="F44" s="13" t="str">
        <f>IFERROR(__xludf.DUMMYFUNCTION("IF(C44&lt;&gt;"""",GOOGLEFINANCE(""NSE:""&amp;C44),"""")"),"")</f>
        <v/>
      </c>
      <c r="G44" s="35" t="str">
        <f t="shared" si="2"/>
        <v/>
      </c>
    </row>
    <row r="45">
      <c r="A45" s="59" t="str">
        <f t="shared" si="1"/>
        <v/>
      </c>
      <c r="B45" s="12"/>
      <c r="C45" s="12"/>
      <c r="D45" s="61"/>
      <c r="E45" s="61"/>
      <c r="F45" s="13" t="str">
        <f>IFERROR(__xludf.DUMMYFUNCTION("IF(C45&lt;&gt;"""",GOOGLEFINANCE(""NSE:""&amp;C45),"""")"),"")</f>
        <v/>
      </c>
      <c r="G45" s="35" t="str">
        <f t="shared" si="2"/>
        <v/>
      </c>
    </row>
    <row r="46">
      <c r="A46" s="59" t="str">
        <f t="shared" si="1"/>
        <v/>
      </c>
      <c r="B46" s="12"/>
      <c r="C46" s="12"/>
      <c r="D46" s="61"/>
      <c r="E46" s="61"/>
      <c r="F46" s="13" t="str">
        <f>IFERROR(__xludf.DUMMYFUNCTION("IF(C46&lt;&gt;"""",GOOGLEFINANCE(""NSE:""&amp;C46),"""")"),"")</f>
        <v/>
      </c>
      <c r="G46" s="35" t="str">
        <f t="shared" si="2"/>
        <v/>
      </c>
    </row>
    <row r="47">
      <c r="A47" s="59" t="str">
        <f t="shared" si="1"/>
        <v/>
      </c>
      <c r="B47" s="12"/>
      <c r="C47" s="12"/>
      <c r="D47" s="61"/>
      <c r="E47" s="61"/>
      <c r="F47" s="13" t="str">
        <f>IFERROR(__xludf.DUMMYFUNCTION("IF(C47&lt;&gt;"""",GOOGLEFINANCE(""NSE:""&amp;C47),"""")"),"")</f>
        <v/>
      </c>
      <c r="G47" s="35" t="str">
        <f t="shared" si="2"/>
        <v/>
      </c>
    </row>
    <row r="48">
      <c r="A48" s="59" t="str">
        <f t="shared" si="1"/>
        <v/>
      </c>
      <c r="B48" s="12"/>
      <c r="C48" s="12"/>
      <c r="D48" s="61"/>
      <c r="E48" s="61"/>
      <c r="F48" s="13" t="str">
        <f>IFERROR(__xludf.DUMMYFUNCTION("IF(C48&lt;&gt;"""",GOOGLEFINANCE(""NSE:""&amp;C48),"""")"),"")</f>
        <v/>
      </c>
      <c r="G48" s="35" t="str">
        <f t="shared" si="2"/>
        <v/>
      </c>
    </row>
    <row r="49">
      <c r="A49" s="59" t="str">
        <f t="shared" si="1"/>
        <v/>
      </c>
      <c r="B49" s="12"/>
      <c r="C49" s="12"/>
      <c r="D49" s="61"/>
      <c r="E49" s="61"/>
      <c r="F49" s="13" t="str">
        <f>IFERROR(__xludf.DUMMYFUNCTION("IF(C49&lt;&gt;"""",GOOGLEFINANCE(""NSE:""&amp;C49),"""")"),"")</f>
        <v/>
      </c>
      <c r="G49" s="35" t="str">
        <f t="shared" si="2"/>
        <v/>
      </c>
    </row>
    <row r="50">
      <c r="A50" s="59" t="str">
        <f t="shared" si="1"/>
        <v/>
      </c>
      <c r="B50" s="12"/>
      <c r="C50" s="12"/>
      <c r="D50" s="61"/>
      <c r="E50" s="61"/>
      <c r="F50" s="13" t="str">
        <f>IFERROR(__xludf.DUMMYFUNCTION("IF(C50&lt;&gt;"""",GOOGLEFINANCE(""NSE:""&amp;C50),"""")"),"")</f>
        <v/>
      </c>
      <c r="G50" s="35" t="str">
        <f t="shared" si="2"/>
        <v/>
      </c>
    </row>
    <row r="51">
      <c r="A51" s="59" t="str">
        <f t="shared" si="1"/>
        <v/>
      </c>
      <c r="B51" s="12"/>
      <c r="C51" s="12"/>
      <c r="D51" s="61"/>
      <c r="E51" s="61"/>
      <c r="F51" s="13" t="str">
        <f>IFERROR(__xludf.DUMMYFUNCTION("IF(C51&lt;&gt;"""",GOOGLEFINANCE(""NSE:""&amp;C51),"""")"),"")</f>
        <v/>
      </c>
      <c r="G51" s="35" t="str">
        <f t="shared" si="2"/>
        <v/>
      </c>
    </row>
    <row r="52">
      <c r="A52" s="59" t="str">
        <f t="shared" si="1"/>
        <v/>
      </c>
      <c r="B52" s="12"/>
      <c r="C52" s="12"/>
      <c r="D52" s="61"/>
      <c r="E52" s="61"/>
      <c r="F52" s="13" t="str">
        <f>IFERROR(__xludf.DUMMYFUNCTION("IF(C52&lt;&gt;"""",GOOGLEFINANCE(""NSE:""&amp;C52),"""")"),"")</f>
        <v/>
      </c>
      <c r="G52" s="35" t="str">
        <f t="shared" si="2"/>
        <v/>
      </c>
    </row>
    <row r="53">
      <c r="A53" s="59" t="str">
        <f t="shared" si="1"/>
        <v/>
      </c>
      <c r="B53" s="12"/>
      <c r="C53" s="12"/>
      <c r="D53" s="13"/>
      <c r="E53" s="13"/>
      <c r="F53" s="13" t="str">
        <f>IFERROR(__xludf.DUMMYFUNCTION("IF(C53&lt;&gt;"""",GOOGLEFINANCE(""NSE:""&amp;C53),"""")"),"")</f>
        <v/>
      </c>
      <c r="G53" s="35" t="str">
        <f t="shared" si="2"/>
        <v/>
      </c>
    </row>
    <row r="54">
      <c r="A54" s="59" t="str">
        <f t="shared" si="1"/>
        <v/>
      </c>
      <c r="B54" s="12"/>
      <c r="C54" s="12"/>
      <c r="D54" s="13"/>
      <c r="E54" s="13"/>
      <c r="F54" s="13" t="str">
        <f>IFERROR(__xludf.DUMMYFUNCTION("IF(C54&lt;&gt;"""",GOOGLEFINANCE(""NSE:""&amp;C54),"""")"),"")</f>
        <v/>
      </c>
      <c r="G54" s="35" t="str">
        <f t="shared" si="2"/>
        <v/>
      </c>
    </row>
    <row r="55">
      <c r="A55" s="59" t="str">
        <f t="shared" si="1"/>
        <v/>
      </c>
      <c r="B55" s="12"/>
      <c r="C55" s="12"/>
      <c r="D55" s="13"/>
      <c r="E55" s="13"/>
      <c r="F55" s="13" t="str">
        <f>IFERROR(__xludf.DUMMYFUNCTION("IF(C55&lt;&gt;"""",GOOGLEFINANCE(""NSE:""&amp;C55),"""")"),"")</f>
        <v/>
      </c>
      <c r="G55" s="35" t="str">
        <f t="shared" si="2"/>
        <v/>
      </c>
    </row>
    <row r="56">
      <c r="A56" s="59" t="str">
        <f t="shared" si="1"/>
        <v/>
      </c>
      <c r="B56" s="12"/>
      <c r="C56" s="12"/>
      <c r="D56" s="13"/>
      <c r="E56" s="13"/>
      <c r="F56" s="13" t="str">
        <f>IFERROR(__xludf.DUMMYFUNCTION("IF(C56&lt;&gt;"""",GOOGLEFINANCE(""NSE:""&amp;C56),"""")"),"")</f>
        <v/>
      </c>
      <c r="G56" s="35" t="str">
        <f t="shared" si="2"/>
        <v/>
      </c>
    </row>
  </sheetData>
  <mergeCells count="2">
    <mergeCell ref="B1:G1"/>
    <mergeCell ref="B2:G2"/>
  </mergeCells>
  <hyperlinks>
    <hyperlink r:id="rId1" ref="H3"/>
    <hyperlink r:id="rId2" ref="H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5"/>
    <col customWidth="1" min="3" max="3" width="15.5"/>
    <col customWidth="1" min="4" max="4" width="8.38"/>
    <col customWidth="1" min="5" max="5" width="3.5"/>
    <col customWidth="1" min="6" max="6" width="5.25"/>
    <col customWidth="1" min="7" max="7" width="17.38"/>
    <col customWidth="1" min="8" max="8" width="13.63"/>
    <col customWidth="1" min="9" max="9" width="7.0"/>
    <col customWidth="1" min="10" max="10" width="0.5"/>
    <col customWidth="1" min="11" max="11" width="7.63"/>
    <col customWidth="1" min="12" max="12" width="60.75"/>
    <col customWidth="1" min="13" max="19" width="5.63"/>
  </cols>
  <sheetData>
    <row r="1">
      <c r="A1" s="62"/>
      <c r="B1" s="63"/>
      <c r="C1" s="62"/>
      <c r="D1" s="64" t="s">
        <v>43</v>
      </c>
      <c r="E1" s="65"/>
      <c r="F1" s="66"/>
      <c r="G1" s="67" t="s">
        <v>44</v>
      </c>
      <c r="H1" s="68"/>
      <c r="I1" s="62"/>
      <c r="J1" s="62"/>
      <c r="K1" s="69" t="s">
        <v>19</v>
      </c>
      <c r="L1" s="62"/>
      <c r="M1" s="62"/>
      <c r="N1" s="62"/>
      <c r="O1" s="62"/>
      <c r="P1" s="62"/>
      <c r="Q1" s="62"/>
      <c r="R1" s="62"/>
      <c r="S1" s="62"/>
    </row>
    <row r="2">
      <c r="A2" s="62"/>
      <c r="B2" s="62"/>
      <c r="C2" s="70" t="str">
        <f>HYPERLINK("https://www.youtube.com/channel/UCDbfoNplY71wi5e_qiO_szg?view_as=subscriber","SUBSCRIBE")</f>
        <v>SUBSCRIBE</v>
      </c>
      <c r="D2" s="62"/>
      <c r="E2" s="71"/>
      <c r="F2" s="66"/>
      <c r="G2" s="66"/>
      <c r="H2" s="66"/>
      <c r="I2" s="62"/>
      <c r="J2" s="62"/>
      <c r="K2" s="72" t="s">
        <v>20</v>
      </c>
      <c r="L2" s="62"/>
      <c r="M2" s="62"/>
      <c r="N2" s="62"/>
      <c r="O2" s="62"/>
      <c r="P2" s="62"/>
      <c r="Q2" s="62"/>
      <c r="R2" s="62"/>
      <c r="S2" s="62"/>
    </row>
    <row r="3">
      <c r="A3" s="62"/>
      <c r="B3" s="64" t="s">
        <v>17</v>
      </c>
      <c r="C3" s="68"/>
      <c r="D3" s="68"/>
      <c r="F3" s="37" t="s">
        <v>0</v>
      </c>
      <c r="G3" s="38"/>
      <c r="H3" s="73">
        <f>IFERROR(__xludf.DUMMYFUNCTION("GOOGLEFINANCE(""NSE:SBIN"",""TRADETIME"")"),46169.47828703704)</f>
        <v>46169.47829</v>
      </c>
      <c r="I3" s="74"/>
      <c r="J3" s="62"/>
      <c r="K3" s="62"/>
      <c r="L3" s="75" t="s">
        <v>45</v>
      </c>
      <c r="M3" s="62"/>
      <c r="N3" s="62"/>
      <c r="O3" s="62"/>
      <c r="P3" s="62"/>
      <c r="Q3" s="62"/>
      <c r="R3" s="62"/>
      <c r="S3" s="62"/>
    </row>
    <row r="4">
      <c r="A4" s="76"/>
      <c r="B4" s="77">
        <f>IFERROR(__xludf.DUMMYFUNCTION("IMPORTRANGE(""1Eq935J1RaMsby6Uuobr3Dloh1cIw7xMfXbwW5JvgRNU"",""STUDY!H2:J22"")"),6.0)</f>
        <v>6</v>
      </c>
      <c r="C4" s="77" t="str">
        <f>IFERROR(__xludf.DUMMYFUNCTION("""COMPUTED_VALUE"""),"SYMBOL")</f>
        <v>SYMBOL</v>
      </c>
      <c r="D4" s="77" t="str">
        <f>IFERROR(__xludf.DUMMYFUNCTION("""COMPUTED_VALUE"""),"CHART")</f>
        <v>CHART</v>
      </c>
      <c r="E4" s="62"/>
      <c r="F4" s="78">
        <f>IFERROR(__xludf.DUMMYFUNCTION("IMPORTRANGE(""1Eq935J1RaMsby6Uuobr3Dloh1cIw7xMfXbwW5JvgRNU"",""STUDY!L2:N22"")"),3.0)</f>
        <v>3</v>
      </c>
      <c r="G4" s="78" t="str">
        <f>IFERROR(__xludf.DUMMYFUNCTION("""COMPUTED_VALUE"""),"SYMBOL")</f>
        <v>SYMBOL</v>
      </c>
      <c r="H4" s="79" t="str">
        <f>IFERROR(__xludf.DUMMYFUNCTION("""COMPUTED_VALUE"""),"CHART")</f>
        <v>CHART</v>
      </c>
      <c r="I4" s="80"/>
      <c r="J4" s="62"/>
      <c r="K4" s="66"/>
      <c r="L4" s="81" t="s">
        <v>26</v>
      </c>
      <c r="M4" s="62"/>
      <c r="N4" s="82"/>
      <c r="O4" s="62"/>
      <c r="P4" s="62"/>
      <c r="Q4" s="62"/>
      <c r="R4" s="62"/>
      <c r="S4" s="62"/>
    </row>
    <row r="5">
      <c r="A5" s="68"/>
      <c r="B5" s="83">
        <f>IFERROR(__xludf.DUMMYFUNCTION("""COMPUTED_VALUE"""),1.0)</f>
        <v>1</v>
      </c>
      <c r="C5" s="83" t="str">
        <f>IFERROR(__xludf.DUMMYFUNCTION("""COMPUTED_VALUE"""),"BSE")</f>
        <v>BSE</v>
      </c>
      <c r="D5" s="84" t="str">
        <f>IFERROR(__xludf.DUMMYFUNCTION("""COMPUTED_VALUE"""),"CHART")</f>
        <v>CHART</v>
      </c>
      <c r="E5" s="62"/>
      <c r="F5" s="83">
        <f>IFERROR(__xludf.DUMMYFUNCTION("""COMPUTED_VALUE"""),1.0)</f>
        <v>1</v>
      </c>
      <c r="G5" s="85" t="str">
        <f>IFERROR(__xludf.DUMMYFUNCTION("""COMPUTED_VALUE"""),"CONCOR")</f>
        <v>CONCOR</v>
      </c>
      <c r="H5" s="84" t="str">
        <f>IFERROR(__xludf.DUMMYFUNCTION("""COMPUTED_VALUE"""),"CHART")</f>
        <v>CHART</v>
      </c>
      <c r="I5" s="80" t="str">
        <f>IFERROR(__xludf.DUMMYFUNCTION("IF(C5="""","""",IF(GOOGLEFINANCE(""NSE:""&amp;C5)&gt;0.994*GOOGLEFINANCE(""NSE:""&amp;C5,""HIGH""),""X"",""""))"),"")</f>
        <v/>
      </c>
      <c r="J5" s="62"/>
      <c r="K5" s="62"/>
      <c r="L5" s="81" t="s">
        <v>27</v>
      </c>
      <c r="M5" s="62"/>
      <c r="N5" s="62"/>
      <c r="O5" s="62"/>
      <c r="P5" s="71"/>
      <c r="Q5" s="62"/>
      <c r="R5" s="62"/>
      <c r="S5" s="62"/>
    </row>
    <row r="6">
      <c r="A6" s="68"/>
      <c r="B6" s="83">
        <f>IFERROR(__xludf.DUMMYFUNCTION("""COMPUTED_VALUE"""),2.0)</f>
        <v>2</v>
      </c>
      <c r="C6" s="83" t="str">
        <f>IFERROR(__xludf.DUMMYFUNCTION("""COMPUTED_VALUE"""),"BHEL")</f>
        <v>BHEL</v>
      </c>
      <c r="D6" s="84" t="str">
        <f>IFERROR(__xludf.DUMMYFUNCTION("""COMPUTED_VALUE"""),"CHART")</f>
        <v>CHART</v>
      </c>
      <c r="E6" s="62"/>
      <c r="F6" s="83">
        <f>IFERROR(__xludf.DUMMYFUNCTION("""COMPUTED_VALUE"""),2.0)</f>
        <v>2</v>
      </c>
      <c r="G6" s="83" t="str">
        <f>IFERROR(__xludf.DUMMYFUNCTION("""COMPUTED_VALUE"""),"RVNL")</f>
        <v>RVNL</v>
      </c>
      <c r="H6" s="84" t="str">
        <f>IFERROR(__xludf.DUMMYFUNCTION("""COMPUTED_VALUE"""),"CHART")</f>
        <v>CHART</v>
      </c>
      <c r="I6" s="80" t="str">
        <f>IFERROR(__xludf.DUMMYFUNCTION("IF(C6="""","""",IF(GOOGLEFINANCE(""NSE:""&amp;C6)&gt;0.994*GOOGLEFINANCE(""NSE:""&amp;C6,""HIGH""),""X"",""""))"),"")</f>
        <v/>
      </c>
      <c r="J6" s="62"/>
      <c r="K6" s="66"/>
      <c r="L6" s="81" t="s">
        <v>28</v>
      </c>
      <c r="M6" s="62"/>
      <c r="N6" s="62"/>
      <c r="O6" s="62"/>
      <c r="P6" s="71"/>
      <c r="Q6" s="62"/>
      <c r="R6" s="62"/>
      <c r="S6" s="62"/>
    </row>
    <row r="7">
      <c r="A7" s="68"/>
      <c r="B7" s="83">
        <f>IFERROR(__xludf.DUMMYFUNCTION("""COMPUTED_VALUE"""),3.0)</f>
        <v>3</v>
      </c>
      <c r="C7" s="83" t="str">
        <f>IFERROR(__xludf.DUMMYFUNCTION("""COMPUTED_VALUE"""),"IDEA")</f>
        <v>IDEA</v>
      </c>
      <c r="D7" s="84" t="str">
        <f>IFERROR(__xludf.DUMMYFUNCTION("""COMPUTED_VALUE"""),"CHART")</f>
        <v>CHART</v>
      </c>
      <c r="E7" s="62"/>
      <c r="F7" s="83">
        <f>IFERROR(__xludf.DUMMYFUNCTION("""COMPUTED_VALUE"""),3.0)</f>
        <v>3</v>
      </c>
      <c r="G7" s="83" t="str">
        <f>IFERROR(__xludf.DUMMYFUNCTION("""COMPUTED_VALUE"""),"DMART")</f>
        <v>DMART</v>
      </c>
      <c r="H7" s="84" t="str">
        <f>IFERROR(__xludf.DUMMYFUNCTION("""COMPUTED_VALUE"""),"CHART")</f>
        <v>CHART</v>
      </c>
      <c r="I7" s="80" t="str">
        <f>IFERROR(__xludf.DUMMYFUNCTION("IF(C7="""","""",IF(GOOGLEFINANCE(""NSE:""&amp;C7)&gt;0.994*GOOGLEFINANCE(""NSE:""&amp;C7,""HIGH""),""X"",""""))"),"X")</f>
        <v>X</v>
      </c>
      <c r="J7" s="62"/>
      <c r="K7" s="62"/>
      <c r="L7" s="81" t="s">
        <v>29</v>
      </c>
      <c r="M7" s="62"/>
      <c r="N7" s="62"/>
      <c r="O7" s="62"/>
      <c r="P7" s="71"/>
      <c r="Q7" s="62"/>
      <c r="R7" s="62"/>
      <c r="S7" s="62"/>
    </row>
    <row r="8">
      <c r="A8" s="68"/>
      <c r="B8" s="83">
        <f>IFERROR(__xludf.DUMMYFUNCTION("""COMPUTED_VALUE"""),4.0)</f>
        <v>4</v>
      </c>
      <c r="C8" s="83" t="str">
        <f>IFERROR(__xludf.DUMMYFUNCTION("""COMPUTED_VALUE"""),"LAURUSLABS")</f>
        <v>LAURUSLABS</v>
      </c>
      <c r="D8" s="84" t="str">
        <f>IFERROR(__xludf.DUMMYFUNCTION("""COMPUTED_VALUE"""),"CHART")</f>
        <v>CHART</v>
      </c>
      <c r="E8" s="62"/>
      <c r="F8" s="83" t="str">
        <f>IFERROR(__xludf.DUMMYFUNCTION("""COMPUTED_VALUE"""),"")</f>
        <v/>
      </c>
      <c r="G8" s="83" t="str">
        <f>IFERROR(__xludf.DUMMYFUNCTION("""COMPUTED_VALUE"""),"")</f>
        <v/>
      </c>
      <c r="H8" s="86" t="str">
        <f>IFERROR(__xludf.DUMMYFUNCTION("""COMPUTED_VALUE"""),"")</f>
        <v/>
      </c>
      <c r="I8" s="80" t="str">
        <f>IFERROR(__xludf.DUMMYFUNCTION("IF(C8="""","""",IF(GOOGLEFINANCE(""NSE:""&amp;C8)&gt;0.994*GOOGLEFINANCE(""NSE:""&amp;C8,""HIGH""),""X"",""""))"),"X")</f>
        <v>X</v>
      </c>
      <c r="J8" s="62"/>
      <c r="K8" s="62"/>
      <c r="L8" s="87" t="s">
        <v>33</v>
      </c>
      <c r="M8" s="62"/>
      <c r="N8" s="62"/>
      <c r="O8" s="62"/>
      <c r="P8" s="71"/>
      <c r="Q8" s="62"/>
      <c r="R8" s="62"/>
      <c r="S8" s="62"/>
    </row>
    <row r="9">
      <c r="A9" s="68"/>
      <c r="B9" s="83">
        <f>IFERROR(__xludf.DUMMYFUNCTION("""COMPUTED_VALUE"""),5.0)</f>
        <v>5</v>
      </c>
      <c r="C9" s="83" t="str">
        <f>IFERROR(__xludf.DUMMYFUNCTION("""COMPUTED_VALUE"""),"PNBHOUSING")</f>
        <v>PNBHOUSING</v>
      </c>
      <c r="D9" s="84" t="str">
        <f>IFERROR(__xludf.DUMMYFUNCTION("""COMPUTED_VALUE"""),"CHART")</f>
        <v>CHART</v>
      </c>
      <c r="E9" s="62"/>
      <c r="F9" s="83" t="str">
        <f>IFERROR(__xludf.DUMMYFUNCTION("""COMPUTED_VALUE"""),"")</f>
        <v/>
      </c>
      <c r="G9" s="83" t="str">
        <f>IFERROR(__xludf.DUMMYFUNCTION("""COMPUTED_VALUE"""),"")</f>
        <v/>
      </c>
      <c r="H9" s="86" t="str">
        <f>IFERROR(__xludf.DUMMYFUNCTION("""COMPUTED_VALUE"""),"")</f>
        <v/>
      </c>
      <c r="I9" s="80" t="str">
        <f>IFERROR(__xludf.DUMMYFUNCTION("IF(C9="""","""",IF(GOOGLEFINANCE(""NSE:""&amp;C9)&gt;0.994*GOOGLEFINANCE(""NSE:""&amp;C9,""HIGH""),""X"",""""))"),"")</f>
        <v/>
      </c>
      <c r="J9" s="62"/>
      <c r="K9" s="62"/>
      <c r="L9" s="88" t="s">
        <v>34</v>
      </c>
      <c r="M9" s="62"/>
      <c r="N9" s="62"/>
      <c r="O9" s="62"/>
      <c r="P9" s="71"/>
      <c r="Q9" s="62"/>
      <c r="R9" s="62"/>
      <c r="S9" s="62"/>
    </row>
    <row r="10">
      <c r="A10" s="68"/>
      <c r="B10" s="83">
        <f>IFERROR(__xludf.DUMMYFUNCTION("""COMPUTED_VALUE"""),6.0)</f>
        <v>6</v>
      </c>
      <c r="C10" s="83" t="str">
        <f>IFERROR(__xludf.DUMMYFUNCTION("""COMPUTED_VALUE"""),"GVT&amp;D")</f>
        <v>GVT&amp;D</v>
      </c>
      <c r="D10" s="84" t="str">
        <f>IFERROR(__xludf.DUMMYFUNCTION("""COMPUTED_VALUE"""),"CHART")</f>
        <v>CHART</v>
      </c>
      <c r="E10" s="62"/>
      <c r="F10" s="83" t="str">
        <f>IFERROR(__xludf.DUMMYFUNCTION("""COMPUTED_VALUE"""),"")</f>
        <v/>
      </c>
      <c r="G10" s="83" t="str">
        <f>IFERROR(__xludf.DUMMYFUNCTION("""COMPUTED_VALUE"""),"")</f>
        <v/>
      </c>
      <c r="H10" s="86" t="str">
        <f>IFERROR(__xludf.DUMMYFUNCTION("""COMPUTED_VALUE"""),"")</f>
        <v/>
      </c>
      <c r="I10" s="80" t="str">
        <f>IFERROR(__xludf.DUMMYFUNCTION("IF(C10="""","""",IF(GOOGLEFINANCE(""NSE:""&amp;C10)&gt;0.994*GOOGLEFINANCE(""NSE:""&amp;C10,""HIGH""),""X"",""""))"),"")</f>
        <v/>
      </c>
      <c r="J10" s="62"/>
      <c r="K10" s="66"/>
      <c r="L10" s="88" t="s">
        <v>35</v>
      </c>
      <c r="M10" s="62"/>
      <c r="N10" s="62"/>
      <c r="O10" s="62"/>
      <c r="P10" s="71"/>
      <c r="Q10" s="62"/>
      <c r="R10" s="62"/>
      <c r="S10" s="62"/>
    </row>
    <row r="11">
      <c r="A11" s="68"/>
      <c r="B11" s="83" t="str">
        <f>IFERROR(__xludf.DUMMYFUNCTION("""COMPUTED_VALUE"""),"")</f>
        <v/>
      </c>
      <c r="C11" s="83" t="str">
        <f>IFERROR(__xludf.DUMMYFUNCTION("""COMPUTED_VALUE"""),"")</f>
        <v/>
      </c>
      <c r="D11" s="86" t="str">
        <f>IFERROR(__xludf.DUMMYFUNCTION("""COMPUTED_VALUE"""),"")</f>
        <v/>
      </c>
      <c r="E11" s="62"/>
      <c r="F11" s="83" t="str">
        <f>IFERROR(__xludf.DUMMYFUNCTION("""COMPUTED_VALUE"""),"")</f>
        <v/>
      </c>
      <c r="G11" s="83" t="str">
        <f>IFERROR(__xludf.DUMMYFUNCTION("""COMPUTED_VALUE"""),"")</f>
        <v/>
      </c>
      <c r="H11" s="86" t="str">
        <f>IFERROR(__xludf.DUMMYFUNCTION("""COMPUTED_VALUE"""),"")</f>
        <v/>
      </c>
      <c r="I11" s="80" t="str">
        <f>IFERROR(__xludf.DUMMYFUNCTION("IF(C11="""","""",IF(GOOGLEFINANCE(""NSE:""&amp;C11)&gt;0.994*GOOGLEFINANCE(""NSE:""&amp;C11,""HIGH""),""X"",""""))"),"")</f>
        <v/>
      </c>
      <c r="J11" s="62"/>
      <c r="K11" s="62"/>
      <c r="L11" s="88" t="s">
        <v>2</v>
      </c>
      <c r="M11" s="62"/>
      <c r="N11" s="62"/>
      <c r="O11" s="62"/>
      <c r="P11" s="71"/>
      <c r="Q11" s="62"/>
      <c r="R11" s="62"/>
      <c r="S11" s="62"/>
    </row>
    <row r="12">
      <c r="A12" s="68"/>
      <c r="B12" s="83" t="str">
        <f>IFERROR(__xludf.DUMMYFUNCTION("""COMPUTED_VALUE"""),"")</f>
        <v/>
      </c>
      <c r="C12" s="83" t="str">
        <f>IFERROR(__xludf.DUMMYFUNCTION("""COMPUTED_VALUE"""),"")</f>
        <v/>
      </c>
      <c r="D12" s="86" t="str">
        <f>IFERROR(__xludf.DUMMYFUNCTION("""COMPUTED_VALUE"""),"")</f>
        <v/>
      </c>
      <c r="E12" s="62"/>
      <c r="F12" s="83" t="str">
        <f>IFERROR(__xludf.DUMMYFUNCTION("""COMPUTED_VALUE"""),"")</f>
        <v/>
      </c>
      <c r="G12" s="83" t="str">
        <f>IFERROR(__xludf.DUMMYFUNCTION("""COMPUTED_VALUE"""),"")</f>
        <v/>
      </c>
      <c r="H12" s="86" t="str">
        <f>IFERROR(__xludf.DUMMYFUNCTION("""COMPUTED_VALUE"""),"")</f>
        <v/>
      </c>
      <c r="I12" s="80" t="str">
        <f>IFERROR(__xludf.DUMMYFUNCTION("IF(C12="""","""",IF(GOOGLEFINANCE(""NSE:""&amp;C12)&gt;0.994*GOOGLEFINANCE(""NSE:""&amp;C12,""HIGH""),""X"",""""))"),"")</f>
        <v/>
      </c>
      <c r="J12" s="62"/>
      <c r="K12" s="62"/>
      <c r="L12" s="88" t="s">
        <v>3</v>
      </c>
      <c r="M12" s="62"/>
      <c r="N12" s="62"/>
      <c r="O12" s="62"/>
      <c r="P12" s="71"/>
      <c r="Q12" s="62"/>
      <c r="R12" s="62"/>
      <c r="S12" s="62"/>
    </row>
    <row r="13">
      <c r="A13" s="68"/>
      <c r="B13" s="83" t="str">
        <f>IFERROR(__xludf.DUMMYFUNCTION("""COMPUTED_VALUE"""),"")</f>
        <v/>
      </c>
      <c r="C13" s="83" t="str">
        <f>IFERROR(__xludf.DUMMYFUNCTION("""COMPUTED_VALUE"""),"")</f>
        <v/>
      </c>
      <c r="D13" s="86" t="str">
        <f>IFERROR(__xludf.DUMMYFUNCTION("""COMPUTED_VALUE"""),"")</f>
        <v/>
      </c>
      <c r="E13" s="62"/>
      <c r="F13" s="83" t="str">
        <f>IFERROR(__xludf.DUMMYFUNCTION("""COMPUTED_VALUE"""),"")</f>
        <v/>
      </c>
      <c r="G13" s="83" t="str">
        <f>IFERROR(__xludf.DUMMYFUNCTION("""COMPUTED_VALUE"""),"")</f>
        <v/>
      </c>
      <c r="H13" s="86" t="str">
        <f>IFERROR(__xludf.DUMMYFUNCTION("""COMPUTED_VALUE"""),"")</f>
        <v/>
      </c>
      <c r="I13" s="80" t="str">
        <f>IFERROR(__xludf.DUMMYFUNCTION("IF(C13="""","""",IF(GOOGLEFINANCE(""NSE:""&amp;C13)&gt;0.994*GOOGLEFINANCE(""NSE:""&amp;C13,""HIGH""),""X"",""""))"),"")</f>
        <v/>
      </c>
      <c r="J13" s="62"/>
      <c r="L13" s="62"/>
      <c r="M13" s="62"/>
      <c r="N13" s="62"/>
      <c r="O13" s="62"/>
      <c r="P13" s="71"/>
      <c r="Q13" s="62"/>
      <c r="R13" s="62"/>
      <c r="S13" s="62"/>
    </row>
    <row r="14">
      <c r="A14" s="68"/>
      <c r="B14" s="83" t="str">
        <f>IFERROR(__xludf.DUMMYFUNCTION("""COMPUTED_VALUE"""),"")</f>
        <v/>
      </c>
      <c r="C14" s="83" t="str">
        <f>IFERROR(__xludf.DUMMYFUNCTION("""COMPUTED_VALUE"""),"")</f>
        <v/>
      </c>
      <c r="D14" s="86" t="str">
        <f>IFERROR(__xludf.DUMMYFUNCTION("""COMPUTED_VALUE"""),"")</f>
        <v/>
      </c>
      <c r="E14" s="62"/>
      <c r="F14" s="83" t="str">
        <f>IFERROR(__xludf.DUMMYFUNCTION("""COMPUTED_VALUE"""),"")</f>
        <v/>
      </c>
      <c r="G14" s="83" t="str">
        <f>IFERROR(__xludf.DUMMYFUNCTION("""COMPUTED_VALUE"""),"")</f>
        <v/>
      </c>
      <c r="H14" s="86" t="str">
        <f>IFERROR(__xludf.DUMMYFUNCTION("""COMPUTED_VALUE"""),"")</f>
        <v/>
      </c>
      <c r="I14" s="80" t="str">
        <f>IFERROR(__xludf.DUMMYFUNCTION("IF(C14="""","""",IF(GOOGLEFINANCE(""NSE:""&amp;C14)&gt;0.994*GOOGLEFINANCE(""NSE:""&amp;C14,""HIGH""),""X"",""""))"),"")</f>
        <v/>
      </c>
      <c r="J14" s="62"/>
      <c r="L14" s="66" t="s">
        <v>6</v>
      </c>
      <c r="M14" s="62"/>
      <c r="N14" s="62"/>
      <c r="O14" s="62"/>
      <c r="P14" s="62"/>
      <c r="Q14" s="62"/>
      <c r="R14" s="62"/>
      <c r="S14" s="62"/>
    </row>
    <row r="15">
      <c r="A15" s="68"/>
      <c r="B15" s="83" t="str">
        <f>IFERROR(__xludf.DUMMYFUNCTION("""COMPUTED_VALUE"""),"")</f>
        <v/>
      </c>
      <c r="C15" s="83" t="str">
        <f>IFERROR(__xludf.DUMMYFUNCTION("""COMPUTED_VALUE"""),"")</f>
        <v/>
      </c>
      <c r="D15" s="86" t="str">
        <f>IFERROR(__xludf.DUMMYFUNCTION("""COMPUTED_VALUE"""),"")</f>
        <v/>
      </c>
      <c r="E15" s="62"/>
      <c r="F15" s="83" t="str">
        <f>IFERROR(__xludf.DUMMYFUNCTION("""COMPUTED_VALUE"""),"")</f>
        <v/>
      </c>
      <c r="G15" s="83" t="str">
        <f>IFERROR(__xludf.DUMMYFUNCTION("""COMPUTED_VALUE"""),"")</f>
        <v/>
      </c>
      <c r="H15" s="86" t="str">
        <f>IFERROR(__xludf.DUMMYFUNCTION("""COMPUTED_VALUE"""),"")</f>
        <v/>
      </c>
      <c r="I15" s="80" t="str">
        <f>IFERROR(__xludf.DUMMYFUNCTION("IF(C15="""","""",IF(GOOGLEFINANCE(""NSE:""&amp;C15)&gt;0.994*GOOGLEFINANCE(""NSE:""&amp;C15,""HIGH""),""X"",""""))"),"")</f>
        <v/>
      </c>
      <c r="J15" s="62"/>
      <c r="L15" s="81" t="s">
        <v>7</v>
      </c>
      <c r="M15" s="62"/>
      <c r="N15" s="62"/>
      <c r="O15" s="62"/>
      <c r="P15" s="62"/>
      <c r="Q15" s="62"/>
      <c r="R15" s="62"/>
      <c r="S15" s="62"/>
    </row>
    <row r="16">
      <c r="A16" s="68"/>
      <c r="B16" s="83" t="str">
        <f>IFERROR(__xludf.DUMMYFUNCTION("""COMPUTED_VALUE"""),"")</f>
        <v/>
      </c>
      <c r="C16" s="83" t="str">
        <f>IFERROR(__xludf.DUMMYFUNCTION("""COMPUTED_VALUE"""),"")</f>
        <v/>
      </c>
      <c r="D16" s="86" t="str">
        <f>IFERROR(__xludf.DUMMYFUNCTION("""COMPUTED_VALUE"""),"")</f>
        <v/>
      </c>
      <c r="E16" s="62"/>
      <c r="F16" s="83" t="str">
        <f>IFERROR(__xludf.DUMMYFUNCTION("""COMPUTED_VALUE"""),"")</f>
        <v/>
      </c>
      <c r="G16" s="83" t="str">
        <f>IFERROR(__xludf.DUMMYFUNCTION("""COMPUTED_VALUE"""),"")</f>
        <v/>
      </c>
      <c r="H16" s="86" t="str">
        <f>IFERROR(__xludf.DUMMYFUNCTION("""COMPUTED_VALUE"""),"")</f>
        <v/>
      </c>
      <c r="I16" s="80" t="str">
        <f>IFERROR(__xludf.DUMMYFUNCTION("IF(C16="""","""",IF(GOOGLEFINANCE(""NSE:""&amp;C16)&gt;0.994*GOOGLEFINANCE(""NSE:""&amp;C16,""HIGH""),""X"",""""))"),"")</f>
        <v/>
      </c>
      <c r="J16" s="62"/>
      <c r="L16" s="89" t="s">
        <v>46</v>
      </c>
      <c r="M16" s="62"/>
      <c r="N16" s="62"/>
      <c r="O16" s="62"/>
      <c r="P16" s="62"/>
      <c r="Q16" s="62"/>
      <c r="R16" s="62"/>
      <c r="S16" s="62"/>
    </row>
    <row r="17">
      <c r="A17" s="68"/>
      <c r="B17" s="83" t="str">
        <f>IFERROR(__xludf.DUMMYFUNCTION("""COMPUTED_VALUE"""),"")</f>
        <v/>
      </c>
      <c r="C17" s="83" t="str">
        <f>IFERROR(__xludf.DUMMYFUNCTION("""COMPUTED_VALUE"""),"")</f>
        <v/>
      </c>
      <c r="D17" s="86" t="str">
        <f>IFERROR(__xludf.DUMMYFUNCTION("""COMPUTED_VALUE"""),"")</f>
        <v/>
      </c>
      <c r="E17" s="62"/>
      <c r="F17" s="83" t="str">
        <f>IFERROR(__xludf.DUMMYFUNCTION("""COMPUTED_VALUE"""),"")</f>
        <v/>
      </c>
      <c r="G17" s="83" t="str">
        <f>IFERROR(__xludf.DUMMYFUNCTION("""COMPUTED_VALUE"""),"")</f>
        <v/>
      </c>
      <c r="H17" s="86" t="str">
        <f>IFERROR(__xludf.DUMMYFUNCTION("""COMPUTED_VALUE"""),"")</f>
        <v/>
      </c>
      <c r="I17" s="80" t="str">
        <f>IFERROR(__xludf.DUMMYFUNCTION("IF(C17="""","""",IF(GOOGLEFINANCE(""NSE:""&amp;C17)&gt;0.994*GOOGLEFINANCE(""NSE:""&amp;C17,""HIGH""),""X"",""""))"),"")</f>
        <v/>
      </c>
      <c r="J17" s="62"/>
      <c r="L17" s="81" t="s">
        <v>9</v>
      </c>
      <c r="M17" s="62"/>
      <c r="N17" s="62"/>
      <c r="O17" s="62"/>
      <c r="P17" s="71"/>
      <c r="Q17" s="62"/>
      <c r="R17" s="62"/>
      <c r="S17" s="62"/>
    </row>
    <row r="18">
      <c r="A18" s="68"/>
      <c r="B18" s="83" t="str">
        <f>IFERROR(__xludf.DUMMYFUNCTION("""COMPUTED_VALUE"""),"")</f>
        <v/>
      </c>
      <c r="C18" s="83" t="str">
        <f>IFERROR(__xludf.DUMMYFUNCTION("""COMPUTED_VALUE"""),"")</f>
        <v/>
      </c>
      <c r="D18" s="86" t="str">
        <f>IFERROR(__xludf.DUMMYFUNCTION("""COMPUTED_VALUE"""),"")</f>
        <v/>
      </c>
      <c r="E18" s="62"/>
      <c r="F18" s="83" t="str">
        <f>IFERROR(__xludf.DUMMYFUNCTION("""COMPUTED_VALUE"""),"")</f>
        <v/>
      </c>
      <c r="G18" s="83" t="str">
        <f>IFERROR(__xludf.DUMMYFUNCTION("""COMPUTED_VALUE"""),"")</f>
        <v/>
      </c>
      <c r="H18" s="86" t="str">
        <f>IFERROR(__xludf.DUMMYFUNCTION("""COMPUTED_VALUE"""),"")</f>
        <v/>
      </c>
      <c r="I18" s="80" t="str">
        <f>IFERROR(__xludf.DUMMYFUNCTION("IF(C18="""","""",IF(GOOGLEFINANCE(""NSE:""&amp;C18)&gt;0.994*GOOGLEFINANCE(""NSE:""&amp;C18,""HIGH""),""X"",""""))"),"")</f>
        <v/>
      </c>
      <c r="J18" s="62"/>
      <c r="L18" s="66"/>
      <c r="M18" s="62"/>
      <c r="N18" s="62"/>
      <c r="O18" s="62"/>
      <c r="P18" s="71"/>
      <c r="Q18" s="62"/>
      <c r="R18" s="62"/>
      <c r="S18" s="62"/>
    </row>
    <row r="19">
      <c r="A19" s="68"/>
      <c r="B19" s="83" t="str">
        <f>IFERROR(__xludf.DUMMYFUNCTION("""COMPUTED_VALUE"""),"")</f>
        <v/>
      </c>
      <c r="C19" s="83" t="str">
        <f>IFERROR(__xludf.DUMMYFUNCTION("""COMPUTED_VALUE"""),"")</f>
        <v/>
      </c>
      <c r="D19" s="86" t="str">
        <f>IFERROR(__xludf.DUMMYFUNCTION("""COMPUTED_VALUE"""),"")</f>
        <v/>
      </c>
      <c r="E19" s="62"/>
      <c r="F19" s="83" t="str">
        <f>IFERROR(__xludf.DUMMYFUNCTION("""COMPUTED_VALUE"""),"")</f>
        <v/>
      </c>
      <c r="G19" s="83" t="str">
        <f>IFERROR(__xludf.DUMMYFUNCTION("""COMPUTED_VALUE"""),"")</f>
        <v/>
      </c>
      <c r="H19" s="86" t="str">
        <f>IFERROR(__xludf.DUMMYFUNCTION("""COMPUTED_VALUE"""),"")</f>
        <v/>
      </c>
      <c r="I19" s="80" t="str">
        <f>IFERROR(__xludf.DUMMYFUNCTION("IF(C19="""","""",IF(GOOGLEFINANCE(""NSE:""&amp;C19)&gt;0.994*GOOGLEFINANCE(""NSE:""&amp;C19,""HIGH""),""X"",""""))"),"")</f>
        <v/>
      </c>
      <c r="J19" s="62"/>
      <c r="L19" s="81" t="s">
        <v>37</v>
      </c>
      <c r="M19" s="62"/>
      <c r="N19" s="62"/>
      <c r="O19" s="62"/>
      <c r="P19" s="71"/>
      <c r="Q19" s="62"/>
      <c r="R19" s="62"/>
      <c r="S19" s="62"/>
    </row>
    <row r="20">
      <c r="A20" s="68"/>
      <c r="B20" s="83" t="str">
        <f>IFERROR(__xludf.DUMMYFUNCTION("""COMPUTED_VALUE"""),"")</f>
        <v/>
      </c>
      <c r="C20" s="83" t="str">
        <f>IFERROR(__xludf.DUMMYFUNCTION("""COMPUTED_VALUE"""),"")</f>
        <v/>
      </c>
      <c r="D20" s="86" t="str">
        <f>IFERROR(__xludf.DUMMYFUNCTION("""COMPUTED_VALUE"""),"")</f>
        <v/>
      </c>
      <c r="E20" s="62"/>
      <c r="F20" s="83" t="str">
        <f>IFERROR(__xludf.DUMMYFUNCTION("""COMPUTED_VALUE"""),"")</f>
        <v/>
      </c>
      <c r="G20" s="83" t="str">
        <f>IFERROR(__xludf.DUMMYFUNCTION("""COMPUTED_VALUE"""),"")</f>
        <v/>
      </c>
      <c r="H20" s="86" t="str">
        <f>IFERROR(__xludf.DUMMYFUNCTION("""COMPUTED_VALUE"""),"")</f>
        <v/>
      </c>
      <c r="I20" s="80" t="str">
        <f>IFERROR(__xludf.DUMMYFUNCTION("IF(C20="""","""",IF(GOOGLEFINANCE(""NSE:""&amp;C20)&gt;0.994*GOOGLEFINANCE(""NSE:""&amp;C20,""HIGH""),""X"",""""))"),"")</f>
        <v/>
      </c>
      <c r="J20" s="62"/>
      <c r="L20" s="90" t="s">
        <v>38</v>
      </c>
      <c r="M20" s="62"/>
      <c r="N20" s="62"/>
      <c r="O20" s="62"/>
      <c r="P20" s="71"/>
      <c r="Q20" s="62"/>
      <c r="R20" s="62"/>
      <c r="S20" s="62"/>
    </row>
    <row r="21">
      <c r="A21" s="68"/>
      <c r="B21" s="83" t="str">
        <f>IFERROR(__xludf.DUMMYFUNCTION("""COMPUTED_VALUE"""),"")</f>
        <v/>
      </c>
      <c r="C21" s="83" t="str">
        <f>IFERROR(__xludf.DUMMYFUNCTION("""COMPUTED_VALUE"""),"")</f>
        <v/>
      </c>
      <c r="D21" s="86" t="str">
        <f>IFERROR(__xludf.DUMMYFUNCTION("""COMPUTED_VALUE"""),"")</f>
        <v/>
      </c>
      <c r="E21" s="62"/>
      <c r="F21" s="83" t="str">
        <f>IFERROR(__xludf.DUMMYFUNCTION("""COMPUTED_VALUE"""),"")</f>
        <v/>
      </c>
      <c r="G21" s="83" t="str">
        <f>IFERROR(__xludf.DUMMYFUNCTION("""COMPUTED_VALUE"""),"")</f>
        <v/>
      </c>
      <c r="H21" s="86" t="str">
        <f>IFERROR(__xludf.DUMMYFUNCTION("""COMPUTED_VALUE"""),"")</f>
        <v/>
      </c>
      <c r="I21" s="80" t="str">
        <f>IFERROR(__xludf.DUMMYFUNCTION("IF(C21="""","""",IF(GOOGLEFINANCE(""NSE:""&amp;C21)&gt;0.994*GOOGLEFINANCE(""NSE:""&amp;C21,""HIGH""),""X"",""""))"),"")</f>
        <v/>
      </c>
      <c r="J21" s="62"/>
      <c r="L21" s="62"/>
      <c r="M21" s="62"/>
      <c r="N21" s="62"/>
      <c r="O21" s="62"/>
      <c r="P21" s="71"/>
      <c r="Q21" s="62"/>
      <c r="R21" s="62"/>
      <c r="S21" s="62"/>
    </row>
    <row r="22">
      <c r="A22" s="68"/>
      <c r="B22" s="83" t="str">
        <f>IFERROR(__xludf.DUMMYFUNCTION("""COMPUTED_VALUE"""),"")</f>
        <v/>
      </c>
      <c r="C22" s="83" t="str">
        <f>IFERROR(__xludf.DUMMYFUNCTION("""COMPUTED_VALUE"""),"")</f>
        <v/>
      </c>
      <c r="D22" s="86" t="str">
        <f>IFERROR(__xludf.DUMMYFUNCTION("""COMPUTED_VALUE"""),"")</f>
        <v/>
      </c>
      <c r="E22" s="62"/>
      <c r="F22" s="83" t="str">
        <f>IFERROR(__xludf.DUMMYFUNCTION("""COMPUTED_VALUE"""),"")</f>
        <v/>
      </c>
      <c r="G22" s="83" t="str">
        <f>IFERROR(__xludf.DUMMYFUNCTION("""COMPUTED_VALUE"""),"")</f>
        <v/>
      </c>
      <c r="H22" s="86" t="str">
        <f>IFERROR(__xludf.DUMMYFUNCTION("""COMPUTED_VALUE"""),"")</f>
        <v/>
      </c>
      <c r="I22" s="80" t="str">
        <f>IFERROR(__xludf.DUMMYFUNCTION("IF(C22="""","""",IF(GOOGLEFINANCE(""NSE:""&amp;C22)&gt;0.994*GOOGLEFINANCE(""NSE:""&amp;C22,""HIGH""),""X"",""""))"),"")</f>
        <v/>
      </c>
      <c r="J22" s="62"/>
      <c r="L22" s="81" t="s">
        <v>4</v>
      </c>
      <c r="M22" s="62"/>
      <c r="N22" s="62"/>
      <c r="O22" s="62"/>
      <c r="P22" s="71"/>
      <c r="Q22" s="62"/>
      <c r="R22" s="62"/>
      <c r="S22" s="62"/>
    </row>
    <row r="23">
      <c r="A23" s="68"/>
      <c r="B23" s="83" t="str">
        <f>IFERROR(__xludf.DUMMYFUNCTION("""COMPUTED_VALUE"""),"")</f>
        <v/>
      </c>
      <c r="C23" s="83" t="str">
        <f>IFERROR(__xludf.DUMMYFUNCTION("""COMPUTED_VALUE"""),"")</f>
        <v/>
      </c>
      <c r="D23" s="86" t="str">
        <f>IFERROR(__xludf.DUMMYFUNCTION("""COMPUTED_VALUE"""),"")</f>
        <v/>
      </c>
      <c r="E23" s="62"/>
      <c r="F23" s="83" t="str">
        <f>IFERROR(__xludf.DUMMYFUNCTION("""COMPUTED_VALUE"""),"")</f>
        <v/>
      </c>
      <c r="G23" s="83" t="str">
        <f>IFERROR(__xludf.DUMMYFUNCTION("""COMPUTED_VALUE"""),"")</f>
        <v/>
      </c>
      <c r="H23" s="86" t="str">
        <f>IFERROR(__xludf.DUMMYFUNCTION("""COMPUTED_VALUE"""),"")</f>
        <v/>
      </c>
      <c r="I23" s="80" t="str">
        <f>IFERROR(__xludf.DUMMYFUNCTION("IF(C23="""","""",IF(GOOGLEFINANCE(""NSE:""&amp;C23)&gt;0.994*GOOGLEFINANCE(""NSE:""&amp;C23,""HIGH""),""X"",""""))"),"")</f>
        <v/>
      </c>
      <c r="J23" s="62"/>
      <c r="K23" s="62"/>
      <c r="L23" s="91" t="s">
        <v>5</v>
      </c>
      <c r="M23" s="62"/>
      <c r="N23" s="62"/>
      <c r="O23" s="62"/>
      <c r="P23" s="71"/>
      <c r="Q23" s="62"/>
      <c r="R23" s="62"/>
      <c r="S23" s="62"/>
    </row>
    <row r="24">
      <c r="A24" s="68"/>
      <c r="B24" s="83" t="str">
        <f>IFERROR(__xludf.DUMMYFUNCTION("""COMPUTED_VALUE"""),"")</f>
        <v/>
      </c>
      <c r="C24" s="83" t="str">
        <f>IFERROR(__xludf.DUMMYFUNCTION("""COMPUTED_VALUE"""),"")</f>
        <v/>
      </c>
      <c r="D24" s="86" t="str">
        <f>IFERROR(__xludf.DUMMYFUNCTION("""COMPUTED_VALUE"""),"")</f>
        <v/>
      </c>
      <c r="E24" s="62"/>
      <c r="F24" s="83" t="str">
        <f>IFERROR(__xludf.DUMMYFUNCTION("""COMPUTED_VALUE"""),"")</f>
        <v/>
      </c>
      <c r="G24" s="83" t="str">
        <f>IFERROR(__xludf.DUMMYFUNCTION("""COMPUTED_VALUE"""),"")</f>
        <v/>
      </c>
      <c r="H24" s="86" t="str">
        <f>IFERROR(__xludf.DUMMYFUNCTION("""COMPUTED_VALUE"""),"")</f>
        <v/>
      </c>
      <c r="I24" s="80" t="str">
        <f>IFERROR(__xludf.DUMMYFUNCTION("IF(C24="""","""",IF(GOOGLEFINANCE(""NSE:""&amp;C24)&gt;0.994*GOOGLEFINANCE(""NSE:""&amp;C24,""HIGH""),""X"",""""))"),"")</f>
        <v/>
      </c>
      <c r="J24" s="62"/>
      <c r="L24" s="62"/>
      <c r="M24" s="62"/>
      <c r="N24" s="62"/>
      <c r="O24" s="62"/>
      <c r="P24" s="71"/>
      <c r="Q24" s="62"/>
      <c r="R24" s="62"/>
      <c r="S24" s="62"/>
    </row>
    <row r="25">
      <c r="A25" s="68"/>
      <c r="B25" s="83"/>
      <c r="C25" s="83"/>
      <c r="D25" s="83"/>
      <c r="E25" s="62"/>
      <c r="F25" s="83"/>
      <c r="G25" s="83"/>
      <c r="H25" s="83"/>
      <c r="I25" s="80" t="str">
        <f>IFERROR(__xludf.DUMMYFUNCTION("IF(C25="""","""",IF(GOOGLEFINANCE(""NSE:""&amp;C25)&gt;0.994*GOOGLEFINANCE(""NSE:""&amp;C25,""HIGH""),""X"",""""))"),"")</f>
        <v/>
      </c>
      <c r="J25" s="62"/>
      <c r="M25" s="62"/>
      <c r="N25" s="62"/>
      <c r="O25" s="62"/>
      <c r="P25" s="71"/>
      <c r="Q25" s="62"/>
      <c r="R25" s="62"/>
      <c r="S25" s="62"/>
    </row>
    <row r="26">
      <c r="A26" s="68"/>
      <c r="B26" s="83"/>
      <c r="C26" s="83"/>
      <c r="D26" s="83"/>
      <c r="E26" s="62"/>
      <c r="F26" s="83"/>
      <c r="G26" s="83"/>
      <c r="H26" s="83"/>
      <c r="I26" s="80" t="str">
        <f>IFERROR(__xludf.DUMMYFUNCTION("IF(C26="""","""",IF(GOOGLEFINANCE(""NSE:""&amp;C26)&gt;0.994*GOOGLEFINANCE(""NSE:""&amp;C26,""HIGH""),""X"",""""))"),"")</f>
        <v/>
      </c>
      <c r="J26" s="62"/>
      <c r="L26" s="62"/>
      <c r="M26" s="62"/>
      <c r="N26" s="62"/>
      <c r="O26" s="62"/>
      <c r="P26" s="71"/>
      <c r="Q26" s="62"/>
      <c r="R26" s="62"/>
      <c r="S26" s="62"/>
    </row>
    <row r="27">
      <c r="A27" s="68"/>
      <c r="B27" s="83"/>
      <c r="C27" s="83"/>
      <c r="D27" s="83"/>
      <c r="E27" s="62"/>
      <c r="F27" s="83"/>
      <c r="G27" s="83"/>
      <c r="H27" s="83"/>
      <c r="I27" s="80" t="str">
        <f>IFERROR(__xludf.DUMMYFUNCTION("IF(C27="""","""",IF(GOOGLEFINANCE(""NSE:""&amp;C27)&gt;0.994*GOOGLEFINANCE(""NSE:""&amp;C27,""HIGH""),""X"",""""))"),"")</f>
        <v/>
      </c>
      <c r="J27" s="62"/>
      <c r="L27" s="62"/>
      <c r="M27" s="62"/>
      <c r="N27" s="62"/>
      <c r="O27" s="62"/>
      <c r="P27" s="71"/>
      <c r="Q27" s="62"/>
      <c r="R27" s="62"/>
      <c r="S27" s="62"/>
    </row>
    <row r="28">
      <c r="A28" s="68"/>
      <c r="B28" s="83"/>
      <c r="C28" s="83"/>
      <c r="D28" s="83"/>
      <c r="E28" s="62"/>
      <c r="F28" s="83"/>
      <c r="G28" s="83"/>
      <c r="H28" s="83"/>
      <c r="I28" s="80" t="str">
        <f>IFERROR(__xludf.DUMMYFUNCTION("IF(C28="""","""",IF(GOOGLEFINANCE(""NSE:""&amp;C28)&gt;0.994*GOOGLEFINANCE(""NSE:""&amp;C28,""HIGH""),""X"",""""))"),"")</f>
        <v/>
      </c>
      <c r="J28" s="62"/>
      <c r="L28" s="62"/>
      <c r="M28" s="62"/>
      <c r="N28" s="62"/>
      <c r="O28" s="62"/>
      <c r="P28" s="71"/>
      <c r="Q28" s="62"/>
      <c r="R28" s="62"/>
      <c r="S28" s="62"/>
    </row>
    <row r="29">
      <c r="A29" s="68"/>
      <c r="B29" s="83"/>
      <c r="C29" s="83"/>
      <c r="D29" s="83"/>
      <c r="E29" s="62"/>
      <c r="F29" s="83"/>
      <c r="G29" s="83"/>
      <c r="H29" s="83"/>
      <c r="I29" s="80" t="str">
        <f>IFERROR(__xludf.DUMMYFUNCTION("IF(C29="""","""",IF(GOOGLEFINANCE(""NSE:""&amp;C29)&gt;0.994*GOOGLEFINANCE(""NSE:""&amp;C29,""HIGH""),""X"",""""))"),"")</f>
        <v/>
      </c>
      <c r="J29" s="62"/>
      <c r="L29" s="62"/>
      <c r="M29" s="62"/>
      <c r="N29" s="62"/>
      <c r="O29" s="62"/>
      <c r="P29" s="71"/>
      <c r="Q29" s="62"/>
      <c r="R29" s="62"/>
      <c r="S29" s="62"/>
    </row>
    <row r="30">
      <c r="I30" s="62"/>
      <c r="J30" s="62"/>
      <c r="L30" s="62"/>
      <c r="M30" s="62"/>
      <c r="N30" s="62"/>
      <c r="O30" s="62"/>
      <c r="P30" s="71"/>
      <c r="Q30" s="62"/>
      <c r="R30" s="62"/>
      <c r="S30" s="62"/>
    </row>
    <row r="31">
      <c r="I31" s="62"/>
      <c r="J31" s="62"/>
      <c r="L31" s="62"/>
      <c r="M31" s="62"/>
      <c r="N31" s="62"/>
      <c r="O31" s="62"/>
      <c r="P31" s="71"/>
      <c r="Q31" s="62"/>
      <c r="R31" s="62"/>
      <c r="S31" s="62"/>
    </row>
    <row r="32">
      <c r="I32" s="62"/>
      <c r="J32" s="62"/>
      <c r="L32" s="62"/>
      <c r="M32" s="62"/>
      <c r="N32" s="62"/>
      <c r="O32" s="62"/>
      <c r="P32" s="71"/>
      <c r="Q32" s="62"/>
      <c r="R32" s="62"/>
      <c r="S32" s="62"/>
    </row>
    <row r="33">
      <c r="I33" s="62"/>
      <c r="J33" s="62"/>
      <c r="L33" s="62"/>
      <c r="M33" s="62"/>
      <c r="N33" s="62"/>
      <c r="O33" s="62"/>
      <c r="P33" s="71"/>
      <c r="Q33" s="62"/>
      <c r="R33" s="62"/>
      <c r="S33" s="62"/>
    </row>
    <row r="34"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</row>
    <row r="35"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</row>
    <row r="36"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</row>
    <row r="37"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</row>
    <row r="38"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</row>
    <row r="39"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</row>
    <row r="40"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</row>
    <row r="41"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</row>
    <row r="42"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</row>
    <row r="43"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</row>
    <row r="44"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</row>
    <row r="45"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</row>
    <row r="46"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</row>
    <row r="47"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</row>
    <row r="48"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</row>
    <row r="49"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</row>
    <row r="50"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</row>
    <row r="51"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  <row r="52"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</row>
    <row r="53"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</row>
    <row r="54"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</row>
    <row r="55"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</row>
    <row r="56"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</row>
    <row r="57"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</row>
    <row r="58"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</row>
    <row r="59"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</row>
  </sheetData>
  <mergeCells count="1">
    <mergeCell ref="F3:G3"/>
  </mergeCells>
  <conditionalFormatting sqref="C5:C29">
    <cfRule type="expression" dxfId="3" priority="1">
      <formula>#REF!="Y"</formula>
    </cfRule>
  </conditionalFormatting>
  <conditionalFormatting sqref="C5:C29">
    <cfRule type="expression" dxfId="6" priority="2">
      <formula>#REF!="G"</formula>
    </cfRule>
  </conditionalFormatting>
  <conditionalFormatting sqref="C5:C29">
    <cfRule type="expression" dxfId="0" priority="3">
      <formula>#REF!="B"</formula>
    </cfRule>
  </conditionalFormatting>
  <hyperlinks>
    <hyperlink r:id="rId1" ref="G1"/>
    <hyperlink r:id="rId2" ref="K2"/>
    <hyperlink r:id="rId3" ref="D5"/>
    <hyperlink r:id="rId4" ref="H5"/>
    <hyperlink r:id="rId5" ref="D6"/>
    <hyperlink r:id="rId6" ref="H6"/>
    <hyperlink r:id="rId7" ref="D7"/>
    <hyperlink r:id="rId8" ref="H7"/>
    <hyperlink r:id="rId9" ref="D8"/>
    <hyperlink r:id="rId10" ref="D9"/>
    <hyperlink r:id="rId11" ref="D10"/>
    <hyperlink r:id="rId12" ref="L20"/>
    <hyperlink r:id="rId13" ref="L23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5.0"/>
    <col customWidth="1" min="3" max="3" width="15.38"/>
    <col customWidth="1" min="4" max="4" width="15.25"/>
    <col customWidth="1" min="5" max="5" width="13.5"/>
    <col customWidth="1" min="6" max="6" width="14.25"/>
    <col customWidth="1" min="7" max="8" width="8.13"/>
  </cols>
  <sheetData>
    <row r="1">
      <c r="B1" s="92" t="s">
        <v>47</v>
      </c>
      <c r="H1" s="92"/>
    </row>
    <row r="2">
      <c r="C2" s="93" t="str">
        <f>HYPERLINK("https://www.youtube.com/channel/UCDbfoNplY71wi5e_qiO_szg?view_as=subscriber","SUBSCRIBE")</f>
        <v>SUBSCRIBE</v>
      </c>
      <c r="F2" s="48" t="s">
        <v>48</v>
      </c>
      <c r="G2" s="94">
        <f>IFERROR(__xludf.DUMMYFUNCTION("googlefinance(""NSE:SBIN"",""TRADETIME"")"),46169.47828703704)</f>
        <v>46169.47829</v>
      </c>
    </row>
    <row r="3">
      <c r="B3" s="95">
        <f>IFERROR(__xludf.DUMMYFUNCTION("IMPORTRANGE(""1VWNoWvkZaF5kFJO7cCTFkWnrliQhP8_0QoLeAHHtjcI"",""BOTTOM!A1:G11"")"),16.0)</f>
        <v>16</v>
      </c>
      <c r="C3" s="95" t="str">
        <f>IFERROR(__xludf.DUMMYFUNCTION("""COMPUTED_VALUE"""),"SYMBOL")</f>
        <v>SYMBOL</v>
      </c>
      <c r="D3" s="95" t="str">
        <f>IFERROR(__xludf.DUMMYFUNCTION("""COMPUTED_VALUE"""),"52_WK_HIGH")</f>
        <v>52_WK_HIGH</v>
      </c>
      <c r="E3" s="95" t="str">
        <f>IFERROR(__xludf.DUMMYFUNCTION("""COMPUTED_VALUE"""),"52_WK_LOW")</f>
        <v>52_WK_LOW</v>
      </c>
      <c r="F3" s="95" t="str">
        <f>IFERROR(__xludf.DUMMYFUNCTION("""COMPUTED_VALUE"""),"CURR.PRICE")</f>
        <v>CURR.PRICE</v>
      </c>
      <c r="G3" s="95" t="str">
        <f>IFERROR(__xludf.DUMMYFUNCTION("""COMPUTED_VALUE"""),"%DIFF")</f>
        <v>%DIFF</v>
      </c>
      <c r="H3" s="95" t="str">
        <f>IFERROR(__xludf.DUMMYFUNCTION("""COMPUTED_VALUE"""),"CHART")</f>
        <v>CHART</v>
      </c>
    </row>
    <row r="4">
      <c r="B4" s="96">
        <f>IFERROR(__xludf.DUMMYFUNCTION("""COMPUTED_VALUE"""),1.0)</f>
        <v>1</v>
      </c>
      <c r="C4" s="97" t="str">
        <f>IFERROR(__xludf.DUMMYFUNCTION("""COMPUTED_VALUE"""),"BRITANNIA")</f>
        <v>BRITANNIA</v>
      </c>
      <c r="D4" s="98">
        <f>IFERROR(__xludf.DUMMYFUNCTION("""COMPUTED_VALUE"""),6336.0)</f>
        <v>6336</v>
      </c>
      <c r="E4" s="98">
        <f>IFERROR(__xludf.DUMMYFUNCTION("""COMPUTED_VALUE"""),5279.5)</f>
        <v>5279.5</v>
      </c>
      <c r="F4" s="98">
        <f>IFERROR(__xludf.DUMMYFUNCTION("""COMPUTED_VALUE"""),5313.5)</f>
        <v>5313.5</v>
      </c>
      <c r="G4" s="98">
        <f>IFERROR(__xludf.DUMMYFUNCTION("""COMPUTED_VALUE"""),0.6440003788237523)</f>
        <v>0.6440003788</v>
      </c>
      <c r="H4" s="99" t="str">
        <f>IFERROR(__xludf.DUMMYFUNCTION("""COMPUTED_VALUE"""),"CHART")</f>
        <v>CHART</v>
      </c>
    </row>
    <row r="5">
      <c r="B5" s="96">
        <f>IFERROR(__xludf.DUMMYFUNCTION("""COMPUTED_VALUE"""),2.0)</f>
        <v>2</v>
      </c>
      <c r="C5" s="97" t="str">
        <f>IFERROR(__xludf.DUMMYFUNCTION("""COMPUTED_VALUE"""),"SBICARD")</f>
        <v>SBICARD</v>
      </c>
      <c r="D5" s="98">
        <f>IFERROR(__xludf.DUMMYFUNCTION("""COMPUTED_VALUE"""),1027.25)</f>
        <v>1027.25</v>
      </c>
      <c r="E5" s="98">
        <f>IFERROR(__xludf.DUMMYFUNCTION("""COMPUTED_VALUE"""),612.1)</f>
        <v>612.1</v>
      </c>
      <c r="F5" s="98">
        <f>IFERROR(__xludf.DUMMYFUNCTION("""COMPUTED_VALUE"""),628.2)</f>
        <v>628.2</v>
      </c>
      <c r="G5" s="98">
        <f>IFERROR(__xludf.DUMMYFUNCTION("""COMPUTED_VALUE"""),2.6302891684365335)</f>
        <v>2.630289168</v>
      </c>
      <c r="H5" s="99" t="str">
        <f>IFERROR(__xludf.DUMMYFUNCTION("""COMPUTED_VALUE"""),"CHART")</f>
        <v>CHART</v>
      </c>
    </row>
    <row r="6">
      <c r="B6" s="96">
        <f>IFERROR(__xludf.DUMMYFUNCTION("""COMPUTED_VALUE"""),3.0)</f>
        <v>3</v>
      </c>
      <c r="C6" s="97" t="str">
        <f>IFERROR(__xludf.DUMMYFUNCTION("""COMPUTED_VALUE"""),"UBL")</f>
        <v>UBL</v>
      </c>
      <c r="D6" s="98">
        <f>IFERROR(__xludf.DUMMYFUNCTION("""COMPUTED_VALUE"""),2134.7)</f>
        <v>2134.7</v>
      </c>
      <c r="E6" s="98">
        <f>IFERROR(__xludf.DUMMYFUNCTION("""COMPUTED_VALUE"""),1312.7)</f>
        <v>1312.7</v>
      </c>
      <c r="F6" s="98">
        <f>IFERROR(__xludf.DUMMYFUNCTION("""COMPUTED_VALUE"""),1348.6)</f>
        <v>1348.6</v>
      </c>
      <c r="G6" s="98">
        <f>IFERROR(__xludf.DUMMYFUNCTION("""COMPUTED_VALUE"""),2.7348213605545717)</f>
        <v>2.734821361</v>
      </c>
      <c r="H6" s="99" t="str">
        <f>IFERROR(__xludf.DUMMYFUNCTION("""COMPUTED_VALUE"""),"CHART")</f>
        <v>CHART</v>
      </c>
    </row>
    <row r="7">
      <c r="B7" s="96">
        <f>IFERROR(__xludf.DUMMYFUNCTION("""COMPUTED_VALUE"""),4.0)</f>
        <v>4</v>
      </c>
      <c r="C7" s="97" t="str">
        <f>IFERROR(__xludf.DUMMYFUNCTION("""COMPUTED_VALUE"""),"BALKRISIND")</f>
        <v>BALKRISIND</v>
      </c>
      <c r="D7" s="98">
        <f>IFERROR(__xludf.DUMMYFUNCTION("""COMPUTED_VALUE"""),2801.3)</f>
        <v>2801.3</v>
      </c>
      <c r="E7" s="98">
        <f>IFERROR(__xludf.DUMMYFUNCTION("""COMPUTED_VALUE"""),2015.4)</f>
        <v>2015.4</v>
      </c>
      <c r="F7" s="98">
        <f>IFERROR(__xludf.DUMMYFUNCTION("""COMPUTED_VALUE"""),2224.5)</f>
        <v>2224.5</v>
      </c>
      <c r="G7" s="98">
        <f>IFERROR(__xludf.DUMMYFUNCTION("""COMPUTED_VALUE"""),10.375111640369154)</f>
        <v>10.37511164</v>
      </c>
      <c r="H7" s="99" t="str">
        <f>IFERROR(__xludf.DUMMYFUNCTION("""COMPUTED_VALUE"""),"CHART")</f>
        <v>CHART</v>
      </c>
    </row>
    <row r="8">
      <c r="B8" s="96">
        <f>IFERROR(__xludf.DUMMYFUNCTION("""COMPUTED_VALUE"""),5.0)</f>
        <v>5</v>
      </c>
      <c r="C8" s="97" t="str">
        <f>IFERROR(__xludf.DUMMYFUNCTION("""COMPUTED_VALUE"""),"BEL")</f>
        <v>BEL</v>
      </c>
      <c r="D8" s="98">
        <f>IFERROR(__xludf.DUMMYFUNCTION("""COMPUTED_VALUE"""),473.45)</f>
        <v>473.45</v>
      </c>
      <c r="E8" s="98">
        <f>IFERROR(__xludf.DUMMYFUNCTION("""COMPUTED_VALUE"""),361.2)</f>
        <v>361.2</v>
      </c>
      <c r="F8" s="98">
        <f>IFERROR(__xludf.DUMMYFUNCTION("""COMPUTED_VALUE"""),419.05)</f>
        <v>419.05</v>
      </c>
      <c r="G8" s="98">
        <f>IFERROR(__xludf.DUMMYFUNCTION("""COMPUTED_VALUE"""),16.016057585825035)</f>
        <v>16.01605759</v>
      </c>
      <c r="H8" s="99" t="str">
        <f>IFERROR(__xludf.DUMMYFUNCTION("""COMPUTED_VALUE"""),"CHART")</f>
        <v>CHART</v>
      </c>
    </row>
    <row r="9">
      <c r="B9" s="96">
        <f>IFERROR(__xludf.DUMMYFUNCTION("""COMPUTED_VALUE"""),6.0)</f>
        <v>6</v>
      </c>
      <c r="C9" s="97" t="str">
        <f>IFERROR(__xludf.DUMMYFUNCTION("""COMPUTED_VALUE"""),"AMBUJACEM")</f>
        <v>AMBUJACEM</v>
      </c>
      <c r="D9" s="98">
        <f>IFERROR(__xludf.DUMMYFUNCTION("""COMPUTED_VALUE"""),624.95)</f>
        <v>624.95</v>
      </c>
      <c r="E9" s="98">
        <f>IFERROR(__xludf.DUMMYFUNCTION("""COMPUTED_VALUE"""),394.0)</f>
        <v>394</v>
      </c>
      <c r="F9" s="98">
        <f>IFERROR(__xludf.DUMMYFUNCTION("""COMPUTED_VALUE"""),459.2)</f>
        <v>459.2</v>
      </c>
      <c r="G9" s="98">
        <f>IFERROR(__xludf.DUMMYFUNCTION("""COMPUTED_VALUE"""),16.548223350253803)</f>
        <v>16.54822335</v>
      </c>
      <c r="H9" s="99" t="str">
        <f>IFERROR(__xludf.DUMMYFUNCTION("""COMPUTED_VALUE"""),"CHART")</f>
        <v>CHART</v>
      </c>
    </row>
    <row r="10">
      <c r="B10" s="96">
        <f>IFERROR(__xludf.DUMMYFUNCTION("""COMPUTED_VALUE"""),7.0)</f>
        <v>7</v>
      </c>
      <c r="C10" s="97" t="str">
        <f>IFERROR(__xludf.DUMMYFUNCTION("""COMPUTED_VALUE"""),"BAJFINANCE")</f>
        <v>BAJFINANCE</v>
      </c>
      <c r="D10" s="98">
        <f>IFERROR(__xludf.DUMMYFUNCTION("""COMPUTED_VALUE"""),1102.5)</f>
        <v>1102.5</v>
      </c>
      <c r="E10" s="98">
        <f>IFERROR(__xludf.DUMMYFUNCTION("""COMPUTED_VALUE"""),787.9)</f>
        <v>787.9</v>
      </c>
      <c r="F10" s="98">
        <f>IFERROR(__xludf.DUMMYFUNCTION("""COMPUTED_VALUE"""),928.55)</f>
        <v>928.55</v>
      </c>
      <c r="G10" s="98">
        <f>IFERROR(__xludf.DUMMYFUNCTION("""COMPUTED_VALUE"""),17.851250158649574)</f>
        <v>17.85125016</v>
      </c>
      <c r="H10" s="99" t="str">
        <f>IFERROR(__xludf.DUMMYFUNCTION("""COMPUTED_VALUE"""),"CHART")</f>
        <v>CHART</v>
      </c>
    </row>
    <row r="11">
      <c r="B11" s="96">
        <f>IFERROR(__xludf.DUMMYFUNCTION("""COMPUTED_VALUE"""),8.0)</f>
        <v>8</v>
      </c>
      <c r="C11" s="97" t="str">
        <f>IFERROR(__xludf.DUMMYFUNCTION("""COMPUTED_VALUE"""),"APLLTD")</f>
        <v>APLLTD</v>
      </c>
      <c r="D11" s="98">
        <f>IFERROR(__xludf.DUMMYFUNCTION("""COMPUTED_VALUE"""),1107.9)</f>
        <v>1107.9</v>
      </c>
      <c r="E11" s="98">
        <f>IFERROR(__xludf.DUMMYFUNCTION("""COMPUTED_VALUE"""),635.8)</f>
        <v>635.8</v>
      </c>
      <c r="F11" s="98">
        <f>IFERROR(__xludf.DUMMYFUNCTION("""COMPUTED_VALUE"""),751.8)</f>
        <v>751.8</v>
      </c>
      <c r="G11" s="98">
        <f>IFERROR(__xludf.DUMMYFUNCTION("""COMPUTED_VALUE"""),18.244731047499215)</f>
        <v>18.24473105</v>
      </c>
      <c r="H11" s="99" t="str">
        <f>IFERROR(__xludf.DUMMYFUNCTION("""COMPUTED_VALUE"""),"CHART")</f>
        <v>CHART</v>
      </c>
    </row>
    <row r="12">
      <c r="B12" s="96">
        <f>IFERROR(__xludf.DUMMYFUNCTION("""COMPUTED_VALUE"""),9.0)</f>
        <v>9</v>
      </c>
      <c r="C12" s="97" t="str">
        <f>IFERROR(__xludf.DUMMYFUNCTION("""COMPUTED_VALUE"""),"AXISBANK")</f>
        <v>AXISBANK</v>
      </c>
      <c r="D12" s="98">
        <f>IFERROR(__xludf.DUMMYFUNCTION("""COMPUTED_VALUE"""),1418.3)</f>
        <v>1418.3</v>
      </c>
      <c r="E12" s="98">
        <f>IFERROR(__xludf.DUMMYFUNCTION("""COMPUTED_VALUE"""),1042.5)</f>
        <v>1042.5</v>
      </c>
      <c r="F12" s="98">
        <f>IFERROR(__xludf.DUMMYFUNCTION("""COMPUTED_VALUE"""),1311.1)</f>
        <v>1311.1</v>
      </c>
      <c r="G12" s="98">
        <f>IFERROR(__xludf.DUMMYFUNCTION("""COMPUTED_VALUE"""),25.764988009592315)</f>
        <v>25.76498801</v>
      </c>
      <c r="H12" s="99" t="str">
        <f>IFERROR(__xludf.DUMMYFUNCTION("""COMPUTED_VALUE"""),"CHART")</f>
        <v>CHART</v>
      </c>
    </row>
    <row r="13">
      <c r="B13" s="96">
        <f>IFERROR(__xludf.DUMMYFUNCTION("""COMPUTED_VALUE"""),10.0)</f>
        <v>10</v>
      </c>
      <c r="C13" s="97" t="str">
        <f>IFERROR(__xludf.DUMMYFUNCTION("""COMPUTED_VALUE"""),"ASIANPAINT")</f>
        <v>ASIANPAINT</v>
      </c>
      <c r="D13" s="98">
        <f>IFERROR(__xludf.DUMMYFUNCTION("""COMPUTED_VALUE"""),2985.7)</f>
        <v>2985.7</v>
      </c>
      <c r="E13" s="98">
        <f>IFERROR(__xludf.DUMMYFUNCTION("""COMPUTED_VALUE"""),2115.0)</f>
        <v>2115</v>
      </c>
      <c r="F13" s="98">
        <f>IFERROR(__xludf.DUMMYFUNCTION("""COMPUTED_VALUE"""),2683.9)</f>
        <v>2683.9</v>
      </c>
      <c r="G13" s="98">
        <f>IFERROR(__xludf.DUMMYFUNCTION("""COMPUTED_VALUE"""),26.898345153664305)</f>
        <v>26.89834515</v>
      </c>
      <c r="H13" s="99" t="str">
        <f>IFERROR(__xludf.DUMMYFUNCTION("""COMPUTED_VALUE"""),"CHART")</f>
        <v>CHART</v>
      </c>
    </row>
    <row r="14">
      <c r="B14" s="100" t="s">
        <v>49</v>
      </c>
      <c r="E14" s="43"/>
    </row>
    <row r="15">
      <c r="B15" s="100" t="s">
        <v>50</v>
      </c>
      <c r="E15" s="43"/>
    </row>
    <row r="16">
      <c r="B16" s="101" t="s">
        <v>51</v>
      </c>
      <c r="E16" s="43"/>
    </row>
    <row r="17">
      <c r="B17" s="16" t="s">
        <v>52</v>
      </c>
      <c r="E17" s="43"/>
    </row>
    <row r="18">
      <c r="B18" s="16" t="s">
        <v>4</v>
      </c>
      <c r="E18" s="43"/>
    </row>
    <row r="19">
      <c r="B19" s="17" t="s">
        <v>5</v>
      </c>
      <c r="E19" s="43"/>
    </row>
    <row r="20">
      <c r="B20" s="16"/>
      <c r="E20" s="43"/>
    </row>
  </sheetData>
  <mergeCells count="2">
    <mergeCell ref="B1:G1"/>
    <mergeCell ref="G2:H2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  <hyperlink r:id="rId11" ref="B16"/>
    <hyperlink r:id="rId12" ref="B19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5.0"/>
    <col customWidth="1" min="3" max="3" width="21.0"/>
    <col customWidth="1" min="4" max="4" width="8.5"/>
    <col customWidth="1" min="5" max="5" width="7.0"/>
    <col customWidth="1" min="6" max="9" width="8.13"/>
    <col customWidth="1" min="10" max="11" width="9.25"/>
    <col customWidth="1" hidden="1" min="12" max="12" width="10.25"/>
    <col customWidth="1" min="13" max="13" width="7.5"/>
    <col customWidth="1" min="14" max="14" width="8.5"/>
    <col customWidth="1" min="15" max="15" width="43.75"/>
  </cols>
  <sheetData>
    <row r="1">
      <c r="B1" s="92" t="s">
        <v>53</v>
      </c>
      <c r="O1" s="102" t="str">
        <f>HYPERLINK("https://www.youtube.com/channel/UCDbfoNplY71wi5e_qiO_szg?view_as=subscriber","SUBSCRIBE")</f>
        <v>SUBSCRIBE</v>
      </c>
    </row>
    <row r="2">
      <c r="B2" s="18" t="s">
        <v>52</v>
      </c>
      <c r="I2" s="48" t="s">
        <v>54</v>
      </c>
      <c r="K2" s="103">
        <f>IFERROR(__xludf.DUMMYFUNCTION("IF(B3=0,googlefinance(""NSE:SBIN"",""TRADETIME""),IF(B3&gt;0,googlefinance(""NSE:""&amp;VLOOKUP(1,B4:C13,2,0),""TRADETIME"")))"),46169.48391203704)</f>
        <v>46169.48391</v>
      </c>
      <c r="O2" s="18" t="s">
        <v>55</v>
      </c>
    </row>
    <row r="3">
      <c r="B3" s="96">
        <f>IFERROR(__xludf.DUMMYFUNCTION("IMPORTRANGE(""1w0NA1MVLRQeo-snIoRuH-GvLd0nynyfAD66C5IjZzVU"",""StockS!O1:Y11"")"),37.0)</f>
        <v>37</v>
      </c>
      <c r="C3" s="95" t="str">
        <f>IFERROR(__xludf.DUMMYFUNCTION("""COMPUTED_VALUE"""),"SYMBOL")</f>
        <v>SYMBOL</v>
      </c>
      <c r="D3" s="95" t="str">
        <f>IFERROR(__xludf.DUMMYFUNCTION("""COMPUTED_VALUE"""),"C.M.P.")</f>
        <v>C.M.P.</v>
      </c>
      <c r="E3" s="95" t="str">
        <f>IFERROR(__xludf.DUMMYFUNCTION("""COMPUTED_VALUE"""),"SMA 5")</f>
        <v>SMA 5</v>
      </c>
      <c r="F3" s="95" t="str">
        <f>IFERROR(__xludf.DUMMYFUNCTION("""COMPUTED_VALUE"""),"SMA 10")</f>
        <v>SMA 10</v>
      </c>
      <c r="G3" s="95" t="str">
        <f>IFERROR(__xludf.DUMMYFUNCTION("""COMPUTED_VALUE"""),"SMA 15")</f>
        <v>SMA 15</v>
      </c>
      <c r="H3" s="95" t="str">
        <f>IFERROR(__xludf.DUMMYFUNCTION("""COMPUTED_VALUE"""),"SMA 20")</f>
        <v>SMA 20</v>
      </c>
      <c r="I3" s="95" t="str">
        <f>IFERROR(__xludf.DUMMYFUNCTION("""COMPUTED_VALUE"""),"SMA 50")</f>
        <v>SMA 50</v>
      </c>
      <c r="J3" s="95" t="str">
        <f>IFERROR(__xludf.DUMMYFUNCTION("""COMPUTED_VALUE"""),"SMA 100")</f>
        <v>SMA 100</v>
      </c>
      <c r="K3" s="95" t="str">
        <f>IFERROR(__xludf.DUMMYFUNCTION("""COMPUTED_VALUE"""),"SMA 200")</f>
        <v>SMA 200</v>
      </c>
      <c r="L3" s="104"/>
      <c r="M3" s="104" t="s">
        <v>56</v>
      </c>
      <c r="N3" s="104" t="s">
        <v>18</v>
      </c>
      <c r="O3" s="18" t="s">
        <v>57</v>
      </c>
    </row>
    <row r="4">
      <c r="B4" s="96">
        <f>IFERROR(__xludf.DUMMYFUNCTION("""COMPUTED_VALUE"""),1.0)</f>
        <v>1</v>
      </c>
      <c r="C4" s="96" t="str">
        <f>IFERROR(__xludf.DUMMYFUNCTION("""COMPUTED_VALUE"""),"ARE&amp;M")</f>
        <v>ARE&amp;M</v>
      </c>
      <c r="D4" s="105">
        <f>IFERROR(__xludf.DUMMYFUNCTION("""COMPUTED_VALUE"""),900.0)</f>
        <v>900</v>
      </c>
      <c r="E4" s="105">
        <f>IFERROR(__xludf.DUMMYFUNCTION("""COMPUTED_VALUE"""),845.89)</f>
        <v>845.89</v>
      </c>
      <c r="F4" s="105">
        <f>IFERROR(__xludf.DUMMYFUNCTION("""COMPUTED_VALUE"""),835.4599999999998)</f>
        <v>835.46</v>
      </c>
      <c r="G4" s="105">
        <f>IFERROR(__xludf.DUMMYFUNCTION("""COMPUTED_VALUE"""),848.1966666666666)</f>
        <v>848.1966667</v>
      </c>
      <c r="H4" s="105">
        <f>IFERROR(__xludf.DUMMYFUNCTION("""COMPUTED_VALUE"""),857.8949999999999)</f>
        <v>857.895</v>
      </c>
      <c r="I4" s="105">
        <f>IFERROR(__xludf.DUMMYFUNCTION("""COMPUTED_VALUE"""),804.0140000000001)</f>
        <v>804.014</v>
      </c>
      <c r="J4" s="105">
        <f>IFERROR(__xludf.DUMMYFUNCTION("""COMPUTED_VALUE"""),833.9615000000001)</f>
        <v>833.9615</v>
      </c>
      <c r="K4" s="105">
        <f>IFERROR(__xludf.DUMMYFUNCTION("""COMPUTED_VALUE"""),905.6437500000002)</f>
        <v>905.64375</v>
      </c>
      <c r="L4" s="106" t="str">
        <f>IFERROR(__xludf.DUMMYFUNCTION("""COMPUTED_VALUE"""),"")</f>
        <v/>
      </c>
      <c r="M4" s="106">
        <f>IF(B4="","",(K4-D4)/D4)</f>
        <v>0.006270833333</v>
      </c>
      <c r="N4" s="107" t="s">
        <v>58</v>
      </c>
      <c r="O4" s="18" t="s">
        <v>59</v>
      </c>
    </row>
    <row r="5">
      <c r="B5" s="96">
        <f>IFERROR(__xludf.DUMMYFUNCTION("""COMPUTED_VALUE"""),2.0)</f>
        <v>2</v>
      </c>
      <c r="C5" s="96" t="str">
        <f>IFERROR(__xludf.DUMMYFUNCTION("""COMPUTED_VALUE"""),"JWL")</f>
        <v>JWL</v>
      </c>
      <c r="D5" s="105">
        <f>IFERROR(__xludf.DUMMYFUNCTION("""COMPUTED_VALUE"""),292.55)</f>
        <v>292.55</v>
      </c>
      <c r="E5" s="105">
        <f>IFERROR(__xludf.DUMMYFUNCTION("""COMPUTED_VALUE"""),282.46999999999997)</f>
        <v>282.47</v>
      </c>
      <c r="F5" s="105">
        <f>IFERROR(__xludf.DUMMYFUNCTION("""COMPUTED_VALUE"""),279.18)</f>
        <v>279.18</v>
      </c>
      <c r="G5" s="105">
        <f>IFERROR(__xludf.DUMMYFUNCTION("""COMPUTED_VALUE"""),283.8666666666667)</f>
        <v>283.8666667</v>
      </c>
      <c r="H5" s="105">
        <f>IFERROR(__xludf.DUMMYFUNCTION("""COMPUTED_VALUE"""),285.21899999999994)</f>
        <v>285.219</v>
      </c>
      <c r="I5" s="105">
        <f>IFERROR(__xludf.DUMMYFUNCTION("""COMPUTED_VALUE"""),275.027)</f>
        <v>275.027</v>
      </c>
      <c r="J5" s="105">
        <f>IFERROR(__xludf.DUMMYFUNCTION("""COMPUTED_VALUE"""),289.73900000000003)</f>
        <v>289.739</v>
      </c>
      <c r="K5" s="105">
        <f>IFERROR(__xludf.DUMMYFUNCTION("""COMPUTED_VALUE"""),302.7935000000001)</f>
        <v>302.7935</v>
      </c>
      <c r="L5" s="106" t="str">
        <f>IFERROR(__xludf.DUMMYFUNCTION("""COMPUTED_VALUE"""),"")</f>
        <v/>
      </c>
      <c r="M5" s="106">
        <f t="shared" ref="M5:M13" si="1">IF(C5="","",(K5-D5)/D5)</f>
        <v>0.03501452743</v>
      </c>
      <c r="N5" s="108" t="str">
        <f t="shared" ref="N5:N13" si="2">IF(C5&lt;&gt;"",HYPERLINK("https://in.tradingview.com/chart/?symbol=NSE:"&amp;C5,"CHART"),"")</f>
        <v>CHART</v>
      </c>
      <c r="O5" s="18" t="s">
        <v>60</v>
      </c>
    </row>
    <row r="6">
      <c r="B6" s="96">
        <f>IFERROR(__xludf.DUMMYFUNCTION("""COMPUTED_VALUE"""),3.0)</f>
        <v>3</v>
      </c>
      <c r="C6" s="96" t="str">
        <f>IFERROR(__xludf.DUMMYFUNCTION("""COMPUTED_VALUE"""),"LICI")</f>
        <v>LICI</v>
      </c>
      <c r="D6" s="105">
        <f>IFERROR(__xludf.DUMMYFUNCTION("""COMPUTED_VALUE"""),839.2)</f>
        <v>839.2</v>
      </c>
      <c r="E6" s="105">
        <f>IFERROR(__xludf.DUMMYFUNCTION("""COMPUTED_VALUE"""),821.1899999999999)</f>
        <v>821.19</v>
      </c>
      <c r="F6" s="105">
        <f>IFERROR(__xludf.DUMMYFUNCTION("""COMPUTED_VALUE"""),809.2049999999999)</f>
        <v>809.205</v>
      </c>
      <c r="G6" s="105">
        <f>IFERROR(__xludf.DUMMYFUNCTION("""COMPUTED_VALUE"""),806.1133333333332)</f>
        <v>806.1133333</v>
      </c>
      <c r="H6" s="105">
        <f>IFERROR(__xludf.DUMMYFUNCTION("""COMPUTED_VALUE"""),806.05)</f>
        <v>806.05</v>
      </c>
      <c r="I6" s="105">
        <f>IFERROR(__xludf.DUMMYFUNCTION("""COMPUTED_VALUE"""),794.945)</f>
        <v>794.945</v>
      </c>
      <c r="J6" s="105">
        <f>IFERROR(__xludf.DUMMYFUNCTION("""COMPUTED_VALUE"""),820.0325)</f>
        <v>820.0325</v>
      </c>
      <c r="K6" s="105">
        <f>IFERROR(__xludf.DUMMYFUNCTION("""COMPUTED_VALUE"""),854.102)</f>
        <v>854.102</v>
      </c>
      <c r="L6" s="106" t="str">
        <f>IFERROR(__xludf.DUMMYFUNCTION("""COMPUTED_VALUE"""),"")</f>
        <v/>
      </c>
      <c r="M6" s="106">
        <f t="shared" si="1"/>
        <v>0.01775738799</v>
      </c>
      <c r="N6" s="108" t="str">
        <f t="shared" si="2"/>
        <v>CHART</v>
      </c>
      <c r="O6" s="18" t="s">
        <v>61</v>
      </c>
    </row>
    <row r="7">
      <c r="B7" s="96">
        <f>IFERROR(__xludf.DUMMYFUNCTION("""COMPUTED_VALUE"""),4.0)</f>
        <v>4</v>
      </c>
      <c r="C7" s="96" t="str">
        <f>IFERROR(__xludf.DUMMYFUNCTION("""COMPUTED_VALUE"""),"NBCC")</f>
        <v>NBCC</v>
      </c>
      <c r="D7" s="105">
        <f>IFERROR(__xludf.DUMMYFUNCTION("""COMPUTED_VALUE"""),98.1)</f>
        <v>98.1</v>
      </c>
      <c r="E7" s="105">
        <f>IFERROR(__xludf.DUMMYFUNCTION("""COMPUTED_VALUE"""),94.648)</f>
        <v>94.648</v>
      </c>
      <c r="F7" s="105">
        <f>IFERROR(__xludf.DUMMYFUNCTION("""COMPUTED_VALUE"""),94.217)</f>
        <v>94.217</v>
      </c>
      <c r="G7" s="105">
        <f>IFERROR(__xludf.DUMMYFUNCTION("""COMPUTED_VALUE"""),94.864)</f>
        <v>94.864</v>
      </c>
      <c r="H7" s="105">
        <f>IFERROR(__xludf.DUMMYFUNCTION("""COMPUTED_VALUE"""),94.394)</f>
        <v>94.394</v>
      </c>
      <c r="I7" s="105">
        <f>IFERROR(__xludf.DUMMYFUNCTION("""COMPUTED_VALUE"""),89.97540000000001)</f>
        <v>89.9754</v>
      </c>
      <c r="J7" s="105">
        <f>IFERROR(__xludf.DUMMYFUNCTION("""COMPUTED_VALUE"""),95.95320000000004)</f>
        <v>95.9532</v>
      </c>
      <c r="K7" s="105">
        <f>IFERROR(__xludf.DUMMYFUNCTION("""COMPUTED_VALUE"""),103.10810000000004)</f>
        <v>103.1081</v>
      </c>
      <c r="L7" s="106" t="str">
        <f>IFERROR(__xludf.DUMMYFUNCTION("""COMPUTED_VALUE"""),"")</f>
        <v/>
      </c>
      <c r="M7" s="106">
        <f t="shared" si="1"/>
        <v>0.0510509684</v>
      </c>
      <c r="N7" s="108" t="str">
        <f t="shared" si="2"/>
        <v>CHART</v>
      </c>
      <c r="O7" s="18" t="s">
        <v>62</v>
      </c>
    </row>
    <row r="8">
      <c r="B8" s="96">
        <f>IFERROR(__xludf.DUMMYFUNCTION("""COMPUTED_VALUE"""),5.0)</f>
        <v>5</v>
      </c>
      <c r="C8" s="96" t="str">
        <f>IFERROR(__xludf.DUMMYFUNCTION("""COMPUTED_VALUE"""),"TRENT")</f>
        <v>TRENT</v>
      </c>
      <c r="D8" s="105">
        <f>IFERROR(__xludf.DUMMYFUNCTION("""COMPUTED_VALUE"""),4244.0)</f>
        <v>4244</v>
      </c>
      <c r="E8" s="105">
        <f>IFERROR(__xludf.DUMMYFUNCTION("""COMPUTED_VALUE"""),4221.280000000001)</f>
        <v>4221.28</v>
      </c>
      <c r="F8" s="105">
        <f>IFERROR(__xludf.DUMMYFUNCTION("""COMPUTED_VALUE"""),4152.65)</f>
        <v>4152.65</v>
      </c>
      <c r="G8" s="105">
        <f>IFERROR(__xludf.DUMMYFUNCTION("""COMPUTED_VALUE"""),4172.293333333333)</f>
        <v>4172.293333</v>
      </c>
      <c r="H8" s="105">
        <f>IFERROR(__xludf.DUMMYFUNCTION("""COMPUTED_VALUE"""),4175.255)</f>
        <v>4175.255</v>
      </c>
      <c r="I8" s="105">
        <f>IFERROR(__xludf.DUMMYFUNCTION("""COMPUTED_VALUE"""),3937.978)</f>
        <v>3937.978</v>
      </c>
      <c r="J8" s="105">
        <f>IFERROR(__xludf.DUMMYFUNCTION("""COMPUTED_VALUE"""),3977.104)</f>
        <v>3977.104</v>
      </c>
      <c r="K8" s="105">
        <f>IFERROR(__xludf.DUMMYFUNCTION("""COMPUTED_VALUE"""),4378.803000000001)</f>
        <v>4378.803</v>
      </c>
      <c r="L8" s="106" t="str">
        <f>IFERROR(__xludf.DUMMYFUNCTION("""COMPUTED_VALUE"""),"")</f>
        <v/>
      </c>
      <c r="M8" s="106">
        <f t="shared" si="1"/>
        <v>0.0317631951</v>
      </c>
      <c r="N8" s="108" t="str">
        <f t="shared" si="2"/>
        <v>CHART</v>
      </c>
      <c r="O8" s="18" t="s">
        <v>63</v>
      </c>
    </row>
    <row r="9">
      <c r="B9" s="96">
        <f>IFERROR(__xludf.DUMMYFUNCTION("""COMPUTED_VALUE"""),6.0)</f>
        <v>6</v>
      </c>
      <c r="C9" s="96" t="str">
        <f>IFERROR(__xludf.DUMMYFUNCTION("""COMPUTED_VALUE"""),"TATACHEM")</f>
        <v>TATACHEM</v>
      </c>
      <c r="D9" s="105">
        <f>IFERROR(__xludf.DUMMYFUNCTION("""COMPUTED_VALUE"""),778.55)</f>
        <v>778.55</v>
      </c>
      <c r="E9" s="105">
        <f>IFERROR(__xludf.DUMMYFUNCTION("""COMPUTED_VALUE"""),757.0200000000001)</f>
        <v>757.02</v>
      </c>
      <c r="F9" s="105">
        <f>IFERROR(__xludf.DUMMYFUNCTION("""COMPUTED_VALUE"""),752.575)</f>
        <v>752.575</v>
      </c>
      <c r="G9" s="105">
        <f>IFERROR(__xludf.DUMMYFUNCTION("""COMPUTED_VALUE"""),764.0133333333334)</f>
        <v>764.0133333</v>
      </c>
      <c r="H9" s="105">
        <f>IFERROR(__xludf.DUMMYFUNCTION("""COMPUTED_VALUE"""),773.9150000000001)</f>
        <v>773.915</v>
      </c>
      <c r="I9" s="105">
        <f>IFERROR(__xludf.DUMMYFUNCTION("""COMPUTED_VALUE"""),707.757)</f>
        <v>707.757</v>
      </c>
      <c r="J9" s="105">
        <f>IFERROR(__xludf.DUMMYFUNCTION("""COMPUTED_VALUE"""),717.0064999999998)</f>
        <v>717.0065</v>
      </c>
      <c r="K9" s="105">
        <f>IFERROR(__xludf.DUMMYFUNCTION("""COMPUTED_VALUE"""),801.9549999999997)</f>
        <v>801.955</v>
      </c>
      <c r="L9" s="106" t="str">
        <f>IFERROR(__xludf.DUMMYFUNCTION("""COMPUTED_VALUE"""),"")</f>
        <v/>
      </c>
      <c r="M9" s="106">
        <f t="shared" si="1"/>
        <v>0.03006229529</v>
      </c>
      <c r="N9" s="108" t="str">
        <f t="shared" si="2"/>
        <v>CHART</v>
      </c>
      <c r="O9" s="18" t="s">
        <v>64</v>
      </c>
    </row>
    <row r="10">
      <c r="B10" s="109">
        <f>IFERROR(__xludf.DUMMYFUNCTION("""COMPUTED_VALUE"""),7.0)</f>
        <v>7</v>
      </c>
      <c r="C10" s="109" t="str">
        <f>IFERROR(__xludf.DUMMYFUNCTION("""COMPUTED_VALUE"""),"SRF")</f>
        <v>SRF</v>
      </c>
      <c r="D10" s="110">
        <f>IFERROR(__xludf.DUMMYFUNCTION("""COMPUTED_VALUE"""),2742.5)</f>
        <v>2742.5</v>
      </c>
      <c r="E10" s="110">
        <f>IFERROR(__xludf.DUMMYFUNCTION("""COMPUTED_VALUE"""),2666.7599999999998)</f>
        <v>2666.76</v>
      </c>
      <c r="F10" s="110">
        <f>IFERROR(__xludf.DUMMYFUNCTION("""COMPUTED_VALUE"""),2672.5000000000005)</f>
        <v>2672.5</v>
      </c>
      <c r="G10" s="110">
        <f>IFERROR(__xludf.DUMMYFUNCTION("""COMPUTED_VALUE"""),2701.0933333333337)</f>
        <v>2701.093333</v>
      </c>
      <c r="H10" s="110">
        <f>IFERROR(__xludf.DUMMYFUNCTION("""COMPUTED_VALUE"""),2659.2800000000007)</f>
        <v>2659.28</v>
      </c>
      <c r="I10" s="110">
        <f>IFERROR(__xludf.DUMMYFUNCTION("""COMPUTED_VALUE"""),2552.856)</f>
        <v>2552.856</v>
      </c>
      <c r="J10" s="110">
        <f>IFERROR(__xludf.DUMMYFUNCTION("""COMPUTED_VALUE"""),2697.4720000000007)</f>
        <v>2697.472</v>
      </c>
      <c r="K10" s="110">
        <f>IFERROR(__xludf.DUMMYFUNCTION("""COMPUTED_VALUE"""),2819.1035)</f>
        <v>2819.1035</v>
      </c>
      <c r="L10" s="111" t="str">
        <f>IFERROR(__xludf.DUMMYFUNCTION("""COMPUTED_VALUE"""),"")</f>
        <v/>
      </c>
      <c r="M10" s="111">
        <f t="shared" si="1"/>
        <v>0.02793199635</v>
      </c>
      <c r="N10" s="112" t="str">
        <f t="shared" si="2"/>
        <v>CHART</v>
      </c>
      <c r="O10" s="18" t="s">
        <v>65</v>
      </c>
    </row>
    <row r="11">
      <c r="B11" s="96">
        <f>IFERROR(__xludf.DUMMYFUNCTION("""COMPUTED_VALUE"""),8.0)</f>
        <v>8</v>
      </c>
      <c r="C11" s="96" t="str">
        <f>IFERROR(__xludf.DUMMYFUNCTION("""COMPUTED_VALUE"""),"CIPLA")</f>
        <v>CIPLA</v>
      </c>
      <c r="D11" s="105">
        <f>IFERROR(__xludf.DUMMYFUNCTION("""COMPUTED_VALUE"""),1425.2)</f>
        <v>1425.2</v>
      </c>
      <c r="E11" s="105">
        <f>IFERROR(__xludf.DUMMYFUNCTION("""COMPUTED_VALUE"""),1406.4)</f>
        <v>1406.4</v>
      </c>
      <c r="F11" s="105">
        <f>IFERROR(__xludf.DUMMYFUNCTION("""COMPUTED_VALUE"""),1406.44)</f>
        <v>1406.44</v>
      </c>
      <c r="G11" s="105">
        <f>IFERROR(__xludf.DUMMYFUNCTION("""COMPUTED_VALUE"""),1382.3533333333335)</f>
        <v>1382.353333</v>
      </c>
      <c r="H11" s="105">
        <f>IFERROR(__xludf.DUMMYFUNCTION("""COMPUTED_VALUE"""),1366.885)</f>
        <v>1366.885</v>
      </c>
      <c r="I11" s="105">
        <f>IFERROR(__xludf.DUMMYFUNCTION("""COMPUTED_VALUE"""),1295.9040000000005)</f>
        <v>1295.904</v>
      </c>
      <c r="J11" s="105">
        <f>IFERROR(__xludf.DUMMYFUNCTION("""COMPUTED_VALUE"""),1338.3139999999999)</f>
        <v>1338.314</v>
      </c>
      <c r="K11" s="105">
        <f>IFERROR(__xludf.DUMMYFUNCTION("""COMPUTED_VALUE"""),1437.6034999999993)</f>
        <v>1437.6035</v>
      </c>
      <c r="L11" s="106" t="str">
        <f>IFERROR(__xludf.DUMMYFUNCTION("""COMPUTED_VALUE"""),"")</f>
        <v/>
      </c>
      <c r="M11" s="106">
        <f t="shared" si="1"/>
        <v>0.008702989054</v>
      </c>
      <c r="N11" s="108" t="str">
        <f t="shared" si="2"/>
        <v>CHART</v>
      </c>
    </row>
    <row r="12">
      <c r="B12" s="96">
        <f>IFERROR(__xludf.DUMMYFUNCTION("""COMPUTED_VALUE"""),9.0)</f>
        <v>9</v>
      </c>
      <c r="C12" s="96" t="str">
        <f>IFERROR(__xludf.DUMMYFUNCTION("""COMPUTED_VALUE"""),"CAMPUS")</f>
        <v>CAMPUS</v>
      </c>
      <c r="D12" s="105">
        <f>IFERROR(__xludf.DUMMYFUNCTION("""COMPUTED_VALUE"""),253.03)</f>
        <v>253.03</v>
      </c>
      <c r="E12" s="105">
        <f>IFERROR(__xludf.DUMMYFUNCTION("""COMPUTED_VALUE"""),238.446)</f>
        <v>238.446</v>
      </c>
      <c r="F12" s="105">
        <f>IFERROR(__xludf.DUMMYFUNCTION("""COMPUTED_VALUE"""),237.37800000000001)</f>
        <v>237.378</v>
      </c>
      <c r="G12" s="105">
        <f>IFERROR(__xludf.DUMMYFUNCTION("""COMPUTED_VALUE"""),240.86933333333334)</f>
        <v>240.8693333</v>
      </c>
      <c r="H12" s="105">
        <f>IFERROR(__xludf.DUMMYFUNCTION("""COMPUTED_VALUE"""),242.89399999999995)</f>
        <v>242.894</v>
      </c>
      <c r="I12" s="105">
        <f>IFERROR(__xludf.DUMMYFUNCTION("""COMPUTED_VALUE"""),238.93539999999996)</f>
        <v>238.9354</v>
      </c>
      <c r="J12" s="105">
        <f>IFERROR(__xludf.DUMMYFUNCTION("""COMPUTED_VALUE"""),249.49319999999992)</f>
        <v>249.4932</v>
      </c>
      <c r="K12" s="105">
        <f>IFERROR(__xludf.DUMMYFUNCTION("""COMPUTED_VALUE"""),260.3771)</f>
        <v>260.3771</v>
      </c>
      <c r="L12" s="106" t="str">
        <f>IFERROR(__xludf.DUMMYFUNCTION("""COMPUTED_VALUE"""),"")</f>
        <v/>
      </c>
      <c r="M12" s="106">
        <f t="shared" si="1"/>
        <v>0.02903647789</v>
      </c>
      <c r="N12" s="108" t="str">
        <f t="shared" si="2"/>
        <v>CHART</v>
      </c>
      <c r="O12" s="113" t="s">
        <v>66</v>
      </c>
    </row>
    <row r="13">
      <c r="B13" s="96">
        <f>IFERROR(__xludf.DUMMYFUNCTION("""COMPUTED_VALUE"""),10.0)</f>
        <v>10</v>
      </c>
      <c r="C13" s="96" t="str">
        <f>IFERROR(__xludf.DUMMYFUNCTION("""COMPUTED_VALUE"""),"ICICIGI")</f>
        <v>ICICIGI</v>
      </c>
      <c r="D13" s="105">
        <f>IFERROR(__xludf.DUMMYFUNCTION("""COMPUTED_VALUE"""),1863.7)</f>
        <v>1863.7</v>
      </c>
      <c r="E13" s="105">
        <f>IFERROR(__xludf.DUMMYFUNCTION("""COMPUTED_VALUE"""),1825.3200000000002)</f>
        <v>1825.32</v>
      </c>
      <c r="F13" s="105">
        <f>IFERROR(__xludf.DUMMYFUNCTION("""COMPUTED_VALUE"""),1825.0700000000002)</f>
        <v>1825.07</v>
      </c>
      <c r="G13" s="105">
        <f>IFERROR(__xludf.DUMMYFUNCTION("""COMPUTED_VALUE"""),1823.3466666666668)</f>
        <v>1823.346667</v>
      </c>
      <c r="H13" s="105">
        <f>IFERROR(__xludf.DUMMYFUNCTION("""COMPUTED_VALUE"""),1809.4750000000004)</f>
        <v>1809.475</v>
      </c>
      <c r="I13" s="105">
        <f>IFERROR(__xludf.DUMMYFUNCTION("""COMPUTED_VALUE"""),1799.3380000000002)</f>
        <v>1799.338</v>
      </c>
      <c r="J13" s="105">
        <f>IFERROR(__xludf.DUMMYFUNCTION("""COMPUTED_VALUE"""),1849.0680000000013)</f>
        <v>1849.068</v>
      </c>
      <c r="K13" s="105">
        <f>IFERROR(__xludf.DUMMYFUNCTION("""COMPUTED_VALUE"""),1893.6220000000008)</f>
        <v>1893.622</v>
      </c>
      <c r="L13" s="106" t="str">
        <f>IFERROR(__xludf.DUMMYFUNCTION("""COMPUTED_VALUE"""),"")</f>
        <v/>
      </c>
      <c r="M13" s="106">
        <f t="shared" si="1"/>
        <v>0.01605515909</v>
      </c>
      <c r="N13" s="108" t="str">
        <f t="shared" si="2"/>
        <v>CHART</v>
      </c>
      <c r="O13" s="113" t="s">
        <v>67</v>
      </c>
    </row>
    <row r="14">
      <c r="B14" s="114" t="s">
        <v>68</v>
      </c>
      <c r="E14" s="43"/>
      <c r="O14" s="113" t="s">
        <v>69</v>
      </c>
    </row>
    <row r="15">
      <c r="B15" s="114" t="s">
        <v>70</v>
      </c>
      <c r="E15" s="43"/>
      <c r="O15" s="113" t="s">
        <v>71</v>
      </c>
    </row>
    <row r="16">
      <c r="B16" s="115" t="s">
        <v>72</v>
      </c>
      <c r="E16" s="43"/>
      <c r="O16" s="113" t="s">
        <v>73</v>
      </c>
    </row>
    <row r="17">
      <c r="B17" s="16" t="s">
        <v>4</v>
      </c>
      <c r="E17" s="43"/>
      <c r="O17" s="18" t="s">
        <v>74</v>
      </c>
    </row>
    <row r="18">
      <c r="B18" s="17" t="s">
        <v>5</v>
      </c>
      <c r="E18" s="43"/>
      <c r="O18" s="18" t="s">
        <v>75</v>
      </c>
    </row>
    <row r="19">
      <c r="B19" s="116"/>
      <c r="E19" s="43"/>
    </row>
  </sheetData>
  <mergeCells count="2">
    <mergeCell ref="B1:N1"/>
    <mergeCell ref="K2:N2"/>
  </mergeCells>
  <conditionalFormatting sqref="C4:C13">
    <cfRule type="expression" dxfId="0" priority="1">
      <formula>L4="X"</formula>
    </cfRule>
  </conditionalFormatting>
  <hyperlinks>
    <hyperlink r:id="rId1" ref="N4"/>
    <hyperlink r:id="rId2" ref="B16"/>
    <hyperlink r:id="rId3" ref="B18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5.63"/>
    <col customWidth="1" min="3" max="3" width="38.38"/>
    <col customWidth="1" min="4" max="4" width="31.0"/>
  </cols>
  <sheetData>
    <row r="1">
      <c r="A1" s="117" t="s">
        <v>76</v>
      </c>
      <c r="D1" s="118" t="s">
        <v>77</v>
      </c>
    </row>
    <row r="2">
      <c r="B2" s="119"/>
      <c r="D2" s="120"/>
    </row>
    <row r="3">
      <c r="A3" s="121" t="s">
        <v>78</v>
      </c>
      <c r="B3" s="122" t="s">
        <v>79</v>
      </c>
      <c r="C3" s="123" t="s">
        <v>80</v>
      </c>
      <c r="D3" s="124" t="s">
        <v>81</v>
      </c>
    </row>
    <row r="4">
      <c r="A4" s="125"/>
      <c r="B4" s="126" t="s">
        <v>82</v>
      </c>
      <c r="C4" s="127"/>
      <c r="D4" s="128"/>
    </row>
    <row r="5">
      <c r="A5" s="129">
        <v>1.0</v>
      </c>
      <c r="B5" s="126" t="s">
        <v>83</v>
      </c>
      <c r="C5" s="130" t="s">
        <v>84</v>
      </c>
      <c r="D5" s="131" t="s">
        <v>85</v>
      </c>
    </row>
    <row r="6">
      <c r="A6" s="125"/>
      <c r="B6" s="132" t="s">
        <v>86</v>
      </c>
      <c r="C6" s="133"/>
      <c r="D6" s="131" t="s">
        <v>87</v>
      </c>
    </row>
    <row r="7">
      <c r="A7" s="129">
        <v>2.0</v>
      </c>
      <c r="B7" s="126" t="s">
        <v>88</v>
      </c>
      <c r="C7" s="130" t="s">
        <v>89</v>
      </c>
      <c r="D7" s="131" t="s">
        <v>85</v>
      </c>
    </row>
    <row r="8">
      <c r="A8" s="125"/>
      <c r="B8" s="132" t="s">
        <v>90</v>
      </c>
      <c r="C8" s="133"/>
      <c r="D8" s="131" t="s">
        <v>91</v>
      </c>
    </row>
    <row r="9">
      <c r="A9" s="129">
        <v>3.0</v>
      </c>
      <c r="B9" s="126" t="s">
        <v>92</v>
      </c>
      <c r="C9" s="130" t="s">
        <v>93</v>
      </c>
      <c r="D9" s="131" t="s">
        <v>85</v>
      </c>
    </row>
    <row r="10">
      <c r="A10" s="125"/>
      <c r="B10" s="132" t="s">
        <v>94</v>
      </c>
      <c r="C10" s="133"/>
      <c r="D10" s="131" t="s">
        <v>87</v>
      </c>
    </row>
    <row r="11">
      <c r="A11" s="129">
        <v>4.0</v>
      </c>
      <c r="B11" s="126" t="s">
        <v>95</v>
      </c>
      <c r="C11" s="134" t="s">
        <v>96</v>
      </c>
      <c r="D11" s="131" t="s">
        <v>85</v>
      </c>
    </row>
    <row r="12">
      <c r="A12" s="125"/>
      <c r="B12" s="132" t="s">
        <v>97</v>
      </c>
      <c r="C12" s="133"/>
      <c r="D12" s="131" t="s">
        <v>87</v>
      </c>
    </row>
    <row r="13">
      <c r="A13" s="125"/>
      <c r="B13" s="126" t="s">
        <v>98</v>
      </c>
      <c r="C13" s="127"/>
      <c r="D13" s="128"/>
    </row>
    <row r="14">
      <c r="A14" s="129">
        <v>1.0</v>
      </c>
      <c r="B14" s="126" t="s">
        <v>99</v>
      </c>
      <c r="C14" s="130" t="s">
        <v>100</v>
      </c>
      <c r="D14" s="131" t="s">
        <v>85</v>
      </c>
    </row>
    <row r="15">
      <c r="A15" s="125"/>
      <c r="B15" s="132" t="s">
        <v>101</v>
      </c>
      <c r="C15" s="133"/>
      <c r="D15" s="131" t="s">
        <v>102</v>
      </c>
    </row>
    <row r="16">
      <c r="A16" s="129">
        <v>2.0</v>
      </c>
      <c r="B16" s="126" t="s">
        <v>103</v>
      </c>
      <c r="C16" s="130" t="s">
        <v>104</v>
      </c>
      <c r="D16" s="131" t="s">
        <v>85</v>
      </c>
    </row>
    <row r="17">
      <c r="A17" s="125"/>
      <c r="B17" s="132" t="s">
        <v>101</v>
      </c>
      <c r="C17" s="133"/>
      <c r="D17" s="131" t="s">
        <v>105</v>
      </c>
    </row>
    <row r="18">
      <c r="A18" s="129">
        <v>3.0</v>
      </c>
      <c r="B18" s="126" t="s">
        <v>106</v>
      </c>
      <c r="C18" s="130" t="s">
        <v>107</v>
      </c>
      <c r="D18" s="131" t="s">
        <v>85</v>
      </c>
    </row>
    <row r="19">
      <c r="A19" s="125"/>
      <c r="B19" s="132" t="s">
        <v>108</v>
      </c>
      <c r="C19" s="133"/>
      <c r="D19" s="131" t="s">
        <v>105</v>
      </c>
    </row>
    <row r="20">
      <c r="A20" s="129">
        <v>4.0</v>
      </c>
      <c r="B20" s="126" t="s">
        <v>109</v>
      </c>
      <c r="C20" s="130" t="s">
        <v>110</v>
      </c>
      <c r="D20" s="131" t="s">
        <v>85</v>
      </c>
    </row>
    <row r="21">
      <c r="A21" s="125"/>
      <c r="B21" s="132" t="s">
        <v>111</v>
      </c>
      <c r="C21" s="133"/>
      <c r="D21" s="131" t="s">
        <v>112</v>
      </c>
    </row>
    <row r="22">
      <c r="A22" s="129">
        <v>5.0</v>
      </c>
      <c r="B22" s="126" t="s">
        <v>113</v>
      </c>
      <c r="C22" s="130" t="s">
        <v>114</v>
      </c>
      <c r="D22" s="131" t="s">
        <v>85</v>
      </c>
    </row>
    <row r="23">
      <c r="A23" s="125"/>
      <c r="B23" s="132" t="s">
        <v>108</v>
      </c>
      <c r="C23" s="133"/>
      <c r="D23" s="131" t="s">
        <v>91</v>
      </c>
    </row>
    <row r="24">
      <c r="A24" s="125"/>
      <c r="B24" s="126" t="s">
        <v>115</v>
      </c>
      <c r="C24" s="127"/>
      <c r="D24" s="128"/>
    </row>
    <row r="25">
      <c r="A25" s="129">
        <v>1.0</v>
      </c>
      <c r="B25" s="126" t="s">
        <v>116</v>
      </c>
      <c r="C25" s="135" t="s">
        <v>117</v>
      </c>
      <c r="D25" s="131" t="s">
        <v>85</v>
      </c>
    </row>
    <row r="26">
      <c r="A26" s="125"/>
      <c r="B26" s="132" t="s">
        <v>118</v>
      </c>
      <c r="C26" s="133"/>
      <c r="D26" s="131" t="s">
        <v>119</v>
      </c>
    </row>
    <row r="27">
      <c r="A27" s="129">
        <v>2.0</v>
      </c>
      <c r="B27" s="126" t="s">
        <v>120</v>
      </c>
      <c r="C27" s="135" t="s">
        <v>121</v>
      </c>
      <c r="D27" s="131" t="s">
        <v>85</v>
      </c>
    </row>
    <row r="28">
      <c r="A28" s="125"/>
      <c r="B28" s="132" t="s">
        <v>122</v>
      </c>
      <c r="C28" s="133"/>
      <c r="D28" s="136" t="s">
        <v>87</v>
      </c>
    </row>
    <row r="29">
      <c r="A29" s="137" t="s">
        <v>123</v>
      </c>
      <c r="B29" s="138"/>
      <c r="C29" s="138"/>
      <c r="D29" s="139"/>
    </row>
    <row r="30">
      <c r="A30" s="129">
        <v>1.0</v>
      </c>
      <c r="B30" s="126" t="s">
        <v>124</v>
      </c>
      <c r="C30" s="128"/>
      <c r="D30" s="140" t="s">
        <v>5</v>
      </c>
    </row>
    <row r="31">
      <c r="A31" s="129">
        <v>2.0</v>
      </c>
      <c r="B31" s="126" t="s">
        <v>125</v>
      </c>
      <c r="C31" s="128"/>
      <c r="D31" s="140" t="s">
        <v>126</v>
      </c>
    </row>
    <row r="32">
      <c r="A32" s="129">
        <v>3.0</v>
      </c>
      <c r="B32" s="126" t="s">
        <v>127</v>
      </c>
      <c r="C32" s="128"/>
      <c r="D32" s="140" t="s">
        <v>128</v>
      </c>
    </row>
    <row r="33">
      <c r="A33" s="129">
        <v>4.0</v>
      </c>
      <c r="B33" s="126" t="s">
        <v>129</v>
      </c>
      <c r="C33" s="128"/>
      <c r="D33" s="140" t="s">
        <v>130</v>
      </c>
    </row>
    <row r="34">
      <c r="A34" s="129">
        <v>5.0</v>
      </c>
      <c r="B34" s="126" t="s">
        <v>131</v>
      </c>
      <c r="C34" s="128"/>
      <c r="D34" s="140" t="s">
        <v>132</v>
      </c>
    </row>
    <row r="35">
      <c r="B35" s="119"/>
    </row>
    <row r="36">
      <c r="B36" s="119"/>
    </row>
    <row r="37">
      <c r="B37" s="119"/>
    </row>
    <row r="38">
      <c r="B38" s="119"/>
    </row>
    <row r="39">
      <c r="B39" s="119"/>
    </row>
    <row r="40">
      <c r="B40" s="119"/>
    </row>
  </sheetData>
  <mergeCells count="13">
    <mergeCell ref="C18:C19"/>
    <mergeCell ref="C20:C21"/>
    <mergeCell ref="C22:C23"/>
    <mergeCell ref="C25:C26"/>
    <mergeCell ref="C27:C28"/>
    <mergeCell ref="A29:D29"/>
    <mergeCell ref="A1:C1"/>
    <mergeCell ref="C5:C6"/>
    <mergeCell ref="C7:C8"/>
    <mergeCell ref="C9:C10"/>
    <mergeCell ref="C11:C12"/>
    <mergeCell ref="C14:C15"/>
    <mergeCell ref="C16:C17"/>
  </mergeCells>
  <hyperlinks>
    <hyperlink r:id="rId1" ref="D3"/>
    <hyperlink r:id="rId2" ref="C5"/>
    <hyperlink r:id="rId3" ref="B6"/>
    <hyperlink r:id="rId4" ref="C7"/>
    <hyperlink r:id="rId5" ref="B8"/>
    <hyperlink r:id="rId6" ref="C9"/>
    <hyperlink r:id="rId7" ref="B10"/>
    <hyperlink r:id="rId8" ref="B12"/>
    <hyperlink r:id="rId9" ref="C14"/>
    <hyperlink r:id="rId10" ref="B15"/>
    <hyperlink r:id="rId11" ref="C16"/>
    <hyperlink r:id="rId12" ref="B17"/>
    <hyperlink r:id="rId13" ref="C18"/>
    <hyperlink r:id="rId14" ref="B19"/>
    <hyperlink r:id="rId15" ref="C20"/>
    <hyperlink r:id="rId16" ref="B21"/>
    <hyperlink r:id="rId17" ref="C22"/>
    <hyperlink r:id="rId18" ref="B23"/>
    <hyperlink r:id="rId19" ref="C25"/>
    <hyperlink r:id="rId20" ref="B26"/>
    <hyperlink r:id="rId21" ref="C27"/>
    <hyperlink r:id="rId22" ref="B28"/>
    <hyperlink r:id="rId23" ref="D30"/>
    <hyperlink r:id="rId24" ref="D31"/>
    <hyperlink r:id="rId25" ref="D32"/>
    <hyperlink r:id="rId26" ref="D33"/>
    <hyperlink r:id="rId27" ref="D34"/>
  </hyperlinks>
  <drawing r:id="rId2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75"/>
    <col customWidth="1" min="2" max="2" width="14.25"/>
    <col customWidth="1" min="3" max="6" width="8.13"/>
    <col customWidth="1" min="7" max="7" width="9.63"/>
    <col customWidth="1" min="8" max="8" width="8.13"/>
    <col customWidth="1" min="9" max="9" width="4.5"/>
    <col customWidth="1" min="10" max="10" width="7.5"/>
    <col customWidth="1" min="11" max="11" width="20.13"/>
    <col customWidth="1" min="14" max="14" width="4.88"/>
  </cols>
  <sheetData>
    <row r="1">
      <c r="A1" s="29"/>
      <c r="B1" s="141" t="s">
        <v>133</v>
      </c>
      <c r="F1" s="142"/>
    </row>
    <row r="2">
      <c r="A2" s="29"/>
      <c r="F2" s="142"/>
    </row>
    <row r="3">
      <c r="A3" s="143">
        <v>0.0</v>
      </c>
      <c r="B3" s="144" t="s">
        <v>134</v>
      </c>
      <c r="C3" s="145" t="s">
        <v>135</v>
      </c>
      <c r="D3" s="145" t="s">
        <v>136</v>
      </c>
      <c r="E3" s="145" t="s">
        <v>137</v>
      </c>
      <c r="F3" s="145" t="s">
        <v>138</v>
      </c>
      <c r="G3" s="145" t="s">
        <v>139</v>
      </c>
      <c r="H3" s="145" t="s">
        <v>140</v>
      </c>
      <c r="J3" s="144" t="str">
        <f>A13</f>
        <v>#N/A</v>
      </c>
      <c r="K3" s="144" t="s">
        <v>134</v>
      </c>
      <c r="L3" s="144" t="s">
        <v>141</v>
      </c>
      <c r="M3" s="144" t="s">
        <v>140</v>
      </c>
    </row>
    <row r="4">
      <c r="A4" s="146">
        <f t="shared" ref="A4:A13" si="1">IF(B4="",A3,IF(AND(G4&gt;1000,H4&lt;-3),A3+1,A3))</f>
        <v>0</v>
      </c>
      <c r="B4" s="147" t="s">
        <v>142</v>
      </c>
      <c r="C4" s="13">
        <f>IFERROR(__xludf.DUMMYFUNCTION("IF(B4="""","""",GOOGLEFINANCE(""NSE:""&amp;B4,""PRICEOPEN""))"),103.16)</f>
        <v>103.16</v>
      </c>
      <c r="D4" s="148">
        <f>IFERROR(__xludf.DUMMYFUNCTION("IF(B4="""","""",GOOGLEFINANCE(""NSE:""&amp;B4,""HIGH""))"),103.56)</f>
        <v>103.56</v>
      </c>
      <c r="E4" s="148">
        <f>IFERROR(__xludf.DUMMYFUNCTION("IF(B4="""","""",GOOGLEFINANCE(""NSE:""&amp;B4,""LOW""))"),102.39)</f>
        <v>102.39</v>
      </c>
      <c r="F4" s="148">
        <f>IFERROR(__xludf.DUMMYFUNCTION("IF(B4="""","""",GOOGLEFINANCE(""NSE:""&amp;B4))"),103.58)</f>
        <v>103.58</v>
      </c>
      <c r="G4" s="149">
        <f>IFERROR(__xludf.DUMMYFUNCTION("IF(B4="""","""",GOOGLEFINANCE(""NSE:""&amp;B4,""VOLUME""))"),622947.0)</f>
        <v>622947</v>
      </c>
      <c r="H4" s="148">
        <f>IFERROR(__xludf.DUMMYFUNCTION("IF(B4="""","""",GOOGLEFINANCE(""NSE:""&amp;B4,""changepct""))"),-0.15)</f>
        <v>-0.15</v>
      </c>
      <c r="I4" s="150"/>
      <c r="J4" s="144" t="str">
        <f>IF(J3&gt;=1,1,"")</f>
        <v>#N/A</v>
      </c>
      <c r="K4" s="151" t="str">
        <f>IF(J4="","NO ETF WHERE CHANGE% BELOW -3 AND VOLUME ABOVE 1000",VLOOKUP(J4,A$4:B$39,2,0))</f>
        <v>#N/A</v>
      </c>
      <c r="L4" s="148" t="str">
        <f>IFERROR(__xludf.DUMMYFUNCTION("IF(J4="""","""",GOOGLEFINANCE(""NSE:""&amp;K4))"),"#N/A")</f>
        <v>#N/A</v>
      </c>
      <c r="M4" s="152" t="str">
        <f>IFERROR(__xludf.DUMMYFUNCTION("IF(J4="""","""",GOOGLEFINANCE(""NSE:""&amp;K4,""CHANGEPCT""))"),"#N/A")</f>
        <v>#N/A</v>
      </c>
    </row>
    <row r="5">
      <c r="A5" s="146">
        <f t="shared" si="1"/>
        <v>0</v>
      </c>
      <c r="B5" s="147" t="s">
        <v>143</v>
      </c>
      <c r="C5" s="13">
        <f>IFERROR(__xludf.DUMMYFUNCTION("IF(B5="""","""",GOOGLEFINANCE(""NSE:""&amp;B5,""PRICEOPEN""))"),270.2)</f>
        <v>270.2</v>
      </c>
      <c r="D5" s="148">
        <f>IFERROR(__xludf.DUMMYFUNCTION("IF(B5="""","""",GOOGLEFINANCE(""NSE:""&amp;B5,""HIGH""))"),271.83)</f>
        <v>271.83</v>
      </c>
      <c r="E5" s="148">
        <f>IFERROR(__xludf.DUMMYFUNCTION("IF(B5="""","""",GOOGLEFINANCE(""NSE:""&amp;B5,""LOW""))"),270.1)</f>
        <v>270.1</v>
      </c>
      <c r="F5" s="148">
        <f>IFERROR(__xludf.DUMMYFUNCTION("IF(B5="""","""",GOOGLEFINANCE(""NSE:""&amp;B5))"),271.41)</f>
        <v>271.41</v>
      </c>
      <c r="G5" s="149">
        <f>IFERROR(__xludf.DUMMYFUNCTION("IF(B5="""","""",GOOGLEFINANCE(""NSE:""&amp;B5,""VOLUME""))"),1974470.0)</f>
        <v>1974470</v>
      </c>
      <c r="H5" s="148">
        <f>IFERROR(__xludf.DUMMYFUNCTION("IF(B5="""","""",GOOGLEFINANCE(""NSE:""&amp;B5,""changepct""))"),0.19)</f>
        <v>0.19</v>
      </c>
      <c r="J5" s="144" t="str">
        <f t="shared" ref="J5:J13" si="2">IF(J$3&gt;J4,J4+1,"")</f>
        <v>#N/A</v>
      </c>
      <c r="K5" s="144" t="str">
        <f t="shared" ref="K5:K13" si="3">IF(J5="","",VLOOKUP(J5,A$4:B$39,2,0))</f>
        <v>#N/A</v>
      </c>
      <c r="L5" s="148" t="str">
        <f>IFERROR(__xludf.DUMMYFUNCTION("IF(J5="""","""",GOOGLEFINANCE(""NSE:""&amp;K5))"),"#N/A")</f>
        <v>#N/A</v>
      </c>
      <c r="M5" s="152" t="str">
        <f>IFERROR(__xludf.DUMMYFUNCTION("IF(J5="""","""",GOOGLEFINANCE(""NSE:""&amp;K5,""CHANGEPCT""))"),"#N/A")</f>
        <v>#N/A</v>
      </c>
    </row>
    <row r="6">
      <c r="A6" s="146">
        <f t="shared" si="1"/>
        <v>0</v>
      </c>
      <c r="B6" s="147" t="s">
        <v>144</v>
      </c>
      <c r="C6" s="13">
        <f>IFERROR(__xludf.DUMMYFUNCTION("IF(B6="""","""",GOOGLEFINANCE(""NSE:""&amp;B6,""PRICEOPEN""))"),570.45)</f>
        <v>570.45</v>
      </c>
      <c r="D6" s="148">
        <f>IFERROR(__xludf.DUMMYFUNCTION("IF(B6="""","""",GOOGLEFINANCE(""NSE:""&amp;B6,""HIGH""))"),571.17)</f>
        <v>571.17</v>
      </c>
      <c r="E6" s="148">
        <f>IFERROR(__xludf.DUMMYFUNCTION("IF(B6="""","""",GOOGLEFINANCE(""NSE:""&amp;B6,""LOW""))"),567.02)</f>
        <v>567.02</v>
      </c>
      <c r="F6" s="148">
        <f>IFERROR(__xludf.DUMMYFUNCTION("IF(B6="""","""",GOOGLEFINANCE(""NSE:""&amp;B6))"),569.44)</f>
        <v>569.44</v>
      </c>
      <c r="G6" s="149">
        <f>IFERROR(__xludf.DUMMYFUNCTION("IF(B6="""","""",GOOGLEFINANCE(""NSE:""&amp;B6,""VOLUME""))"),305164.0)</f>
        <v>305164</v>
      </c>
      <c r="H6" s="148">
        <f>IFERROR(__xludf.DUMMYFUNCTION("IF(B6="""","""",GOOGLEFINANCE(""NSE:""&amp;B6,""changepct""))"),0.07)</f>
        <v>0.07</v>
      </c>
      <c r="J6" s="144" t="str">
        <f t="shared" si="2"/>
        <v>#N/A</v>
      </c>
      <c r="K6" s="144" t="str">
        <f t="shared" si="3"/>
        <v>#N/A</v>
      </c>
      <c r="L6" s="148" t="str">
        <f>IFERROR(__xludf.DUMMYFUNCTION("IF(J6="""","""",GOOGLEFINANCE(""NSE:""&amp;K6))"),"#N/A")</f>
        <v>#N/A</v>
      </c>
      <c r="M6" s="152" t="str">
        <f>IFERROR(__xludf.DUMMYFUNCTION("IF(J6="""","""",GOOGLEFINANCE(""NSE:""&amp;K6,""CHANGEPCT""))"),"#N/A")</f>
        <v>#N/A</v>
      </c>
    </row>
    <row r="7">
      <c r="A7" s="146">
        <f t="shared" si="1"/>
        <v>0</v>
      </c>
      <c r="B7" s="147" t="s">
        <v>145</v>
      </c>
      <c r="C7" s="13">
        <f>IFERROR(__xludf.DUMMYFUNCTION("IF(B7="""","""",GOOGLEFINANCE(""NSE:""&amp;B7,""PRICEOPEN""))"),118.9)</f>
        <v>118.9</v>
      </c>
      <c r="D7" s="148">
        <f>IFERROR(__xludf.DUMMYFUNCTION("IF(B7="""","""",GOOGLEFINANCE(""NSE:""&amp;B7,""HIGH""))"),122.1)</f>
        <v>122.1</v>
      </c>
      <c r="E7" s="148">
        <f>IFERROR(__xludf.DUMMYFUNCTION("IF(B7="""","""",GOOGLEFINANCE(""NSE:""&amp;B7,""LOW""))"),118.9)</f>
        <v>118.9</v>
      </c>
      <c r="F7" s="148">
        <f>IFERROR(__xludf.DUMMYFUNCTION("IF(B7="""","""",GOOGLEFINANCE(""NSE:""&amp;B7))"),121.99)</f>
        <v>121.99</v>
      </c>
      <c r="G7" s="149">
        <f>IFERROR(__xludf.DUMMYFUNCTION("IF(B7="""","""",GOOGLEFINANCE(""NSE:""&amp;B7,""VOLUME""))"),77298.0)</f>
        <v>77298</v>
      </c>
      <c r="H7" s="148">
        <f>IFERROR(__xludf.DUMMYFUNCTION("IF(B7="""","""",GOOGLEFINANCE(""NSE:""&amp;B7,""changepct""))"),0.33)</f>
        <v>0.33</v>
      </c>
      <c r="J7" s="144" t="str">
        <f t="shared" si="2"/>
        <v>#N/A</v>
      </c>
      <c r="K7" s="144" t="str">
        <f t="shared" si="3"/>
        <v>#N/A</v>
      </c>
      <c r="L7" s="148" t="str">
        <f>IFERROR(__xludf.DUMMYFUNCTION("IF(J7="""","""",GOOGLEFINANCE(""NSE:""&amp;K7))"),"#N/A")</f>
        <v>#N/A</v>
      </c>
      <c r="M7" s="152" t="str">
        <f>IFERROR(__xludf.DUMMYFUNCTION("IF(J7="""","""",GOOGLEFINANCE(""NSE:""&amp;K7,""CHANGEPCT""))"),"#N/A")</f>
        <v>#N/A</v>
      </c>
    </row>
    <row r="8">
      <c r="A8" s="146" t="str">
        <f t="shared" si="1"/>
        <v>#N/A</v>
      </c>
      <c r="B8" s="147" t="s">
        <v>146</v>
      </c>
      <c r="C8" s="13" t="str">
        <f>IFERROR(__xludf.DUMMYFUNCTION("IF(B8="""","""",GOOGLEFINANCE(""NSE:""&amp;B8,""PRICEOPEN""))"),"#N/A")</f>
        <v>#N/A</v>
      </c>
      <c r="D8" s="148" t="str">
        <f>IFERROR(__xludf.DUMMYFUNCTION("IF(B8="""","""",GOOGLEFINANCE(""NSE:""&amp;B8,""HIGH""))"),"#N/A")</f>
        <v>#N/A</v>
      </c>
      <c r="E8" s="148" t="str">
        <f>IFERROR(__xludf.DUMMYFUNCTION("IF(B8="""","""",GOOGLEFINANCE(""NSE:""&amp;B8,""LOW""))"),"#N/A")</f>
        <v>#N/A</v>
      </c>
      <c r="F8" s="148" t="str">
        <f>IFERROR(__xludf.DUMMYFUNCTION("IF(B8="""","""",GOOGLEFINANCE(""NSE:""&amp;B8))"),"#N/A")</f>
        <v>#N/A</v>
      </c>
      <c r="G8" s="149" t="str">
        <f>IFERROR(__xludf.DUMMYFUNCTION("IF(B8="""","""",GOOGLEFINANCE(""NSE:""&amp;B8,""VOLUME""))"),"#N/A")</f>
        <v>#N/A</v>
      </c>
      <c r="H8" s="148" t="str">
        <f>IFERROR(__xludf.DUMMYFUNCTION("IF(B8="""","""",GOOGLEFINANCE(""NSE:""&amp;B8,""changepct""))"),"#N/A")</f>
        <v>#N/A</v>
      </c>
      <c r="J8" s="144" t="str">
        <f t="shared" si="2"/>
        <v>#N/A</v>
      </c>
      <c r="K8" s="144" t="str">
        <f t="shared" si="3"/>
        <v>#N/A</v>
      </c>
      <c r="L8" s="148" t="str">
        <f>IFERROR(__xludf.DUMMYFUNCTION("IF(J8="""","""",GOOGLEFINANCE(""NSE:""&amp;K8))"),"#N/A")</f>
        <v>#N/A</v>
      </c>
      <c r="M8" s="152" t="str">
        <f>IFERROR(__xludf.DUMMYFUNCTION("IF(J8="""","""",GOOGLEFINANCE(""NSE:""&amp;K8,""CHANGEPCT""))"),"#N/A")</f>
        <v>#N/A</v>
      </c>
    </row>
    <row r="9">
      <c r="A9" s="146" t="str">
        <f t="shared" si="1"/>
        <v>#N/A</v>
      </c>
      <c r="B9" s="147" t="s">
        <v>147</v>
      </c>
      <c r="C9" s="13">
        <f>IFERROR(__xludf.DUMMYFUNCTION("IF(B9="""","""",GOOGLEFINANCE(""NSE:""&amp;B9,""PRICEOPEN""))"),758.17)</f>
        <v>758.17</v>
      </c>
      <c r="D9" s="148">
        <f>IFERROR(__xludf.DUMMYFUNCTION("IF(B9="""","""",GOOGLEFINANCE(""NSE:""&amp;B9,""HIGH""))"),771.3)</f>
        <v>771.3</v>
      </c>
      <c r="E9" s="148">
        <f>IFERROR(__xludf.DUMMYFUNCTION("IF(B9="""","""",GOOGLEFINANCE(""NSE:""&amp;B9,""LOW""))"),758.17)</f>
        <v>758.17</v>
      </c>
      <c r="F9" s="148">
        <f>IFERROR(__xludf.DUMMYFUNCTION("IF(B9="""","""",GOOGLEFINANCE(""NSE:""&amp;B9))"),770.7)</f>
        <v>770.7</v>
      </c>
      <c r="G9" s="149">
        <f>IFERROR(__xludf.DUMMYFUNCTION("IF(B9="""","""",GOOGLEFINANCE(""NSE:""&amp;B9,""VOLUME""))"),188727.0)</f>
        <v>188727</v>
      </c>
      <c r="H9" s="148">
        <f>IFERROR(__xludf.DUMMYFUNCTION("IF(B9="""","""",GOOGLEFINANCE(""NSE:""&amp;B9,""changepct""))"),0.71)</f>
        <v>0.71</v>
      </c>
      <c r="J9" s="144" t="str">
        <f t="shared" si="2"/>
        <v>#N/A</v>
      </c>
      <c r="K9" s="144" t="str">
        <f t="shared" si="3"/>
        <v>#N/A</v>
      </c>
      <c r="L9" s="148" t="str">
        <f>IFERROR(__xludf.DUMMYFUNCTION("IF(J9="""","""",GOOGLEFINANCE(""NSE:""&amp;K9))"),"#N/A")</f>
        <v>#N/A</v>
      </c>
      <c r="M9" s="152" t="str">
        <f>IFERROR(__xludf.DUMMYFUNCTION("IF(J9="""","""",GOOGLEFINANCE(""NSE:""&amp;K9,""CHANGEPCT""))"),"#N/A")</f>
        <v>#N/A</v>
      </c>
    </row>
    <row r="10">
      <c r="A10" s="146" t="str">
        <f t="shared" si="1"/>
        <v>#N/A</v>
      </c>
      <c r="B10" s="147" t="s">
        <v>148</v>
      </c>
      <c r="C10" s="13">
        <f>IFERROR(__xludf.DUMMYFUNCTION("IF(B10="""","""",GOOGLEFINANCE(""NSE:""&amp;B10,""PRICEOPEN""))"),219.52)</f>
        <v>219.52</v>
      </c>
      <c r="D10" s="148">
        <f>IFERROR(__xludf.DUMMYFUNCTION("IF(B10="""","""",GOOGLEFINANCE(""NSE:""&amp;B10,""HIGH""))"),221.26)</f>
        <v>221.26</v>
      </c>
      <c r="E10" s="148">
        <f>IFERROR(__xludf.DUMMYFUNCTION("IF(B10="""","""",GOOGLEFINANCE(""NSE:""&amp;B10,""LOW""))"),219.52)</f>
        <v>219.52</v>
      </c>
      <c r="F10" s="148">
        <f>IFERROR(__xludf.DUMMYFUNCTION("IF(B10="""","""",GOOGLEFINANCE(""NSE:""&amp;B10))"),220.45)</f>
        <v>220.45</v>
      </c>
      <c r="G10" s="149">
        <f>IFERROR(__xludf.DUMMYFUNCTION("IF(B10="""","""",GOOGLEFINANCE(""NSE:""&amp;B10,""VOLUME""))"),185.0)</f>
        <v>185</v>
      </c>
      <c r="H10" s="148">
        <f>IFERROR(__xludf.DUMMYFUNCTION("IF(B10="""","""",GOOGLEFINANCE(""NSE:""&amp;B10,""changepct""))"),0.26)</f>
        <v>0.26</v>
      </c>
      <c r="J10" s="144" t="str">
        <f t="shared" si="2"/>
        <v>#N/A</v>
      </c>
      <c r="K10" s="144" t="str">
        <f t="shared" si="3"/>
        <v>#N/A</v>
      </c>
      <c r="L10" s="148" t="str">
        <f>IFERROR(__xludf.DUMMYFUNCTION("IF(J10="""","""",GOOGLEFINANCE(""NSE:""&amp;K10))"),"#N/A")</f>
        <v>#N/A</v>
      </c>
      <c r="M10" s="152" t="str">
        <f>IFERROR(__xludf.DUMMYFUNCTION("IF(J10="""","""",GOOGLEFINANCE(""NSE:""&amp;K10,""CHANGEPCT""))"),"#N/A")</f>
        <v>#N/A</v>
      </c>
    </row>
    <row r="11">
      <c r="A11" s="146" t="str">
        <f t="shared" si="1"/>
        <v>#N/A</v>
      </c>
      <c r="B11" s="147" t="s">
        <v>149</v>
      </c>
      <c r="C11" s="13" t="str">
        <f>IFERROR(__xludf.DUMMYFUNCTION("IF(B11="""","""",GOOGLEFINANCE(""NSE:""&amp;B11,""PRICEOPEN""))"),"#N/A")</f>
        <v>#N/A</v>
      </c>
      <c r="D11" s="148" t="str">
        <f>IFERROR(__xludf.DUMMYFUNCTION("IF(B11="""","""",GOOGLEFINANCE(""NSE:""&amp;B11,""HIGH""))"),"#N/A")</f>
        <v>#N/A</v>
      </c>
      <c r="E11" s="148" t="str">
        <f>IFERROR(__xludf.DUMMYFUNCTION("IF(B11="""","""",GOOGLEFINANCE(""NSE:""&amp;B11,""LOW""))"),"#N/A")</f>
        <v>#N/A</v>
      </c>
      <c r="F11" s="148" t="str">
        <f>IFERROR(__xludf.DUMMYFUNCTION("IF(B11="""","""",GOOGLEFINANCE(""NSE:""&amp;B11))"),"#N/A")</f>
        <v>#N/A</v>
      </c>
      <c r="G11" s="149" t="str">
        <f>IFERROR(__xludf.DUMMYFUNCTION("IF(B11="""","""",GOOGLEFINANCE(""NSE:""&amp;B11,""VOLUME""))"),"#N/A")</f>
        <v>#N/A</v>
      </c>
      <c r="H11" s="148" t="str">
        <f>IFERROR(__xludf.DUMMYFUNCTION("IF(B11="""","""",GOOGLEFINANCE(""NSE:""&amp;B11,""changepct""))"),"#N/A")</f>
        <v>#N/A</v>
      </c>
      <c r="J11" s="144" t="str">
        <f t="shared" si="2"/>
        <v>#N/A</v>
      </c>
      <c r="K11" s="144" t="str">
        <f t="shared" si="3"/>
        <v>#N/A</v>
      </c>
      <c r="L11" s="148" t="str">
        <f>IFERROR(__xludf.DUMMYFUNCTION("IF(J11="""","""",GOOGLEFINANCE(""NSE:""&amp;K11))"),"#N/A")</f>
        <v>#N/A</v>
      </c>
      <c r="M11" s="152" t="str">
        <f>IFERROR(__xludf.DUMMYFUNCTION("IF(J11="""","""",GOOGLEFINANCE(""NSE:""&amp;K11,""CHANGEPCT""))"),"#N/A")</f>
        <v>#N/A</v>
      </c>
    </row>
    <row r="12">
      <c r="A12" s="146" t="str">
        <f t="shared" si="1"/>
        <v>#N/A</v>
      </c>
      <c r="B12" s="147"/>
      <c r="C12" s="13" t="str">
        <f>IFERROR(__xludf.DUMMYFUNCTION("IF(B12="""","""",GOOGLEFINANCE(""NSE:""&amp;B12,""PRICEOPEN""))"),"")</f>
        <v/>
      </c>
      <c r="D12" s="148" t="str">
        <f>IFERROR(__xludf.DUMMYFUNCTION("IF(B12="""","""",GOOGLEFINANCE(""NSE:""&amp;B12,""HIGH""))"),"")</f>
        <v/>
      </c>
      <c r="E12" s="148" t="str">
        <f>IFERROR(__xludf.DUMMYFUNCTION("IF(B12="""","""",GOOGLEFINANCE(""NSE:""&amp;B12,""LOW""))"),"")</f>
        <v/>
      </c>
      <c r="F12" s="148" t="str">
        <f>IFERROR(__xludf.DUMMYFUNCTION("IF(B12="""","""",GOOGLEFINANCE(""NSE:""&amp;B12))"),"")</f>
        <v/>
      </c>
      <c r="G12" s="149" t="str">
        <f>IFERROR(__xludf.DUMMYFUNCTION("IF(B12="""","""",GOOGLEFINANCE(""NSE:""&amp;B12,""VOLUME""))"),"")</f>
        <v/>
      </c>
      <c r="H12" s="148" t="str">
        <f>IFERROR(__xludf.DUMMYFUNCTION("IF(B12="""","""",GOOGLEFINANCE(""NSE:""&amp;B12,""changepct""))"),"")</f>
        <v/>
      </c>
      <c r="J12" s="144" t="str">
        <f t="shared" si="2"/>
        <v>#N/A</v>
      </c>
      <c r="K12" s="144" t="str">
        <f t="shared" si="3"/>
        <v>#N/A</v>
      </c>
      <c r="L12" s="148" t="str">
        <f>IFERROR(__xludf.DUMMYFUNCTION("IF(J12="""","""",GOOGLEFINANCE(""NSE:""&amp;K12))"),"#N/A")</f>
        <v>#N/A</v>
      </c>
      <c r="M12" s="152" t="str">
        <f>IFERROR(__xludf.DUMMYFUNCTION("IF(J12="""","""",GOOGLEFINANCE(""NSE:""&amp;K12,""CHANGEPCT""))"),"#N/A")</f>
        <v>#N/A</v>
      </c>
    </row>
    <row r="13">
      <c r="A13" s="146" t="str">
        <f t="shared" si="1"/>
        <v>#N/A</v>
      </c>
      <c r="B13" s="147"/>
      <c r="C13" s="13" t="str">
        <f>IFERROR(__xludf.DUMMYFUNCTION("IF(B13="""","""",GOOGLEFINANCE(""NSE:""&amp;B13,""PRICEOPEN""))"),"")</f>
        <v/>
      </c>
      <c r="D13" s="148" t="str">
        <f>IFERROR(__xludf.DUMMYFUNCTION("IF(B13="""","""",GOOGLEFINANCE(""NSE:""&amp;B13,""HIGH""))"),"")</f>
        <v/>
      </c>
      <c r="E13" s="148" t="str">
        <f>IFERROR(__xludf.DUMMYFUNCTION("IF(B13="""","""",GOOGLEFINANCE(""NSE:""&amp;B13,""LOW""))"),"")</f>
        <v/>
      </c>
      <c r="F13" s="148" t="str">
        <f>IFERROR(__xludf.DUMMYFUNCTION("IF(B13="""","""",GOOGLEFINANCE(""NSE:""&amp;B13))"),"")</f>
        <v/>
      </c>
      <c r="G13" s="149" t="str">
        <f>IFERROR(__xludf.DUMMYFUNCTION("IF(B13="""","""",GOOGLEFINANCE(""NSE:""&amp;B13,""VOLUME""))"),"")</f>
        <v/>
      </c>
      <c r="H13" s="148" t="str">
        <f>IFERROR(__xludf.DUMMYFUNCTION("IF(B13="""","""",GOOGLEFINANCE(""NSE:""&amp;B13,""changepct""))"),"")</f>
        <v/>
      </c>
      <c r="J13" s="144" t="str">
        <f t="shared" si="2"/>
        <v>#N/A</v>
      </c>
      <c r="K13" s="144" t="str">
        <f t="shared" si="3"/>
        <v>#N/A</v>
      </c>
      <c r="L13" s="148" t="str">
        <f>IFERROR(__xludf.DUMMYFUNCTION("IF(J13="""","""",GOOGLEFINANCE(""NSE:""&amp;K13))"),"#N/A")</f>
        <v>#N/A</v>
      </c>
      <c r="M13" s="152" t="str">
        <f>IFERROR(__xludf.DUMMYFUNCTION("IF(J13="""","""",GOOGLEFINANCE(""NSE:""&amp;K13,""CHANGEPCT""))"),"#N/A")</f>
        <v>#N/A</v>
      </c>
    </row>
    <row r="14">
      <c r="A14" s="146"/>
      <c r="B14" s="153"/>
      <c r="C14" s="52"/>
      <c r="D14" s="154"/>
      <c r="E14" s="154"/>
      <c r="F14" s="154"/>
      <c r="G14" s="155"/>
      <c r="H14" s="154"/>
      <c r="J14" s="156"/>
      <c r="K14" s="156"/>
      <c r="L14" s="154"/>
      <c r="M14" s="157"/>
    </row>
    <row r="15">
      <c r="A15" s="146"/>
      <c r="B15" s="158" t="str">
        <f>HYPERLINK("https://www.youtube.com/channel/UCDbfoNplY71wi5e_qiO_szg?view_as=subscriber","SUBSCRIBE")</f>
        <v>SUBSCRIBE</v>
      </c>
      <c r="C15" s="52"/>
      <c r="D15" s="16" t="s">
        <v>4</v>
      </c>
      <c r="E15" s="154"/>
      <c r="F15" s="154"/>
      <c r="G15" s="155"/>
      <c r="H15" s="154"/>
      <c r="J15" s="156"/>
      <c r="K15" s="156"/>
      <c r="L15" s="154"/>
      <c r="M15" s="157"/>
    </row>
    <row r="16">
      <c r="A16" s="146"/>
      <c r="B16" s="153"/>
      <c r="C16" s="52"/>
      <c r="D16" s="17" t="s">
        <v>5</v>
      </c>
      <c r="E16" s="154"/>
      <c r="F16" s="154"/>
      <c r="G16" s="155"/>
      <c r="H16" s="154"/>
      <c r="J16" s="156"/>
      <c r="K16" s="156"/>
      <c r="L16" s="154"/>
      <c r="M16" s="157"/>
    </row>
    <row r="17">
      <c r="A17" s="146"/>
      <c r="B17" s="153"/>
      <c r="C17" s="52"/>
      <c r="D17" s="154"/>
      <c r="E17" s="154"/>
      <c r="F17" s="154"/>
      <c r="G17" s="155"/>
      <c r="H17" s="154"/>
      <c r="J17" s="156"/>
      <c r="K17" s="156"/>
      <c r="L17" s="154"/>
      <c r="M17" s="157"/>
    </row>
    <row r="18">
      <c r="A18" s="146"/>
      <c r="B18" s="153"/>
      <c r="C18" s="52"/>
      <c r="D18" s="154"/>
      <c r="E18" s="154"/>
      <c r="F18" s="154"/>
      <c r="G18" s="155"/>
      <c r="H18" s="154"/>
      <c r="J18" s="156"/>
      <c r="K18" s="156"/>
      <c r="L18" s="154"/>
      <c r="M18" s="157"/>
    </row>
    <row r="19">
      <c r="A19" s="146"/>
      <c r="B19" s="153"/>
      <c r="C19" s="52"/>
      <c r="D19" s="154"/>
      <c r="E19" s="154"/>
      <c r="F19" s="154"/>
      <c r="G19" s="155"/>
      <c r="H19" s="154"/>
      <c r="J19" s="156"/>
      <c r="K19" s="156"/>
      <c r="L19" s="154"/>
      <c r="M19" s="157"/>
    </row>
    <row r="20">
      <c r="A20" s="146"/>
      <c r="B20" s="153"/>
      <c r="C20" s="52"/>
      <c r="D20" s="154"/>
      <c r="E20" s="154"/>
      <c r="F20" s="154"/>
      <c r="G20" s="155"/>
      <c r="H20" s="154"/>
      <c r="J20" s="156"/>
      <c r="K20" s="156"/>
      <c r="L20" s="154"/>
      <c r="M20" s="157"/>
    </row>
    <row r="21">
      <c r="A21" s="146"/>
      <c r="B21" s="153"/>
      <c r="C21" s="52"/>
      <c r="D21" s="154"/>
      <c r="E21" s="154"/>
      <c r="F21" s="154"/>
      <c r="G21" s="155"/>
      <c r="H21" s="154"/>
      <c r="J21" s="156"/>
      <c r="K21" s="156"/>
      <c r="L21" s="154"/>
      <c r="M21" s="157"/>
    </row>
  </sheetData>
  <hyperlinks>
    <hyperlink r:id="rId1" ref="D16"/>
  </hyperlinks>
  <drawing r:id="rId2"/>
</worksheet>
</file>