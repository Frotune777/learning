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ays Final List" sheetId="1" r:id="rId5"/>
    <sheet state="visible" name="REIT INVIT" sheetId="2" r:id="rId6"/>
    <sheet state="visible" name="PSU Stocks" sheetId="3" r:id="rId7"/>
    <sheet state="visible" name="ETF" sheetId="4" r:id="rId8"/>
    <sheet state="visible" name="Nifty 100" sheetId="5" r:id="rId9"/>
    <sheet state="visible" name="Nifty 200" sheetId="6" r:id="rId10"/>
    <sheet state="visible" name="Nifty 50" sheetId="7" r:id="rId11"/>
    <sheet state="visible" name="Nifty Mid Small Cap 400" sheetId="8" r:id="rId12"/>
  </sheets>
  <definedNames/>
  <calcPr/>
</workbook>
</file>

<file path=xl/sharedStrings.xml><?xml version="1.0" encoding="utf-8"?>
<sst xmlns="http://schemas.openxmlformats.org/spreadsheetml/2006/main" count="943" uniqueCount="569">
  <si>
    <t>Today Final List  ( below stocks are eligable for fresh starting of turtle system, please remember these stocks are not for immidiate buy, feed a GTT order on 55 day high and update  it regularly untill GTT order will trigger. watch this video for full understanding:-</t>
  </si>
  <si>
    <t>बगैर स्टाॅप लाॅस की टर्टल ट्रेडिंग Turtle Trading Without  Stop Loss</t>
  </si>
  <si>
    <t xml:space="preserve">मैं व्यक्तिगत रूप से स्टाॅप लाॅस लगाने में विश्वास नहीं करता । मेरे टर्टल ट्रेडिंग के वीडियो में मैनें स्टाॅप लाॅस लगाना बताया क्यों कि </t>
  </si>
  <si>
    <t>Read Full Story Here</t>
  </si>
  <si>
    <t>http://www.maheshkaushik.com/2020/12/mahesh-kaushik-automated-google-finance.html</t>
  </si>
  <si>
    <t>https://www.youtube.com/watch?v=fv48GXn-e9o</t>
  </si>
  <si>
    <t xml:space="preserve">I personally do not believe in putting a stop loss. In my video of Turtle Trading, I told about the stop loss because                       </t>
  </si>
  <si>
    <t>Nifty 50 Stocks</t>
  </si>
  <si>
    <t>Nifty 100 Stocks</t>
  </si>
  <si>
    <t>Nifty 200 Stocks</t>
  </si>
  <si>
    <t>Nifty Mid Small 400 Stocks</t>
  </si>
  <si>
    <t>ETF</t>
  </si>
  <si>
    <t>REIT &amp;INVIT</t>
  </si>
  <si>
    <t>PSU Stocks</t>
  </si>
  <si>
    <t>Stock Name</t>
  </si>
  <si>
    <t xml:space="preserve">GTT Trigger Price (update regularly with 55 Day high from sheet) </t>
  </si>
  <si>
    <t>BSE Code</t>
  </si>
  <si>
    <t>CMP</t>
  </si>
  <si>
    <t>55 Day High</t>
  </si>
  <si>
    <t>52 Weeks High</t>
  </si>
  <si>
    <t>52 Weeks 
High Date</t>
  </si>
  <si>
    <t>52 Weeks Low</t>
  </si>
  <si>
    <t>52 Weeks 
Low Date</t>
  </si>
  <si>
    <t>20 Day Low</t>
  </si>
  <si>
    <t>% Diffarance between CMP and 55 Day High</t>
  </si>
  <si>
    <t>Output for GTT order starting</t>
  </si>
  <si>
    <t>Embassy Office Parks REIT</t>
  </si>
  <si>
    <t>BOM:542602</t>
  </si>
  <si>
    <t>Mindspace Business Parks REIT</t>
  </si>
  <si>
    <t>BOM:543217</t>
  </si>
  <si>
    <t>Brookfield India Real Estate Trust REIT</t>
  </si>
  <si>
    <t>BOM:543261</t>
  </si>
  <si>
    <t>POWERGRID Infrastructure Investment Trst</t>
  </si>
  <si>
    <t>BOM:543290</t>
  </si>
  <si>
    <t>India Grid Trust</t>
  </si>
  <si>
    <t>BOM:540565</t>
  </si>
  <si>
    <t>IRB Invit Fund</t>
  </si>
  <si>
    <t>BOM:540526</t>
  </si>
  <si>
    <t>Nexus select trust</t>
  </si>
  <si>
    <t>BOM:543913</t>
  </si>
  <si>
    <t>NSE:IFCI</t>
  </si>
  <si>
    <t>NSE:ITDC</t>
  </si>
  <si>
    <t>NSE:IRCTC</t>
  </si>
  <si>
    <t>NSE:HUDCO</t>
  </si>
  <si>
    <t>NSE:CHENNPETRO</t>
  </si>
  <si>
    <t>NSE:COCHINSHIP</t>
  </si>
  <si>
    <t>NSE:PFC</t>
  </si>
  <si>
    <t>NSE:GICRE</t>
  </si>
  <si>
    <t>NSE:ENGINERSIN</t>
  </si>
  <si>
    <t>NSE:RECLTD</t>
  </si>
  <si>
    <t>NSE:HINDPETRO</t>
  </si>
  <si>
    <t>NSE:CENTRALBK</t>
  </si>
  <si>
    <t>NSE:HAL</t>
  </si>
  <si>
    <t>NSE:IOC</t>
  </si>
  <si>
    <t>NSE:HINDCOPPER</t>
  </si>
  <si>
    <t>NSE:IRCON</t>
  </si>
  <si>
    <t>NSE:BEL</t>
  </si>
  <si>
    <t>NSE:NTPC</t>
  </si>
  <si>
    <t>NSE:NIACL</t>
  </si>
  <si>
    <t>NSE:POWERGRID</t>
  </si>
  <si>
    <t>NSE:RVNL</t>
  </si>
  <si>
    <t>NSE:MRPL</t>
  </si>
  <si>
    <t>NSE:BDL</t>
  </si>
  <si>
    <t>NSE:BPCL</t>
  </si>
  <si>
    <t>NSE:ONGC</t>
  </si>
  <si>
    <t>NSE:RITES</t>
  </si>
  <si>
    <t>NSE:MIDHANI</t>
  </si>
  <si>
    <t>NSE:NHPC</t>
  </si>
  <si>
    <t>NSE:SJVN</t>
  </si>
  <si>
    <t>NSE:CONCOR</t>
  </si>
  <si>
    <t>NSE:GRSE</t>
  </si>
  <si>
    <t>NSE:INDIANB</t>
  </si>
  <si>
    <t>NSE:BALMLAWRIE</t>
  </si>
  <si>
    <t>NSE:NBCC</t>
  </si>
  <si>
    <t>NSE:GAIL</t>
  </si>
  <si>
    <t>NSE:MMTC</t>
  </si>
  <si>
    <t>NSE:RCF</t>
  </si>
  <si>
    <t>NSE:BANKINDIA</t>
  </si>
  <si>
    <t>NSE:SCI</t>
  </si>
  <si>
    <t>NSE:ITI</t>
  </si>
  <si>
    <t>NSE:UNIONBANK</t>
  </si>
  <si>
    <t>NSE:NLCINDIA</t>
  </si>
  <si>
    <t>NSE:NATIONALUM</t>
  </si>
  <si>
    <t>NSE:GMDCLTD</t>
  </si>
  <si>
    <t>NSE:J&amp;KBANK</t>
  </si>
  <si>
    <t>NSE:CANBK</t>
  </si>
  <si>
    <t>NSE:BEML</t>
  </si>
  <si>
    <t>NSE:BHEL</t>
  </si>
  <si>
    <t>NSE:GUJGASLTD</t>
  </si>
  <si>
    <t>NSE:NMDC</t>
  </si>
  <si>
    <t>NSE:UCOBANK</t>
  </si>
  <si>
    <t>NSE:MOIL</t>
  </si>
  <si>
    <t>NSE:COALINDIA</t>
  </si>
  <si>
    <t>NSE:MAHABANK</t>
  </si>
  <si>
    <t>NSE:SAIL</t>
  </si>
  <si>
    <t>NSE:IOB</t>
  </si>
  <si>
    <t>NSE:BANKBARODA</t>
  </si>
  <si>
    <t>NSE:PNB</t>
  </si>
  <si>
    <t>NSE:OIL</t>
  </si>
  <si>
    <t>NSE:GOLDBEES</t>
  </si>
  <si>
    <t>NSE:CPSEETF</t>
  </si>
  <si>
    <t>NSE:NIFTYBEES</t>
  </si>
  <si>
    <t>NSE:NETFIT</t>
  </si>
  <si>
    <t>NSE:ICICIGOLD</t>
  </si>
  <si>
    <t>NSE:BANKBEES</t>
  </si>
  <si>
    <t>NSE:SETFNIFBK</t>
  </si>
  <si>
    <t>NSE:SETFNIF50</t>
  </si>
  <si>
    <t>NSE:ICICIB22</t>
  </si>
  <si>
    <t>NSE:PSUBNKBEES</t>
  </si>
  <si>
    <t>NSE:KOTAKBKETF</t>
  </si>
  <si>
    <t>NSE:MON100</t>
  </si>
  <si>
    <t>NSE:ICICINIFTY</t>
  </si>
  <si>
    <t>NSE:NETFMID150</t>
  </si>
  <si>
    <t>NSE:MOM100</t>
  </si>
  <si>
    <t>NSE:KOTAKNIFTY</t>
  </si>
  <si>
    <t>NSE:AXISGOLD</t>
  </si>
  <si>
    <t>NSE:JUNIORBEES</t>
  </si>
  <si>
    <t>NSE:KOTAKGOLD</t>
  </si>
  <si>
    <t>NSE:ICICIBANKP</t>
  </si>
  <si>
    <t>NSE:ICICITECH</t>
  </si>
  <si>
    <t>NSE:ICICIBANKN</t>
  </si>
  <si>
    <t>NSE:ICICINXT50</t>
  </si>
  <si>
    <t>Hind</t>
  </si>
  <si>
    <t>NSE:IGL</t>
  </si>
  <si>
    <t>NSE:BANDHANBNK</t>
  </si>
  <si>
    <t>NSE:ADANIPORTS</t>
  </si>
  <si>
    <t>NSE:HCLTECH</t>
  </si>
  <si>
    <t>NSE:LTI</t>
  </si>
  <si>
    <t>NSE:INDIGO</t>
  </si>
  <si>
    <t>NSE:TECHM</t>
  </si>
  <si>
    <t>NSE:HDFCAMC</t>
  </si>
  <si>
    <t>NSE:INFY</t>
  </si>
  <si>
    <t>NSE:CADILAHC</t>
  </si>
  <si>
    <t>NSE:NAUKRI</t>
  </si>
  <si>
    <t>NSE:ADANITRANS</t>
  </si>
  <si>
    <t>NSE:WIPRO</t>
  </si>
  <si>
    <t>NSE:TORNTPHARM</t>
  </si>
  <si>
    <t>NSE:ICICIPRULI</t>
  </si>
  <si>
    <t>NSE:BIOCON</t>
  </si>
  <si>
    <t>NSE:DLF</t>
  </si>
  <si>
    <t>NSE:PIDILITIND</t>
  </si>
  <si>
    <t>NSE:SUNPHARMA</t>
  </si>
  <si>
    <t>NSE:LUPIN</t>
  </si>
  <si>
    <t>NSE:LT</t>
  </si>
  <si>
    <t>NSE:NESTLEIND</t>
  </si>
  <si>
    <t>NSE:CIPLA</t>
  </si>
  <si>
    <t>NSE:TATACONSUM</t>
  </si>
  <si>
    <t>NSE:TITAN</t>
  </si>
  <si>
    <t>NSE:ICICIGI</t>
  </si>
  <si>
    <t>NSE:JSWSTEEL</t>
  </si>
  <si>
    <t>NSE:DIVISLAB</t>
  </si>
  <si>
    <t>NSE:EICHERMOT</t>
  </si>
  <si>
    <t>NSE:BERGEPAINT</t>
  </si>
  <si>
    <t>NSE:SIEMENS</t>
  </si>
  <si>
    <t>NSE:ASIANPAINT</t>
  </si>
  <si>
    <t>NSE:BHARTIARTL</t>
  </si>
  <si>
    <t>NSE:PETRONET</t>
  </si>
  <si>
    <t>NSE:HDFCLIFE</t>
  </si>
  <si>
    <t>NSE:AXISBANK</t>
  </si>
  <si>
    <t>NSE:TCS</t>
  </si>
  <si>
    <t>NSE:M&amp;M</t>
  </si>
  <si>
    <t>NSE:DRREDDY</t>
  </si>
  <si>
    <t>NSE:SBILIFE</t>
  </si>
  <si>
    <t>NSE:UPL</t>
  </si>
  <si>
    <t>NSE:BOSCHLTD</t>
  </si>
  <si>
    <t>NSE:AUROPHARMA</t>
  </si>
  <si>
    <t>NSE:GODREJCP</t>
  </si>
  <si>
    <t>NSE:HEROMOTOCO</t>
  </si>
  <si>
    <t>NSE:ICICIBANK</t>
  </si>
  <si>
    <t>NSE:GLAND</t>
  </si>
  <si>
    <t>NSE:BAJAJ-AUTO</t>
  </si>
  <si>
    <t>NSE:SBIN</t>
  </si>
  <si>
    <t>NSE:SBICARD</t>
  </si>
  <si>
    <t>NSE:GRASIM</t>
  </si>
  <si>
    <t>NSE:BAJAJFINSV</t>
  </si>
  <si>
    <t>NSE:AMBUJACEM</t>
  </si>
  <si>
    <t>NSE:ITC</t>
  </si>
  <si>
    <t>NSE:TATASTEEL</t>
  </si>
  <si>
    <t>NSE:OFSS</t>
  </si>
  <si>
    <t>NSE:SHREECEM</t>
  </si>
  <si>
    <t>NSE:BRITANNIA</t>
  </si>
  <si>
    <t>NSE:MUTHOOTFIN</t>
  </si>
  <si>
    <t>NSE:MARICO</t>
  </si>
  <si>
    <t>NSE:MARUTI</t>
  </si>
  <si>
    <t>NSE:TATAMOTORS</t>
  </si>
  <si>
    <t>NSE:COLPAL</t>
  </si>
  <si>
    <t>NSE:DABUR</t>
  </si>
  <si>
    <t>NSE:ADANIGREEN</t>
  </si>
  <si>
    <t>NSE:HINDUNILVR</t>
  </si>
  <si>
    <t>NSE:UBL</t>
  </si>
  <si>
    <t>NSE:HAVELLS</t>
  </si>
  <si>
    <t>NSE:MCDOWELL-N</t>
  </si>
  <si>
    <t>NSE:HDFCBANK</t>
  </si>
  <si>
    <t>NSE:PGHH</t>
  </si>
  <si>
    <t>NSE:HINDALCO</t>
  </si>
  <si>
    <t>NSE:RELIANCE</t>
  </si>
  <si>
    <t>NSE:ACC</t>
  </si>
  <si>
    <t>NSE:INDUSINDBK</t>
  </si>
  <si>
    <t>NSE:ULTRACEMCO</t>
  </si>
  <si>
    <t>NSE:INDUSTOWER</t>
  </si>
  <si>
    <t>NSE:BAJFINANCE</t>
  </si>
  <si>
    <t>NSE:HDFC</t>
  </si>
  <si>
    <t>NSE:PEL</t>
  </si>
  <si>
    <t>NSE:HINDZINC</t>
  </si>
  <si>
    <t>NSE:KOTAKBANK</t>
  </si>
  <si>
    <t>NSE:ALKEM</t>
  </si>
  <si>
    <t>NSE:BAJAJHLDNG</t>
  </si>
  <si>
    <t>NSE:DMART</t>
  </si>
  <si>
    <t>NSE:ABBOTINDIA</t>
  </si>
  <si>
    <t>Output for Target or Stop Loss</t>
  </si>
  <si>
    <t>NSE:ABFRL</t>
  </si>
  <si>
    <t>NSE:GODREJPROP</t>
  </si>
  <si>
    <t>NSE:YESBANK</t>
  </si>
  <si>
    <t>NSE:JINDALSTEL</t>
  </si>
  <si>
    <t>NSE:LTTS</t>
  </si>
  <si>
    <t>lia</t>
  </si>
  <si>
    <t>NSE:TRENT</t>
  </si>
  <si>
    <t>NSE:ADANIENT</t>
  </si>
  <si>
    <t>NSE:NATCOPHARM</t>
  </si>
  <si>
    <t>NSE:ENDURANCE</t>
  </si>
  <si>
    <t>NSE:SYNGENE</t>
  </si>
  <si>
    <t>NSE:AUBANK</t>
  </si>
  <si>
    <t>NSE:GSPL</t>
  </si>
  <si>
    <t>NSE:GODREJIND</t>
  </si>
  <si>
    <t>NSE:SUNTV</t>
  </si>
  <si>
    <t>NSE:RAMCOCEM</t>
  </si>
  <si>
    <t>NSE:NAM-INDIA</t>
  </si>
  <si>
    <t>NSE:FRETAIL</t>
  </si>
  <si>
    <t>NSE:EMAMILTD</t>
  </si>
  <si>
    <t>NSE:SANOFI</t>
  </si>
  <si>
    <t>NSE:GLENMARK</t>
  </si>
  <si>
    <t>NSE:CUMMINSIND</t>
  </si>
  <si>
    <t>NSE:PFIZER</t>
  </si>
  <si>
    <t>NSE:RAJESHEXPO</t>
  </si>
  <si>
    <t>NSE:DHANI</t>
  </si>
  <si>
    <t>NSE:EXIDEIND</t>
  </si>
  <si>
    <t>NSE:ESCORTS</t>
  </si>
  <si>
    <t>NSE:OBEROIRLTY</t>
  </si>
  <si>
    <t>NSE:APOLLOHOSP</t>
  </si>
  <si>
    <t>NSE:AJANTPHARM</t>
  </si>
  <si>
    <t>NSE:AARTIIND</t>
  </si>
  <si>
    <t>NSE:MFSL</t>
  </si>
  <si>
    <t>NSE:NAVINFLUOR</t>
  </si>
  <si>
    <t>NSE:VOLTAS</t>
  </si>
  <si>
    <t>NSE:VBL</t>
  </si>
  <si>
    <t>NSE:PIIND</t>
  </si>
  <si>
    <t>NSE:ISEC</t>
  </si>
  <si>
    <t>NSE:PAGEIND</t>
  </si>
  <si>
    <t>NSE:INDHOTEL</t>
  </si>
  <si>
    <t>NSE:WHIRLPOOL</t>
  </si>
  <si>
    <t>NSE:TORNTPOWER</t>
  </si>
  <si>
    <t>NSE:PRESTIGE</t>
  </si>
  <si>
    <t>NSE:CASTROLIND</t>
  </si>
  <si>
    <t>NSE:APOLLOTYRE</t>
  </si>
  <si>
    <t>NSE:IDEA</t>
  </si>
  <si>
    <t>NSE:TATACHEM</t>
  </si>
  <si>
    <t>NSE:ABCAPITAL</t>
  </si>
  <si>
    <t>NSE:CESC</t>
  </si>
  <si>
    <t>NSE:IDFCFIRSTB</t>
  </si>
  <si>
    <t>NSE:CROMPTON</t>
  </si>
  <si>
    <t>NSE:MPHASIS</t>
  </si>
  <si>
    <t>NSE:MRF</t>
  </si>
  <si>
    <t>NSE:BHARATFORG</t>
  </si>
  <si>
    <t>NSE:MINDTREE</t>
  </si>
  <si>
    <t>NSE:APLLTD</t>
  </si>
  <si>
    <t>NSE:GMRINFRA</t>
  </si>
  <si>
    <t>NSE:COROMANDEL</t>
  </si>
  <si>
    <t>NSE:ATGL</t>
  </si>
  <si>
    <t>NSE:BBTC</t>
  </si>
  <si>
    <t>NSE:BALKRISIND</t>
  </si>
  <si>
    <t>NSE:MGL</t>
  </si>
  <si>
    <t>NSE:COFORGE</t>
  </si>
  <si>
    <t>NSE:SRTRANSFIN</t>
  </si>
  <si>
    <t>NSE:AMARAJABAT</t>
  </si>
  <si>
    <t>NSE:ASHOKLEY</t>
  </si>
  <si>
    <t>NSE:JSWENERGY</t>
  </si>
  <si>
    <t>NSE:M&amp;MFIN</t>
  </si>
  <si>
    <t>NSE:CUB</t>
  </si>
  <si>
    <t>NSE:TATAPOWER</t>
  </si>
  <si>
    <t>NSE:MANAPPURAM</t>
  </si>
  <si>
    <t>NSE:FORTIS</t>
  </si>
  <si>
    <t>NSE:CHOLAFIN</t>
  </si>
  <si>
    <t>NSE:BATAINDIA</t>
  </si>
  <si>
    <t>NSE:FEDERALBNK</t>
  </si>
  <si>
    <t>NSE:POLYCAB</t>
  </si>
  <si>
    <t>NSE:RBLBANK</t>
  </si>
  <si>
    <t>NSE:SRF</t>
  </si>
  <si>
    <t>NSE:JUBLFOOD</t>
  </si>
  <si>
    <t>NSE:IPCALAB</t>
  </si>
  <si>
    <t>NSE:IBULHSGFIN</t>
  </si>
  <si>
    <t>NSE:LALPATHLAB</t>
  </si>
  <si>
    <t>NSE:L&amp;TFH</t>
  </si>
  <si>
    <t>NSE:DALBHARAT</t>
  </si>
  <si>
    <t>NSE:TVSMOTOR</t>
  </si>
  <si>
    <t>NSE:EDELWEISS</t>
  </si>
  <si>
    <t>NSE:GODREJAGRO</t>
  </si>
  <si>
    <t>NSE:LICHSGFIN</t>
  </si>
  <si>
    <t>NSE:VGUARD</t>
  </si>
  <si>
    <t>NSE:ZEEL</t>
  </si>
  <si>
    <t>NSE:KALPATPOWR</t>
  </si>
  <si>
    <t>NSE:CENTURYPLY</t>
  </si>
  <si>
    <t>NSE:MASFIN</t>
  </si>
  <si>
    <t>NSE:RATNAMANI</t>
  </si>
  <si>
    <t>NSE:GEPIL</t>
  </si>
  <si>
    <t>NSE:IBREALEST</t>
  </si>
  <si>
    <t>NSE:NFL</t>
  </si>
  <si>
    <t>NSE:SIS</t>
  </si>
  <si>
    <t>NSE:SUZLON</t>
  </si>
  <si>
    <t>NSE:DCAL</t>
  </si>
  <si>
    <t>NSE:CREDITACC</t>
  </si>
  <si>
    <t>NSE:KANSAINER</t>
  </si>
  <si>
    <t>NSE:EQUITAS</t>
  </si>
  <si>
    <t>NSE:IIFL</t>
  </si>
  <si>
    <t>NSE:VINATIORGA</t>
  </si>
  <si>
    <t>NSE:AARTIDRUGS</t>
  </si>
  <si>
    <t>NSE:BSE</t>
  </si>
  <si>
    <t>NSE:ALEMBICLTD</t>
  </si>
  <si>
    <t>NSE:CERA</t>
  </si>
  <si>
    <t>NSE:PSPPROJECT</t>
  </si>
  <si>
    <t>NSE:TEAMLEASE</t>
  </si>
  <si>
    <t>NSE:RADICO</t>
  </si>
  <si>
    <t>NSE:INOXLEISUR</t>
  </si>
  <si>
    <t>NSE:GODFRYPHLP</t>
  </si>
  <si>
    <t>NSE:ASTRAZEN</t>
  </si>
  <si>
    <t>NSE:BAYERCROP</t>
  </si>
  <si>
    <t>NSE:EPL</t>
  </si>
  <si>
    <t>NSE:ZYDUSWELL</t>
  </si>
  <si>
    <t>NSE:VRLLOG</t>
  </si>
  <si>
    <t>NSE:GNFC</t>
  </si>
  <si>
    <t>NSE:PRAJIND</t>
  </si>
  <si>
    <t>NSE:ELGIEQUIP</t>
  </si>
  <si>
    <t>NSE:VIPIND</t>
  </si>
  <si>
    <t>NSE:SWARAJENG</t>
  </si>
  <si>
    <t>NSE:STAR</t>
  </si>
  <si>
    <t>NSE:PERSISTENT</t>
  </si>
  <si>
    <t>NSE:CSBBANK</t>
  </si>
  <si>
    <t>NSE:GPPL</t>
  </si>
  <si>
    <t>NSE:LAURUSLABS</t>
  </si>
  <si>
    <t>NSE:RAYMOND</t>
  </si>
  <si>
    <t>NSE:GARFIBRES</t>
  </si>
  <si>
    <t>NSE:CEATLTD</t>
  </si>
  <si>
    <t>NSE:PRSMJOHNSN</t>
  </si>
  <si>
    <t>NSE:BIRLACORPN</t>
  </si>
  <si>
    <t>NSE:MHRIL</t>
  </si>
  <si>
    <t>NSE:BLUEDART</t>
  </si>
  <si>
    <t>NSE:JKLAKSHMI</t>
  </si>
  <si>
    <t>NSE:SWANENERGY</t>
  </si>
  <si>
    <t>NSE:IRB</t>
  </si>
  <si>
    <t>NSE:DISHTV</t>
  </si>
  <si>
    <t>NSE:FINCABLES</t>
  </si>
  <si>
    <t>NSE:BLISSGVS</t>
  </si>
  <si>
    <t>NSE:PNCINFRA</t>
  </si>
  <si>
    <t>NSE:RELAXO</t>
  </si>
  <si>
    <t>NSE:MINDACORP</t>
  </si>
  <si>
    <t>NSE:SUMICHEM</t>
  </si>
  <si>
    <t>NSE:MAHSCOOTER</t>
  </si>
  <si>
    <t>NSE:CHAMBLFERT</t>
  </si>
  <si>
    <t>NSE:IOLCP</t>
  </si>
  <si>
    <t>NSE:RALLIS</t>
  </si>
  <si>
    <t>NSE:UJJIVANSFB</t>
  </si>
  <si>
    <t>NSE:SEQUENT</t>
  </si>
  <si>
    <t>NSE:EIDPARRY</t>
  </si>
  <si>
    <t>NSE:BAJAJCON</t>
  </si>
  <si>
    <t>NSE:TATASTLBSL</t>
  </si>
  <si>
    <t>NSE:JBCHEPHARM</t>
  </si>
  <si>
    <t>NSE:SOUTHBANK</t>
  </si>
  <si>
    <t>NSE:CCL</t>
  </si>
  <si>
    <t>NSE:CGCL</t>
  </si>
  <si>
    <t>NSE:NESCO</t>
  </si>
  <si>
    <t>NSE:ICRA</t>
  </si>
  <si>
    <t>NSE:SCHAEFFLER</t>
  </si>
  <si>
    <t>NSE:FCONSUMER</t>
  </si>
  <si>
    <t>NSE:VSTIND</t>
  </si>
  <si>
    <t>NSE:CHALET</t>
  </si>
  <si>
    <t>NSE:DHANUKA</t>
  </si>
  <si>
    <t>NSE:POLYPLEX</t>
  </si>
  <si>
    <t>NSE:TATAELXSI</t>
  </si>
  <si>
    <t>NSE:CANFINHOME</t>
  </si>
  <si>
    <t>NSE:CARERATING</t>
  </si>
  <si>
    <t>NSE:MOTILALOFS</t>
  </si>
  <si>
    <t>NSE:JYOTHYLAB</t>
  </si>
  <si>
    <t>NSE:SPICEJET</t>
  </si>
  <si>
    <t>NSE:HONAUT</t>
  </si>
  <si>
    <t>NSE:SOLARINDS</t>
  </si>
  <si>
    <t>NSE:REDINGTON</t>
  </si>
  <si>
    <t>NSE:LINDEINDIA</t>
  </si>
  <si>
    <t>NSE:MAHLOG</t>
  </si>
  <si>
    <t>NSE:POLYMED</t>
  </si>
  <si>
    <t>NSE:TVTODAY</t>
  </si>
  <si>
    <t>NSE:METROPOLIS</t>
  </si>
  <si>
    <t>NSE:TASTYBITE</t>
  </si>
  <si>
    <t>NSE:GHCL</t>
  </si>
  <si>
    <t>NSE:AAVAS</t>
  </si>
  <si>
    <t>NSE:GRINDWELL</t>
  </si>
  <si>
    <t>NSE:INGERRAND</t>
  </si>
  <si>
    <t>NSE:GMMPFAUDLR</t>
  </si>
  <si>
    <t>NSE:SYMPHONY</t>
  </si>
  <si>
    <t>NSE:PNBHOUSING</t>
  </si>
  <si>
    <t>NSE:ESABINDIA</t>
  </si>
  <si>
    <t>NSE:BALRAMCHIN</t>
  </si>
  <si>
    <t>NSE:SKFINDIA</t>
  </si>
  <si>
    <t>NSE:PAPERPROD</t>
  </si>
  <si>
    <t>NSE:JCHAC</t>
  </si>
  <si>
    <t>NSE:GREAVESCOT</t>
  </si>
  <si>
    <t>NSE:TCIEXP</t>
  </si>
  <si>
    <t>NSE:KOLTEPATIL</t>
  </si>
  <si>
    <t>NSE:TCNSBRANDS</t>
  </si>
  <si>
    <t>NSE:BHARATRAS</t>
  </si>
  <si>
    <t>NSE:GLAXO</t>
  </si>
  <si>
    <t>NSE:SWSOLAR</t>
  </si>
  <si>
    <t>NSE:AKZOINDIA</t>
  </si>
  <si>
    <t>NSE:KTKBANK</t>
  </si>
  <si>
    <t>NSE:THYROCARE</t>
  </si>
  <si>
    <t>NSE:NAVNETEDUL</t>
  </si>
  <si>
    <t>NSE:TATACOFFEE</t>
  </si>
  <si>
    <t>NSE:GUJALKALI</t>
  </si>
  <si>
    <t>NSE:WESTLIFE</t>
  </si>
  <si>
    <t>NSE:ORIENTCEM</t>
  </si>
  <si>
    <t>NSE:DBL</t>
  </si>
  <si>
    <t>NSE:IDBI</t>
  </si>
  <si>
    <t>NSE:GSFC</t>
  </si>
  <si>
    <t>NSE:GAEL</t>
  </si>
  <si>
    <t>NSE:IIFLWAM</t>
  </si>
  <si>
    <t>NSE:HERITGFOOD</t>
  </si>
  <si>
    <t>NSE:TATAINVEST</t>
  </si>
  <si>
    <t>NSE:JKCEMENT</t>
  </si>
  <si>
    <t>NSE:TTKPRESTIG</t>
  </si>
  <si>
    <t>NSE:HATSUN</t>
  </si>
  <si>
    <t>NSE:KEI</t>
  </si>
  <si>
    <t>NSE:EIHOTEL</t>
  </si>
  <si>
    <t>NSE:BOMDYEING</t>
  </si>
  <si>
    <t>NSE:INDIACEM</t>
  </si>
  <si>
    <t>NSE:CARBORUNIV</t>
  </si>
  <si>
    <t>NSE:KSCL</t>
  </si>
  <si>
    <t>NSE:CYIENT</t>
  </si>
  <si>
    <t>NSE:GALAXYSURF</t>
  </si>
  <si>
    <t>NSE:TATACOMM</t>
  </si>
  <si>
    <t>NSE:TIMKEN</t>
  </si>
  <si>
    <t>NSE:JAGRAN</t>
  </si>
  <si>
    <t>NSE:VARROC</t>
  </si>
  <si>
    <t>NSE:GILLETTE</t>
  </si>
  <si>
    <t>NSE:ORIENTREF</t>
  </si>
  <si>
    <t>NSE:VMART</t>
  </si>
  <si>
    <t>NSE:FLUOROCHEM</t>
  </si>
  <si>
    <t>NSE:QUESS</t>
  </si>
  <si>
    <t>NSE:BASF</t>
  </si>
  <si>
    <t>NSE:STARCEMENT</t>
  </si>
  <si>
    <t>NSE:PTC</t>
  </si>
  <si>
    <t>NSE:VAKRANGEE</t>
  </si>
  <si>
    <t>NSE:GRANULES</t>
  </si>
  <si>
    <t>NSE:WELCORP</t>
  </si>
  <si>
    <t>NSE:CRISIL</t>
  </si>
  <si>
    <t>NSE:SOLARA</t>
  </si>
  <si>
    <t>NSE:JINDALSAW</t>
  </si>
  <si>
    <t>NSE:KEC</t>
  </si>
  <si>
    <t>NSE:WABCOINDIA</t>
  </si>
  <si>
    <t>NSE:ASTRAL</t>
  </si>
  <si>
    <t>NSE:TRIDENT</t>
  </si>
  <si>
    <t>NSE:CHOLAHLDNG</t>
  </si>
  <si>
    <t>NSE:SCHNEIDER</t>
  </si>
  <si>
    <t>NSE:SFL</t>
  </si>
  <si>
    <t>NSE:INDOCO</t>
  </si>
  <si>
    <t>NSE:AVANTIFEED</t>
  </si>
  <si>
    <t>NSE:IDFC</t>
  </si>
  <si>
    <t>NSE:AIAENG</t>
  </si>
  <si>
    <t>NSE:ERIS</t>
  </si>
  <si>
    <t>NSE:KRBL</t>
  </si>
  <si>
    <t>NSE:PGHL</t>
  </si>
  <si>
    <t>NSE:SHRIRAMCIT</t>
  </si>
  <si>
    <t>NSE:GRAPHITE</t>
  </si>
  <si>
    <t>NSE:SOBHA</t>
  </si>
  <si>
    <t>NSE:STLTECH</t>
  </si>
  <si>
    <t>NSE:HATHWAY</t>
  </si>
  <si>
    <t>NSE:DBCORP</t>
  </si>
  <si>
    <t>NSE:JAICORPLTD</t>
  </si>
  <si>
    <t>NSE:MAHSEAMLES</t>
  </si>
  <si>
    <t>NSE:FINPIPE</t>
  </si>
  <si>
    <t>NSE:SUPRAJIT</t>
  </si>
  <si>
    <t>NSE:ALKYLAMINE</t>
  </si>
  <si>
    <t>NSE:KNRCON</t>
  </si>
  <si>
    <t>NSE:ECLERX</t>
  </si>
  <si>
    <t>NSE:THERMAX</t>
  </si>
  <si>
    <t>NSE:SUVENPHAR</t>
  </si>
  <si>
    <t>NSE:FDC</t>
  </si>
  <si>
    <t>NSE:HEG</t>
  </si>
  <si>
    <t>NSE:UFLEX</t>
  </si>
  <si>
    <t>NSE:JKPAPER</t>
  </si>
  <si>
    <t>NSE:CDSL</t>
  </si>
  <si>
    <t>NSE:VAIBHAVGBL</t>
  </si>
  <si>
    <t>NSE:ADANIGAS</t>
  </si>
  <si>
    <t>NSE:VENKEYS</t>
  </si>
  <si>
    <t>NSE:WOCKPHARMA</t>
  </si>
  <si>
    <t>NSE:SHOPERSTOP</t>
  </si>
  <si>
    <t>NSE:LAXMIMACH</t>
  </si>
  <si>
    <t>NSE:JMFINANCIL</t>
  </si>
  <si>
    <t>NSE:LAOPALA</t>
  </si>
  <si>
    <t>NSE:BAJAJELEC</t>
  </si>
  <si>
    <t>NSE:KSB</t>
  </si>
  <si>
    <t>NSE:DCMSHRIRAM</t>
  </si>
  <si>
    <t>NSE:WELSPUNIND</t>
  </si>
  <si>
    <t>NSE:BLUESTARCO</t>
  </si>
  <si>
    <t>NSE:HEIDELBERG</t>
  </si>
  <si>
    <t>NSE:IFBIND</t>
  </si>
  <si>
    <t>NSE:HSCL</t>
  </si>
  <si>
    <t>NSE:MCX</t>
  </si>
  <si>
    <t>NSE:LUXIND</t>
  </si>
  <si>
    <t>NSE:LEMONTREE</t>
  </si>
  <si>
    <t>NSE:OMAXE</t>
  </si>
  <si>
    <t>NSE:SONATSOFTW</t>
  </si>
  <si>
    <t>NSE:BSOFT</t>
  </si>
  <si>
    <t>NSE:FSL</t>
  </si>
  <si>
    <t>NSE:SHILPAMED</t>
  </si>
  <si>
    <t>NSE:MINDAIND</t>
  </si>
  <si>
    <t>NSE:SUNTECK</t>
  </si>
  <si>
    <t>NSE:ASHOKA</t>
  </si>
  <si>
    <t>NSE:SPARC</t>
  </si>
  <si>
    <t>NSE:TV18BRDCST</t>
  </si>
  <si>
    <t>NSE:HFCL</t>
  </si>
  <si>
    <t>NSE:AEGISCHEM</t>
  </si>
  <si>
    <t>NSE:AMBER</t>
  </si>
  <si>
    <t>NSE:SUNDARMFIN</t>
  </si>
  <si>
    <t>NSE:TIINDIA</t>
  </si>
  <si>
    <t>NSE:SUPPETRO</t>
  </si>
  <si>
    <t>NSE:SUDARSCHEM</t>
  </si>
  <si>
    <t>NSE:VTL</t>
  </si>
  <si>
    <t>NSE:POWERINDIA</t>
  </si>
  <si>
    <t>NSE:RAIN</t>
  </si>
  <si>
    <t>NSE:PHILIPCARB</t>
  </si>
  <si>
    <t>NSE:KAJARIACER</t>
  </si>
  <si>
    <t>NSE:NILKAMAL</t>
  </si>
  <si>
    <t>NSE:CENTURYTEX</t>
  </si>
  <si>
    <t>NSE:CAPLIPOINT</t>
  </si>
  <si>
    <t>NSE:JAMNAAUTO</t>
  </si>
  <si>
    <t>NSE:GESHIP</t>
  </si>
  <si>
    <t>NSE:AFFLE</t>
  </si>
  <si>
    <t>NSE:DEEPAKNTR</t>
  </si>
  <si>
    <t>NSE:SUNDRMFAST</t>
  </si>
  <si>
    <t>NSE:ADVENZYMES</t>
  </si>
  <si>
    <t>NSE:NCC</t>
  </si>
  <si>
    <t>NSE:ORIENTELEC</t>
  </si>
  <si>
    <t>NSE:INDIAMART</t>
  </si>
  <si>
    <t>NSE:INFIBEAM</t>
  </si>
  <si>
    <t>NSE:NOCIL</t>
  </si>
  <si>
    <t>NSE:FINEORG</t>
  </si>
  <si>
    <t>NSE:IEX</t>
  </si>
  <si>
    <t>NSE:BRIGADE</t>
  </si>
  <si>
    <t>NSE:JUSTDIAL</t>
  </si>
  <si>
    <t>NSE:JKTYRE</t>
  </si>
  <si>
    <t>NSE:GULFOILLUB</t>
  </si>
  <si>
    <t>NSE:NH</t>
  </si>
  <si>
    <t>NSE:SUPREMEIND</t>
  </si>
  <si>
    <t>NSE:ATUL</t>
  </si>
  <si>
    <t>NSE:JSL</t>
  </si>
  <si>
    <t>NSE:APLAPOLLO</t>
  </si>
  <si>
    <t>NSE:PVR</t>
  </si>
  <si>
    <t>NSE:NETWORK18</t>
  </si>
  <si>
    <t>NSE:JTEKTINDIA</t>
  </si>
  <si>
    <t>NSE:UJJIVAN</t>
  </si>
  <si>
    <t>NSE:3MINDIA</t>
  </si>
  <si>
    <t>NSE:JSLHISAR</t>
  </si>
  <si>
    <t>NSE:ALOKINDS</t>
  </si>
  <si>
    <t>NSE:DELTACORP</t>
  </si>
  <si>
    <t>NSE:DCBBANK</t>
  </si>
  <si>
    <t>NSE:ZENSARTECH</t>
  </si>
  <si>
    <t>NSE:ABB</t>
  </si>
  <si>
    <t>NSE:ASTERDM</t>
  </si>
  <si>
    <t>NSE:KARURVYSYA</t>
  </si>
  <si>
    <t>NSE:PHOENIXLTD</t>
  </si>
  <si>
    <t>NSE:DIXON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</si>
</sst>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7">
    <font>
      <sz val="10.0"/>
      <color rgb="FF000000"/>
      <name val="Arial"/>
      <scheme val="minor"/>
    </font>
    <font>
      <b/>
      <color rgb="FFFF0000"/>
      <name val="Arial"/>
    </font>
    <font>
      <b/>
      <color theme="1"/>
      <name val="Arial"/>
      <scheme val="minor"/>
    </font>
    <font>
      <color rgb="FF0000FF"/>
      <name val="Arial"/>
      <scheme val="minor"/>
    </font>
    <font>
      <sz val="7.0"/>
      <color theme="1"/>
      <name val="Arial"/>
      <scheme val="minor"/>
    </font>
    <font>
      <u/>
      <color rgb="FF0000FF"/>
    </font>
    <font>
      <u/>
      <sz val="14.0"/>
      <color rgb="FF1155CC"/>
      <name val="Arial"/>
    </font>
    <font>
      <color theme="1"/>
      <name val="Arial"/>
    </font>
    <font>
      <color theme="1"/>
      <name val="Arial"/>
      <scheme val="minor"/>
    </font>
    <font>
      <b/>
      <color rgb="FF9900FF"/>
      <name val="Arial"/>
    </font>
    <font/>
    <font>
      <b/>
      <sz val="11.0"/>
      <color rgb="FF000000"/>
      <name val="Inconsolata"/>
    </font>
    <font>
      <b/>
      <color theme="1"/>
      <name val="Arial"/>
    </font>
    <font>
      <sz val="11.0"/>
      <color rgb="FF000000"/>
      <name val="Inconsolata"/>
    </font>
    <font>
      <b/>
      <sz val="11.0"/>
      <color rgb="FF000000"/>
      <name val="Arial"/>
    </font>
    <font>
      <b/>
      <sz val="11.0"/>
      <color rgb="FF6AA84F"/>
      <name val="Arial"/>
    </font>
    <font>
      <b/>
      <color rgb="FF3C78D8"/>
      <name val="Arial"/>
    </font>
    <font>
      <b/>
      <color rgb="FF0B5394"/>
      <name val="Arial"/>
    </font>
    <font>
      <b/>
      <sz val="11.0"/>
      <color rgb="FF0B5394"/>
      <name val="Inconsolata"/>
    </font>
    <font>
      <b/>
      <sz val="11.0"/>
      <color rgb="FF6AA84F"/>
      <name val="Inconsolata"/>
    </font>
    <font>
      <sz val="11.0"/>
      <color rgb="FF3C4043"/>
      <name val="Monospace"/>
    </font>
    <font>
      <b/>
      <color rgb="FF6AA84F"/>
      <name val="Arial"/>
      <scheme val="minor"/>
    </font>
    <font>
      <b/>
      <sz val="11.0"/>
      <color theme="1"/>
      <name val="Arial"/>
    </font>
    <font>
      <b/>
      <color rgb="FF46BDC6"/>
      <name val="Arial"/>
    </font>
    <font>
      <sz val="11.0"/>
      <color theme="1"/>
      <name val="Inconsolata"/>
    </font>
    <font>
      <sz val="11.0"/>
      <color rgb="FF000000"/>
      <name val="Calibri"/>
    </font>
    <font>
      <sz val="11.0"/>
      <color rgb="FF3C40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1" fillId="2" fontId="6" numFmtId="0" xfId="0" applyAlignment="1" applyBorder="1" applyFill="1" applyFont="1">
      <alignment shrinkToFit="0" vertical="bottom" wrapText="0"/>
    </xf>
    <xf borderId="1" fillId="0" fontId="7" numFmtId="0" xfId="0" applyAlignment="1" applyBorder="1" applyFont="1">
      <alignment vertical="bottom"/>
    </xf>
    <xf borderId="0" fillId="0" fontId="8" numFmtId="0" xfId="0" applyAlignment="1" applyFont="1">
      <alignment horizontal="center" readingOrder="0" shrinkToFit="0" vertical="top" wrapText="1"/>
    </xf>
    <xf borderId="1" fillId="0" fontId="9" numFmtId="0" xfId="0" applyAlignment="1" applyBorder="1" applyFont="1">
      <alignment horizontal="center" vertical="bottom"/>
    </xf>
    <xf borderId="0" fillId="0" fontId="9" numFmtId="0" xfId="0" applyAlignment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3" fillId="0" fontId="10" numFmtId="0" xfId="0" applyBorder="1" applyFont="1"/>
    <xf borderId="2" fillId="0" fontId="9" numFmtId="0" xfId="0" applyAlignment="1" applyBorder="1" applyFont="1">
      <alignment horizontal="center" readingOrder="0" vertical="bottom"/>
    </xf>
    <xf borderId="1" fillId="2" fontId="11" numFmtId="0" xfId="0" applyAlignment="1" applyBorder="1" applyFont="1">
      <alignment horizontal="center"/>
    </xf>
    <xf borderId="1" fillId="0" fontId="12" numFmtId="0" xfId="0" applyAlignment="1" applyBorder="1" applyFont="1">
      <alignment horizontal="center" shrinkToFit="0" wrapText="1"/>
    </xf>
    <xf borderId="0" fillId="2" fontId="13" numFmtId="0" xfId="0" applyAlignment="1" applyFont="1">
      <alignment vertical="bottom"/>
    </xf>
    <xf borderId="0" fillId="2" fontId="13" numFmtId="0" xfId="0" applyAlignment="1" applyFont="1">
      <alignment horizontal="right" vertical="bottom"/>
    </xf>
    <xf borderId="0" fillId="0" fontId="8" numFmtId="0" xfId="0" applyFont="1"/>
    <xf borderId="1" fillId="0" fontId="12" numFmtId="0" xfId="0" applyAlignment="1" applyBorder="1" applyFont="1">
      <alignment readingOrder="0" shrinkToFit="0" vertical="bottom" wrapText="1"/>
    </xf>
    <xf borderId="1" fillId="0" fontId="12" numFmtId="0" xfId="0" applyAlignment="1" applyBorder="1" applyFont="1">
      <alignment shrinkToFit="0" vertical="bottom" wrapText="1"/>
    </xf>
    <xf borderId="1" fillId="2" fontId="14" numFmtId="0" xfId="0" applyAlignment="1" applyBorder="1" applyFont="1">
      <alignment horizontal="center" vertical="bottom"/>
    </xf>
    <xf borderId="1" fillId="2" fontId="15" numFmtId="0" xfId="0" applyAlignment="1" applyBorder="1" applyFont="1">
      <alignment horizontal="center" vertical="bottom"/>
    </xf>
    <xf borderId="0" fillId="3" fontId="16" numFmtId="0" xfId="0" applyAlignment="1" applyFill="1" applyFont="1">
      <alignment shrinkToFit="0" vertical="bottom" wrapText="1"/>
    </xf>
    <xf borderId="1" fillId="3" fontId="16" numFmtId="164" xfId="0" applyAlignment="1" applyBorder="1" applyFont="1" applyNumberFormat="1">
      <alignment shrinkToFit="0" vertical="bottom" wrapText="1"/>
    </xf>
    <xf borderId="1" fillId="3" fontId="16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horizontal="center" vertical="bottom"/>
    </xf>
    <xf borderId="1" fillId="0" fontId="12" numFmtId="0" xfId="0" applyAlignment="1" applyBorder="1" applyFont="1">
      <alignment horizontal="center" shrinkToFit="0" vertical="bottom" wrapText="1"/>
    </xf>
    <xf borderId="1" fillId="0" fontId="17" numFmtId="0" xfId="0" applyAlignment="1" applyBorder="1" applyFont="1">
      <alignment vertical="bottom"/>
    </xf>
    <xf borderId="1" fillId="2" fontId="18" numFmtId="0" xfId="0" applyAlignment="1" applyBorder="1" applyFont="1">
      <alignment horizontal="right" vertical="bottom"/>
    </xf>
    <xf borderId="1" fillId="2" fontId="13" numFmtId="0" xfId="0" applyAlignment="1" applyBorder="1" applyFont="1">
      <alignment horizontal="right" vertical="bottom"/>
    </xf>
    <xf borderId="1" fillId="2" fontId="19" numFmtId="0" xfId="0" applyAlignment="1" applyBorder="1" applyFont="1">
      <alignment horizontal="right" vertical="bottom"/>
    </xf>
    <xf borderId="1" fillId="0" fontId="7" numFmtId="4" xfId="0" applyAlignment="1" applyBorder="1" applyFont="1" applyNumberFormat="1">
      <alignment horizontal="right" shrinkToFit="0" vertical="bottom" wrapText="1"/>
    </xf>
    <xf borderId="1" fillId="2" fontId="20" numFmtId="164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right" vertical="bottom"/>
    </xf>
    <xf borderId="1" fillId="2" fontId="13" numFmtId="0" xfId="0" applyAlignment="1" applyBorder="1" applyFont="1">
      <alignment vertical="bottom"/>
    </xf>
    <xf borderId="0" fillId="0" fontId="21" numFmtId="0" xfId="0" applyFont="1"/>
    <xf borderId="0" fillId="3" fontId="16" numFmtId="0" xfId="0" applyAlignment="1" applyFont="1">
      <alignment readingOrder="0" shrinkToFit="0" vertical="bottom" wrapText="1"/>
    </xf>
    <xf borderId="1" fillId="2" fontId="22" numFmtId="0" xfId="0" applyAlignment="1" applyBorder="1" applyFont="1">
      <alignment horizontal="center"/>
    </xf>
    <xf borderId="1" fillId="2" fontId="15" numFmtId="0" xfId="0" applyAlignment="1" applyBorder="1" applyFont="1">
      <alignment horizontal="center"/>
    </xf>
    <xf borderId="4" fillId="3" fontId="16" numFmtId="0" xfId="0" applyAlignment="1" applyBorder="1" applyFont="1">
      <alignment shrinkToFit="0" vertical="bottom" wrapText="1"/>
    </xf>
    <xf borderId="3" fillId="3" fontId="16" numFmtId="164" xfId="0" applyAlignment="1" applyBorder="1" applyFont="1" applyNumberFormat="1">
      <alignment shrinkToFit="0" vertical="bottom" wrapText="1"/>
    </xf>
    <xf borderId="3" fillId="3" fontId="16" numFmtId="0" xfId="0" applyAlignment="1" applyBorder="1" applyFont="1">
      <alignment shrinkToFit="0" vertical="bottom" wrapText="1"/>
    </xf>
    <xf borderId="1" fillId="0" fontId="12" numFmtId="0" xfId="0" applyAlignment="1" applyBorder="1" applyFont="1">
      <alignment horizontal="center"/>
    </xf>
    <xf borderId="1" fillId="0" fontId="23" numFmtId="0" xfId="0" applyAlignment="1" applyBorder="1" applyFont="1">
      <alignment vertical="bottom"/>
    </xf>
    <xf borderId="1" fillId="2" fontId="24" numFmtId="0" xfId="0" applyAlignment="1" applyBorder="1" applyFont="1">
      <alignment horizontal="right" vertical="bottom"/>
    </xf>
    <xf borderId="4" fillId="0" fontId="7" numFmtId="4" xfId="0" applyAlignment="1" applyBorder="1" applyFont="1" applyNumberFormat="1">
      <alignment horizontal="right" shrinkToFit="0" vertical="bottom" wrapText="1"/>
    </xf>
    <xf borderId="5" fillId="2" fontId="20" numFmtId="164" xfId="0" applyAlignment="1" applyBorder="1" applyFont="1" applyNumberFormat="1">
      <alignment horizontal="center" vertical="bottom"/>
    </xf>
    <xf borderId="5" fillId="0" fontId="7" numFmtId="4" xfId="0" applyAlignment="1" applyBorder="1" applyFont="1" applyNumberFormat="1">
      <alignment horizontal="right" shrinkToFit="0" vertical="bottom" wrapText="1"/>
    </xf>
    <xf borderId="0" fillId="0" fontId="12" numFmtId="0" xfId="0" applyAlignment="1" applyFont="1">
      <alignment horizontal="center" readingOrder="0" shrinkToFit="0" vertical="bottom" wrapText="1"/>
    </xf>
    <xf borderId="1" fillId="0" fontId="25" numFmtId="0" xfId="0" applyAlignment="1" applyBorder="1" applyFont="1">
      <alignment vertical="bottom"/>
    </xf>
    <xf borderId="1" fillId="0" fontId="25" numFmtId="0" xfId="0" applyAlignment="1" applyBorder="1" applyFont="1">
      <alignment readingOrder="0" vertical="bottom"/>
    </xf>
    <xf borderId="1" fillId="0" fontId="12" numFmtId="0" xfId="0" applyAlignment="1" applyBorder="1" applyFont="1">
      <alignment horizontal="center" readingOrder="0" shrinkToFit="0" vertical="bottom" wrapText="1"/>
    </xf>
    <xf borderId="1" fillId="0" fontId="12" numFmtId="0" xfId="0" applyAlignment="1" applyBorder="1" applyFont="1">
      <alignment horizontal="center" readingOrder="0" shrinkToFit="0" vertical="center" wrapText="1"/>
    </xf>
    <xf borderId="1" fillId="2" fontId="14" numFmtId="0" xfId="0" applyAlignment="1" applyBorder="1" applyFont="1">
      <alignment horizontal="center" readingOrder="0" vertical="center"/>
    </xf>
    <xf borderId="1" fillId="2" fontId="15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 vertical="bottom"/>
    </xf>
    <xf borderId="1" fillId="2" fontId="13" numFmtId="0" xfId="0" applyBorder="1" applyFont="1"/>
    <xf borderId="1" fillId="2" fontId="19" numFmtId="0" xfId="0" applyBorder="1" applyFont="1"/>
    <xf borderId="1" fillId="0" fontId="8" numFmtId="0" xfId="0" applyBorder="1" applyFont="1"/>
    <xf borderId="1" fillId="0" fontId="7" numFmtId="0" xfId="0" applyAlignment="1" applyBorder="1" applyFont="1">
      <alignment readingOrder="0" vertical="bottom"/>
    </xf>
    <xf borderId="1" fillId="2" fontId="26" numFmtId="0" xfId="0" applyAlignment="1" applyBorder="1" applyFont="1">
      <alignment horizontal="center" readingOrder="0" vertical="bottom"/>
    </xf>
    <xf borderId="0" fillId="0" fontId="8" numFmtId="0" xfId="0" applyAlignment="1" applyFont="1">
      <alignment readingOrder="0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vertical="center"/>
    </xf>
    <xf borderId="0" fillId="0" fontId="25" numFmtId="0" xfId="0" applyAlignment="1" applyFont="1">
      <alignment readingOrder="0" shrinkToFit="0" vertical="bottom" wrapText="0"/>
    </xf>
    <xf borderId="0" fillId="0" fontId="25" numFmtId="0" xfId="0" applyAlignment="1" applyFont="1">
      <alignment vertical="bottom"/>
    </xf>
    <xf borderId="1" fillId="0" fontId="25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maheshkaushik.com/2020/12/mahesh-kaushik-automated-google-finance.html" TargetMode="External"/><Relationship Id="rId2" Type="http://schemas.openxmlformats.org/officeDocument/2006/relationships/hyperlink" Target="https://www.youtube.com/watch?v=fv48GXn-e9o" TargetMode="External"/><Relationship Id="rId3" Type="http://schemas.openxmlformats.org/officeDocument/2006/relationships/hyperlink" Target="http://www.maheshkaushik.com/2020/12/mahesh-kaushik-automated-google-finance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3" max="3" width="16.63"/>
    <col customWidth="1" min="4" max="5" width="14.75"/>
    <col customWidth="1" min="7" max="7" width="22.13"/>
    <col customWidth="1" min="9" max="9" width="16.13"/>
    <col customWidth="1" min="11" max="11" width="17.13"/>
    <col customWidth="1" min="13" max="13" width="16.0"/>
  </cols>
  <sheetData>
    <row r="1">
      <c r="A1" s="1" t="s">
        <v>0</v>
      </c>
      <c r="K1" s="2"/>
      <c r="L1" s="2"/>
      <c r="M1" s="2"/>
      <c r="N1" s="2"/>
      <c r="O1" s="2" t="s">
        <v>1</v>
      </c>
    </row>
    <row r="2">
      <c r="K2" s="3"/>
      <c r="L2" s="3"/>
      <c r="M2" s="3"/>
      <c r="N2" s="3"/>
      <c r="O2" s="3" t="s">
        <v>2</v>
      </c>
    </row>
    <row r="3">
      <c r="K3" s="4"/>
      <c r="L3" s="4"/>
      <c r="M3" s="4"/>
      <c r="N3" s="4"/>
      <c r="O3" s="4" t="s">
        <v>3</v>
      </c>
      <c r="P3" s="5" t="s">
        <v>4</v>
      </c>
    </row>
    <row r="4">
      <c r="A4" s="6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 t="s">
        <v>6</v>
      </c>
    </row>
    <row r="5">
      <c r="A5" s="9"/>
      <c r="B5" s="9"/>
      <c r="C5" s="10"/>
      <c r="D5" s="10"/>
      <c r="E5" s="9"/>
      <c r="F5" s="9"/>
      <c r="G5" s="9"/>
      <c r="H5" s="9"/>
      <c r="I5" s="9"/>
      <c r="J5" s="9"/>
      <c r="K5" s="9"/>
      <c r="L5" s="9"/>
      <c r="M5" s="9"/>
      <c r="N5" s="9"/>
      <c r="O5" s="4" t="s">
        <v>3</v>
      </c>
      <c r="P5" s="5" t="s">
        <v>4</v>
      </c>
    </row>
    <row r="6">
      <c r="A6" s="11" t="s">
        <v>7</v>
      </c>
      <c r="B6" s="12"/>
      <c r="C6" s="10" t="s">
        <v>8</v>
      </c>
      <c r="E6" s="11" t="s">
        <v>9</v>
      </c>
      <c r="F6" s="12"/>
      <c r="G6" s="11" t="s">
        <v>10</v>
      </c>
      <c r="H6" s="12"/>
      <c r="I6" s="11" t="s">
        <v>11</v>
      </c>
      <c r="J6" s="12"/>
      <c r="K6" s="13" t="s">
        <v>12</v>
      </c>
      <c r="L6" s="12"/>
      <c r="M6" s="13" t="s">
        <v>13</v>
      </c>
      <c r="N6" s="12"/>
      <c r="O6" s="8"/>
      <c r="P6" s="8"/>
      <c r="Q6" s="8"/>
      <c r="R6" s="8"/>
      <c r="S6" s="8"/>
    </row>
    <row r="7">
      <c r="A7" s="14" t="s">
        <v>14</v>
      </c>
      <c r="B7" s="15" t="s">
        <v>15</v>
      </c>
      <c r="C7" s="14" t="s">
        <v>14</v>
      </c>
      <c r="D7" s="15" t="s">
        <v>15</v>
      </c>
      <c r="E7" s="14" t="s">
        <v>14</v>
      </c>
      <c r="F7" s="15" t="s">
        <v>15</v>
      </c>
      <c r="G7" s="14" t="s">
        <v>14</v>
      </c>
      <c r="H7" s="15" t="s">
        <v>15</v>
      </c>
      <c r="I7" s="14" t="s">
        <v>14</v>
      </c>
      <c r="J7" s="15" t="s">
        <v>15</v>
      </c>
      <c r="K7" s="14" t="s">
        <v>14</v>
      </c>
      <c r="L7" s="15" t="s">
        <v>15</v>
      </c>
      <c r="M7" s="14" t="s">
        <v>14</v>
      </c>
      <c r="N7" s="15" t="s">
        <v>15</v>
      </c>
      <c r="O7" s="8"/>
      <c r="P7" s="8"/>
      <c r="Q7" s="8"/>
      <c r="R7" s="8"/>
      <c r="S7" s="8"/>
    </row>
    <row r="8">
      <c r="A8" s="16" t="str">
        <f>IFERROR(__xludf.DUMMYFUNCTION("iferror(filter('Nifty 50'!A:A,'Nifty 50'!J:J=""Start GTT Order""),"""")"),"NSE:TCS")</f>
        <v>NSE:TCS</v>
      </c>
      <c r="B8" s="17">
        <f>IFERROR(__xludf.DUMMYFUNCTION("iferror(filter('Nifty 50'!C:C,'Nifty 50'!J:J=""Start GTT Order""),"""")"),2635.0)</f>
        <v>2635</v>
      </c>
      <c r="C8" s="16" t="str">
        <f>IFERROR(__xludf.DUMMYFUNCTION("iferror(filter('Nifty 100'!A:A,'Nifty 100'!J:J=""Start GTT Order""),"""")"),"NSE:INFY")</f>
        <v>NSE:INFY</v>
      </c>
      <c r="D8" s="17">
        <f>IFERROR(__xludf.DUMMYFUNCTION("iferror(filter('Nifty 100'!C:C,'Nifty 100'!J:J=""Start GTT Order""),"""")"),1376.9)</f>
        <v>1376.9</v>
      </c>
      <c r="E8" s="16" t="str">
        <f>IFERROR(__xludf.DUMMYFUNCTION("iferror(filter('Nifty 200'!A:A,'Nifty 200'!J:J=""Start GTT Order""),"""")"),"NSE:IRCTC")</f>
        <v>NSE:IRCTC</v>
      </c>
      <c r="F8" s="17">
        <f>IFERROR(__xludf.DUMMYFUNCTION("iferror(filter('Nifty 200'!C:C,'Nifty 200'!J:J=""Start GTT Order""),"""")"),581.3)</f>
        <v>581.3</v>
      </c>
      <c r="G8" s="16" t="str">
        <f>IFERROR(__xludf.DUMMYFUNCTION("iferror(filter('Nifty Mid Small Cap 400'!A:A,'Nifty Mid Small Cap 400'!J:J=""Start GTT Order""),"""")"),"NSE:DCAL")</f>
        <v>NSE:DCAL</v>
      </c>
      <c r="H8" s="17">
        <f>IFERROR(__xludf.DUMMYFUNCTION("iferror(filter('Nifty Mid Small Cap 400'!C:C,'Nifty Mid Small Cap 400'!J:J=""Start GTT Order""),"""")"),224.4)</f>
        <v>224.4</v>
      </c>
      <c r="I8" s="16" t="str">
        <f>IFERROR(__xludf.DUMMYFUNCTION("iferror(filter(ETF!A:A,ETF!J:J=""Start GTT Order""),"""")"),"")</f>
        <v/>
      </c>
      <c r="J8" s="17" t="str">
        <f>IFERROR(__xludf.DUMMYFUNCTION("iferror(filter(ETF!C:C,ETF!J:J=""Start GTT Order""),"""")"),"")</f>
        <v/>
      </c>
      <c r="K8" s="16" t="str">
        <f>IFERROR(__xludf.DUMMYFUNCTION("iferror(filter('REIT INVIT'!A:A,'REIT INVIT'!K:K=""Start GTT Order""),"""")"),"")</f>
        <v/>
      </c>
      <c r="L8" s="17" t="str">
        <f>IFERROR(__xludf.DUMMYFUNCTION("iferror(filter('REIT INVIT'!D:D,'REIT INVIT'!K:K=""Start GTT Order""),"""")"),"")</f>
        <v/>
      </c>
      <c r="M8" s="16" t="str">
        <f>IFERROR(__xludf.DUMMYFUNCTION("iferror(filter('PSU Stocks'!A:A,'PSU Stocks'!J:J=""Start GTT Order""),"""")"),"NSE:IRCTC")</f>
        <v>NSE:IRCTC</v>
      </c>
      <c r="N8" s="17">
        <f>IFERROR(__xludf.DUMMYFUNCTION("iferror(filter('PSU Stocks'!C:C,'PSU Stocks'!J:J=""Start GTT Order""),"""")"),581.3)</f>
        <v>581.3</v>
      </c>
    </row>
    <row r="9">
      <c r="A9" s="18" t="str">
        <f>IFERROR(__xludf.DUMMYFUNCTION("""COMPUTED_VALUE"""),"NSE:HDFCLIFE")</f>
        <v>NSE:HDFCLIFE</v>
      </c>
      <c r="B9" s="18">
        <f>IFERROR(__xludf.DUMMYFUNCTION("""COMPUTED_VALUE"""),736.8)</f>
        <v>736.8</v>
      </c>
      <c r="C9" s="18" t="str">
        <f>IFERROR(__xludf.DUMMYFUNCTION("""COMPUTED_VALUE"""),"NSE:HDFCLIFE")</f>
        <v>NSE:HDFCLIFE</v>
      </c>
      <c r="D9" s="18">
        <f>IFERROR(__xludf.DUMMYFUNCTION("""COMPUTED_VALUE"""),736.8)</f>
        <v>736.8</v>
      </c>
      <c r="E9" s="18" t="str">
        <f>IFERROR(__xludf.DUMMYFUNCTION("""COMPUTED_VALUE"""),"NSE:SYNGENE")</f>
        <v>NSE:SYNGENE</v>
      </c>
      <c r="F9" s="18">
        <f>IFERROR(__xludf.DUMMYFUNCTION("""COMPUTED_VALUE"""),518.55)</f>
        <v>518.55</v>
      </c>
      <c r="G9" s="18" t="str">
        <f>IFERROR(__xludf.DUMMYFUNCTION("""COMPUTED_VALUE"""),"NSE:ALEMBICLTD")</f>
        <v>NSE:ALEMBICLTD</v>
      </c>
      <c r="H9" s="18">
        <f>IFERROR(__xludf.DUMMYFUNCTION("""COMPUTED_VALUE"""),96.37)</f>
        <v>96.37</v>
      </c>
      <c r="M9" s="18" t="str">
        <f>IFERROR(__xludf.DUMMYFUNCTION("""COMPUTED_VALUE"""),"NSE:HUDCO")</f>
        <v>NSE:HUDCO</v>
      </c>
      <c r="N9" s="18">
        <f>IFERROR(__xludf.DUMMYFUNCTION("""COMPUTED_VALUE"""),235.5)</f>
        <v>235.5</v>
      </c>
    </row>
    <row r="10">
      <c r="A10" s="18" t="str">
        <f>IFERROR(__xludf.DUMMYFUNCTION("""COMPUTED_VALUE"""),"NSE:HDFCBANK")</f>
        <v>NSE:HDFCBANK</v>
      </c>
      <c r="B10" s="18">
        <f>IFERROR(__xludf.DUMMYFUNCTION("""COMPUTED_VALUE"""),881.4)</f>
        <v>881.4</v>
      </c>
      <c r="C10" s="18" t="str">
        <f>IFERROR(__xludf.DUMMYFUNCTION("""COMPUTED_VALUE"""),"NSE:TCS")</f>
        <v>NSE:TCS</v>
      </c>
      <c r="D10" s="18">
        <f>IFERROR(__xludf.DUMMYFUNCTION("""COMPUTED_VALUE"""),2635.0)</f>
        <v>2635</v>
      </c>
      <c r="E10" s="18" t="str">
        <f>IFERROR(__xludf.DUMMYFUNCTION("""COMPUTED_VALUE"""),"NSE:HDFCBANK")</f>
        <v>NSE:HDFCBANK</v>
      </c>
      <c r="F10" s="18">
        <f>IFERROR(__xludf.DUMMYFUNCTION("""COMPUTED_VALUE"""),881.4)</f>
        <v>881.4</v>
      </c>
      <c r="G10" s="18" t="str">
        <f>IFERROR(__xludf.DUMMYFUNCTION("""COMPUTED_VALUE"""),"NSE:EPL")</f>
        <v>NSE:EPL</v>
      </c>
      <c r="H10" s="18">
        <f>IFERROR(__xludf.DUMMYFUNCTION("""COMPUTED_VALUE"""),245.45)</f>
        <v>245.45</v>
      </c>
      <c r="M10" s="18" t="str">
        <f>IFERROR(__xludf.DUMMYFUNCTION("""COMPUTED_VALUE"""),"NSE:RECLTD")</f>
        <v>NSE:RECLTD</v>
      </c>
      <c r="N10" s="18">
        <f>IFERROR(__xludf.DUMMYFUNCTION("""COMPUTED_VALUE"""),387.45)</f>
        <v>387.45</v>
      </c>
    </row>
    <row r="11">
      <c r="A11" s="18" t="str">
        <f>IFERROR(__xludf.DUMMYFUNCTION("""COMPUTED_VALUE"""),"NSE:INFY")</f>
        <v>NSE:INFY</v>
      </c>
      <c r="B11" s="18">
        <f>IFERROR(__xludf.DUMMYFUNCTION("""COMPUTED_VALUE"""),1376.9)</f>
        <v>1376.9</v>
      </c>
      <c r="C11" s="18" t="str">
        <f>IFERROR(__xludf.DUMMYFUNCTION("""COMPUTED_VALUE"""),"NSE:CONCOR")</f>
        <v>NSE:CONCOR</v>
      </c>
      <c r="D11" s="18">
        <f>IFERROR(__xludf.DUMMYFUNCTION("""COMPUTED_VALUE"""),537.0)</f>
        <v>537</v>
      </c>
      <c r="E11" s="18" t="str">
        <f>IFERROR(__xludf.DUMMYFUNCTION("""COMPUTED_VALUE"""),"NSE:GODREJIND")</f>
        <v>NSE:GODREJIND</v>
      </c>
      <c r="F11" s="18">
        <f>IFERROR(__xludf.DUMMYFUNCTION("""COMPUTED_VALUE"""),1260.65)</f>
        <v>1260.65</v>
      </c>
      <c r="G11" s="18" t="str">
        <f>IFERROR(__xludf.DUMMYFUNCTION("""COMPUTED_VALUE"""),"NSE:VRLLOG")</f>
        <v>NSE:VRLLOG</v>
      </c>
      <c r="H11" s="18">
        <f>IFERROR(__xludf.DUMMYFUNCTION("""COMPUTED_VALUE"""),280.0)</f>
        <v>280</v>
      </c>
      <c r="M11" s="18" t="str">
        <f>IFERROR(__xludf.DUMMYFUNCTION("""COMPUTED_VALUE"""),"NSE:HINDPETRO")</f>
        <v>NSE:HINDPETRO</v>
      </c>
      <c r="N11" s="18">
        <f>IFERROR(__xludf.DUMMYFUNCTION("""COMPUTED_VALUE"""),435.6)</f>
        <v>435.6</v>
      </c>
    </row>
    <row r="12">
      <c r="A12" s="18" t="str">
        <f>IFERROR(__xludf.DUMMYFUNCTION("""COMPUTED_VALUE"""),"NSE:BRITANNIA")</f>
        <v>NSE:BRITANNIA</v>
      </c>
      <c r="B12" s="18">
        <f>IFERROR(__xludf.DUMMYFUNCTION("""COMPUTED_VALUE"""),6013.0)</f>
        <v>6013</v>
      </c>
      <c r="C12" s="18" t="str">
        <f>IFERROR(__xludf.DUMMYFUNCTION("""COMPUTED_VALUE"""),"NSE:GODREJCP")</f>
        <v>NSE:GODREJCP</v>
      </c>
      <c r="D12" s="18">
        <f>IFERROR(__xludf.DUMMYFUNCTION("""COMPUTED_VALUE"""),1152.9)</f>
        <v>1152.9</v>
      </c>
      <c r="E12" s="18" t="str">
        <f>IFERROR(__xludf.DUMMYFUNCTION("""COMPUTED_VALUE"""),"NSE:EMAMILTD")</f>
        <v>NSE:EMAMILTD</v>
      </c>
      <c r="F12" s="18">
        <f>IFERROR(__xludf.DUMMYFUNCTION("""COMPUTED_VALUE"""),477.0)</f>
        <v>477</v>
      </c>
      <c r="G12" s="18" t="str">
        <f>IFERROR(__xludf.DUMMYFUNCTION("""COMPUTED_VALUE"""),"NSE:SWARAJENG")</f>
        <v>NSE:SWARAJENG</v>
      </c>
      <c r="H12" s="18">
        <f>IFERROR(__xludf.DUMMYFUNCTION("""COMPUTED_VALUE"""),4394.0)</f>
        <v>4394</v>
      </c>
      <c r="M12" s="18" t="str">
        <f>IFERROR(__xludf.DUMMYFUNCTION("""COMPUTED_VALUE"""),"NSE:IRCON")</f>
        <v>NSE:IRCON</v>
      </c>
      <c r="N12" s="18">
        <f>IFERROR(__xludf.DUMMYFUNCTION("""COMPUTED_VALUE"""),164.4)</f>
        <v>164.4</v>
      </c>
    </row>
    <row r="13">
      <c r="C13" s="18" t="str">
        <f>IFERROR(__xludf.DUMMYFUNCTION("""COMPUTED_VALUE"""),"NSE:SBICARD")</f>
        <v>NSE:SBICARD</v>
      </c>
      <c r="D13" s="18">
        <f>IFERROR(__xludf.DUMMYFUNCTION("""COMPUTED_VALUE"""),740.0)</f>
        <v>740</v>
      </c>
      <c r="E13" s="18" t="str">
        <f>IFERROR(__xludf.DUMMYFUNCTION("""COMPUTED_VALUE"""),"NSE:HDFCLIFE")</f>
        <v>NSE:HDFCLIFE</v>
      </c>
      <c r="F13" s="18">
        <f>IFERROR(__xludf.DUMMYFUNCTION("""COMPUTED_VALUE"""),736.8)</f>
        <v>736.8</v>
      </c>
      <c r="G13" s="18" t="str">
        <f>IFERROR(__xludf.DUMMYFUNCTION("""COMPUTED_VALUE"""),"NSE:CSBBANK")</f>
        <v>NSE:CSBBANK</v>
      </c>
      <c r="H13" s="18">
        <f>IFERROR(__xludf.DUMMYFUNCTION("""COMPUTED_VALUE"""),417.2)</f>
        <v>417.2</v>
      </c>
      <c r="M13" s="18" t="str">
        <f>IFERROR(__xludf.DUMMYFUNCTION("""COMPUTED_VALUE"""),"NSE:NIACL")</f>
        <v>NSE:NIACL</v>
      </c>
      <c r="N13" s="18">
        <f>IFERROR(__xludf.DUMMYFUNCTION("""COMPUTED_VALUE"""),180.4)</f>
        <v>180.4</v>
      </c>
    </row>
    <row r="14">
      <c r="C14" s="18" t="str">
        <f>IFERROR(__xludf.DUMMYFUNCTION("""COMPUTED_VALUE"""),"NSE:HINDPETRO")</f>
        <v>NSE:HINDPETRO</v>
      </c>
      <c r="D14" s="18">
        <f>IFERROR(__xludf.DUMMYFUNCTION("""COMPUTED_VALUE"""),435.6)</f>
        <v>435.6</v>
      </c>
      <c r="E14" s="18" t="str">
        <f>IFERROR(__xludf.DUMMYFUNCTION("""COMPUTED_VALUE"""),"NSE:RAJESHEXPO")</f>
        <v>NSE:RAJESHEXPO</v>
      </c>
      <c r="F14" s="18">
        <f>IFERROR(__xludf.DUMMYFUNCTION("""COMPUTED_VALUE"""),137.23)</f>
        <v>137.23</v>
      </c>
      <c r="G14" s="18" t="str">
        <f>IFERROR(__xludf.DUMMYFUNCTION("""COMPUTED_VALUE"""),"NSE:GODREJIND")</f>
        <v>NSE:GODREJIND</v>
      </c>
      <c r="H14" s="18">
        <f>IFERROR(__xludf.DUMMYFUNCTION("""COMPUTED_VALUE"""),1260.65)</f>
        <v>1260.65</v>
      </c>
      <c r="M14" s="18" t="str">
        <f>IFERROR(__xludf.DUMMYFUNCTION("""COMPUTED_VALUE"""),"NSE:BDL")</f>
        <v>NSE:BDL</v>
      </c>
      <c r="N14" s="18">
        <f>IFERROR(__xludf.DUMMYFUNCTION("""COMPUTED_VALUE"""),1481.2)</f>
        <v>1481.2</v>
      </c>
    </row>
    <row r="15">
      <c r="C15" s="18" t="str">
        <f>IFERROR(__xludf.DUMMYFUNCTION("""COMPUTED_VALUE"""),"NSE:BRITANNIA")</f>
        <v>NSE:BRITANNIA</v>
      </c>
      <c r="D15" s="18">
        <f>IFERROR(__xludf.DUMMYFUNCTION("""COMPUTED_VALUE"""),6013.0)</f>
        <v>6013</v>
      </c>
      <c r="E15" s="18" t="str">
        <f>IFERROR(__xludf.DUMMYFUNCTION("""COMPUTED_VALUE"""),"NSE:ESCORTS")</f>
        <v>NSE:ESCORTS</v>
      </c>
      <c r="F15" s="18">
        <f>IFERROR(__xludf.DUMMYFUNCTION("""COMPUTED_VALUE"""),3414.0)</f>
        <v>3414</v>
      </c>
      <c r="G15" s="18" t="str">
        <f>IFERROR(__xludf.DUMMYFUNCTION("""COMPUTED_VALUE"""),"NSE:PRSMJOHNSN")</f>
        <v>NSE:PRSMJOHNSN</v>
      </c>
      <c r="H15" s="18">
        <f>IFERROR(__xludf.DUMMYFUNCTION("""COMPUTED_VALUE"""),143.44)</f>
        <v>143.44</v>
      </c>
      <c r="M15" s="18" t="str">
        <f>IFERROR(__xludf.DUMMYFUNCTION("""COMPUTED_VALUE"""),"NSE:RITES")</f>
        <v>NSE:RITES</v>
      </c>
      <c r="N15" s="18">
        <f>IFERROR(__xludf.DUMMYFUNCTION("""COMPUTED_VALUE"""),230.85)</f>
        <v>230.85</v>
      </c>
    </row>
    <row r="16">
      <c r="C16" s="18" t="str">
        <f>IFERROR(__xludf.DUMMYFUNCTION("""COMPUTED_VALUE"""),"NSE:DABUR")</f>
        <v>NSE:DABUR</v>
      </c>
      <c r="D16" s="18">
        <f>IFERROR(__xludf.DUMMYFUNCTION("""COMPUTED_VALUE"""),504.95)</f>
        <v>504.95</v>
      </c>
      <c r="E16" s="18" t="str">
        <f>IFERROR(__xludf.DUMMYFUNCTION("""COMPUTED_VALUE"""),"NSE:GUJGASLTD")</f>
        <v>NSE:GUJGASLTD</v>
      </c>
      <c r="F16" s="18">
        <f>IFERROR(__xludf.DUMMYFUNCTION("""COMPUTED_VALUE"""),432.0)</f>
        <v>432</v>
      </c>
      <c r="G16" s="18" t="str">
        <f>IFERROR(__xludf.DUMMYFUNCTION("""COMPUTED_VALUE"""),"NSE:BLUEDART")</f>
        <v>NSE:BLUEDART</v>
      </c>
      <c r="H16" s="18">
        <f>IFERROR(__xludf.DUMMYFUNCTION("""COMPUTED_VALUE"""),5775.5)</f>
        <v>5775.5</v>
      </c>
      <c r="M16" s="18" t="str">
        <f>IFERROR(__xludf.DUMMYFUNCTION("""COMPUTED_VALUE"""),"NSE:CONCOR")</f>
        <v>NSE:CONCOR</v>
      </c>
      <c r="N16" s="18">
        <f>IFERROR(__xludf.DUMMYFUNCTION("""COMPUTED_VALUE"""),537.0)</f>
        <v>537</v>
      </c>
    </row>
    <row r="17">
      <c r="C17" s="18" t="str">
        <f>IFERROR(__xludf.DUMMYFUNCTION("""COMPUTED_VALUE"""),"NSE:HAVELLS")</f>
        <v>NSE:HAVELLS</v>
      </c>
      <c r="D17" s="18">
        <f>IFERROR(__xludf.DUMMYFUNCTION("""COMPUTED_VALUE"""),1410.7)</f>
        <v>1410.7</v>
      </c>
      <c r="E17" s="18" t="str">
        <f>IFERROR(__xludf.DUMMYFUNCTION("""COMPUTED_VALUE"""),"NSE:PIIND")</f>
        <v>NSE:PIIND</v>
      </c>
      <c r="F17" s="18">
        <f>IFERROR(__xludf.DUMMYFUNCTION("""COMPUTED_VALUE"""),3194.1)</f>
        <v>3194.1</v>
      </c>
      <c r="G17" s="18" t="str">
        <f>IFERROR(__xludf.DUMMYFUNCTION("""COMPUTED_VALUE"""),"NSE:JKLAKSHMI")</f>
        <v>NSE:JKLAKSHMI</v>
      </c>
      <c r="H17" s="18">
        <f>IFERROR(__xludf.DUMMYFUNCTION("""COMPUTED_VALUE"""),686.0)</f>
        <v>686</v>
      </c>
      <c r="M17" s="18" t="str">
        <f>IFERROR(__xludf.DUMMYFUNCTION("""COMPUTED_VALUE"""),"NSE:BEML")</f>
        <v>NSE:BEML</v>
      </c>
      <c r="N17" s="18">
        <f>IFERROR(__xludf.DUMMYFUNCTION("""COMPUTED_VALUE"""),2037.1)</f>
        <v>2037.1</v>
      </c>
    </row>
    <row r="18">
      <c r="C18" s="18" t="str">
        <f>IFERROR(__xludf.DUMMYFUNCTION("""COMPUTED_VALUE"""),"NSE:HDFCBANK")</f>
        <v>NSE:HDFCBANK</v>
      </c>
      <c r="D18" s="18">
        <f>IFERROR(__xludf.DUMMYFUNCTION("""COMPUTED_VALUE"""),881.4)</f>
        <v>881.4</v>
      </c>
      <c r="E18" s="18" t="str">
        <f>IFERROR(__xludf.DUMMYFUNCTION("""COMPUTED_VALUE"""),"NSE:PGHH")</f>
        <v>NSE:PGHH</v>
      </c>
      <c r="F18" s="18">
        <f>IFERROR(__xludf.DUMMYFUNCTION("""COMPUTED_VALUE"""),11250.0)</f>
        <v>11250</v>
      </c>
      <c r="G18" s="18" t="str">
        <f>IFERROR(__xludf.DUMMYFUNCTION("""COMPUTED_VALUE"""),"NSE:IRB")</f>
        <v>NSE:IRB</v>
      </c>
      <c r="H18" s="18">
        <f>IFERROR(__xludf.DUMMYFUNCTION("""COMPUTED_VALUE"""),23.95)</f>
        <v>23.95</v>
      </c>
      <c r="M18" s="18" t="str">
        <f>IFERROR(__xludf.DUMMYFUNCTION("""COMPUTED_VALUE"""),"NSE:GUJGASLTD")</f>
        <v>NSE:GUJGASLTD</v>
      </c>
      <c r="N18" s="18">
        <f>IFERROR(__xludf.DUMMYFUNCTION("""COMPUTED_VALUE"""),432.0)</f>
        <v>432</v>
      </c>
    </row>
    <row r="19">
      <c r="C19" s="18" t="str">
        <f>IFERROR(__xludf.DUMMYFUNCTION("""COMPUTED_VALUE"""),"NSE:PGHH")</f>
        <v>NSE:PGHH</v>
      </c>
      <c r="D19" s="18">
        <f>IFERROR(__xludf.DUMMYFUNCTION("""COMPUTED_VALUE"""),11250.0)</f>
        <v>11250</v>
      </c>
      <c r="E19" s="18" t="str">
        <f>IFERROR(__xludf.DUMMYFUNCTION("""COMPUTED_VALUE"""),"NSE:SBICARD")</f>
        <v>NSE:SBICARD</v>
      </c>
      <c r="F19" s="18">
        <f>IFERROR(__xludf.DUMMYFUNCTION("""COMPUTED_VALUE"""),740.0)</f>
        <v>740</v>
      </c>
      <c r="G19" s="18" t="str">
        <f>IFERROR(__xludf.DUMMYFUNCTION("""COMPUTED_VALUE"""),"NSE:RALLIS")</f>
        <v>NSE:RALLIS</v>
      </c>
      <c r="H19" s="18">
        <f>IFERROR(__xludf.DUMMYFUNCTION("""COMPUTED_VALUE"""),283.0)</f>
        <v>283</v>
      </c>
      <c r="M19" s="18" t="str">
        <f>IFERROR(__xludf.DUMMYFUNCTION("""COMPUTED_VALUE"""),"NSE:UCOBANK")</f>
        <v>NSE:UCOBANK</v>
      </c>
      <c r="N19" s="18">
        <f>IFERROR(__xludf.DUMMYFUNCTION("""COMPUTED_VALUE"""),28.39)</f>
        <v>28.39</v>
      </c>
    </row>
    <row r="20">
      <c r="C20" s="18" t="str">
        <f>IFERROR(__xludf.DUMMYFUNCTION("""COMPUTED_VALUE"""),"NSE:DMART")</f>
        <v>NSE:DMART</v>
      </c>
      <c r="D20" s="18">
        <f>IFERROR(__xludf.DUMMYFUNCTION("""COMPUTED_VALUE"""),4644.0)</f>
        <v>4644</v>
      </c>
      <c r="E20" s="18" t="str">
        <f>IFERROR(__xludf.DUMMYFUNCTION("""COMPUTED_VALUE"""),"NSE:INFY")</f>
        <v>NSE:INFY</v>
      </c>
      <c r="F20" s="18">
        <f>IFERROR(__xludf.DUMMYFUNCTION("""COMPUTED_VALUE"""),1376.9)</f>
        <v>1376.9</v>
      </c>
      <c r="G20" s="18" t="str">
        <f>IFERROR(__xludf.DUMMYFUNCTION("""COMPUTED_VALUE"""),"NSE:BEML")</f>
        <v>NSE:BEML</v>
      </c>
      <c r="H20" s="18">
        <f>IFERROR(__xludf.DUMMYFUNCTION("""COMPUTED_VALUE"""),2037.1)</f>
        <v>2037.1</v>
      </c>
      <c r="M20" s="18" t="str">
        <f>IFERROR(__xludf.DUMMYFUNCTION("""COMPUTED_VALUE"""),"NSE:MOIL")</f>
        <v>NSE:MOIL</v>
      </c>
      <c r="N20" s="18">
        <f>IFERROR(__xludf.DUMMYFUNCTION("""COMPUTED_VALUE"""),337.4)</f>
        <v>337.4</v>
      </c>
    </row>
    <row r="21">
      <c r="C21" s="18" t="str">
        <f>IFERROR(__xludf.DUMMYFUNCTION("""COMPUTED_VALUE"""),"NSE:PNB")</f>
        <v>NSE:PNB</v>
      </c>
      <c r="D21" s="18">
        <f>IFERROR(__xludf.DUMMYFUNCTION("""COMPUTED_VALUE"""),124.9)</f>
        <v>124.9</v>
      </c>
      <c r="E21" s="18" t="str">
        <f>IFERROR(__xludf.DUMMYFUNCTION("""COMPUTED_VALUE"""),"NSE:DABUR")</f>
        <v>NSE:DABUR</v>
      </c>
      <c r="F21" s="18">
        <f>IFERROR(__xludf.DUMMYFUNCTION("""COMPUTED_VALUE"""),504.95)</f>
        <v>504.95</v>
      </c>
      <c r="G21" s="18" t="str">
        <f>IFERROR(__xludf.DUMMYFUNCTION("""COMPUTED_VALUE"""),"NSE:MOIL")</f>
        <v>NSE:MOIL</v>
      </c>
      <c r="H21" s="18">
        <f>IFERROR(__xludf.DUMMYFUNCTION("""COMPUTED_VALUE"""),337.4)</f>
        <v>337.4</v>
      </c>
      <c r="M21" s="18" t="str">
        <f>IFERROR(__xludf.DUMMYFUNCTION("""COMPUTED_VALUE"""),"NSE:PNB")</f>
        <v>NSE:PNB</v>
      </c>
      <c r="N21" s="18">
        <f>IFERROR(__xludf.DUMMYFUNCTION("""COMPUTED_VALUE"""),124.9)</f>
        <v>124.9</v>
      </c>
    </row>
    <row r="22">
      <c r="E22" s="18" t="str">
        <f>IFERROR(__xludf.DUMMYFUNCTION("""COMPUTED_VALUE"""),"NSE:APOLLOTYRE")</f>
        <v>NSE:APOLLOTYRE</v>
      </c>
      <c r="F22" s="18">
        <f>IFERROR(__xludf.DUMMYFUNCTION("""COMPUTED_VALUE"""),447.5)</f>
        <v>447.5</v>
      </c>
      <c r="G22" s="18" t="str">
        <f>IFERROR(__xludf.DUMMYFUNCTION("""COMPUTED_VALUE"""),"NSE:POLYPLEX")</f>
        <v>NSE:POLYPLEX</v>
      </c>
      <c r="H22" s="18">
        <f>IFERROR(__xludf.DUMMYFUNCTION("""COMPUTED_VALUE"""),1011.9)</f>
        <v>1011.9</v>
      </c>
    </row>
    <row r="23">
      <c r="E23" s="18" t="str">
        <f>IFERROR(__xludf.DUMMYFUNCTION("""COMPUTED_VALUE"""),"NSE:DMART")</f>
        <v>NSE:DMART</v>
      </c>
      <c r="F23" s="18">
        <f>IFERROR(__xludf.DUMMYFUNCTION("""COMPUTED_VALUE"""),4644.0)</f>
        <v>4644</v>
      </c>
      <c r="G23" s="18" t="str">
        <f>IFERROR(__xludf.DUMMYFUNCTION("""COMPUTED_VALUE"""),"NSE:UCOBANK")</f>
        <v>NSE:UCOBANK</v>
      </c>
      <c r="H23" s="18">
        <f>IFERROR(__xludf.DUMMYFUNCTION("""COMPUTED_VALUE"""),28.39)</f>
        <v>28.39</v>
      </c>
    </row>
    <row r="24">
      <c r="E24" s="18" t="str">
        <f>IFERROR(__xludf.DUMMYFUNCTION("""COMPUTED_VALUE"""),"NSE:TCS")</f>
        <v>NSE:TCS</v>
      </c>
      <c r="F24" s="18">
        <f>IFERROR(__xludf.DUMMYFUNCTION("""COMPUTED_VALUE"""),2635.0)</f>
        <v>2635</v>
      </c>
      <c r="G24" s="18" t="str">
        <f>IFERROR(__xludf.DUMMYFUNCTION("""COMPUTED_VALUE"""),"NSE:REDINGTON")</f>
        <v>NSE:REDINGTON</v>
      </c>
      <c r="H24" s="18">
        <f>IFERROR(__xludf.DUMMYFUNCTION("""COMPUTED_VALUE"""),268.5)</f>
        <v>268.5</v>
      </c>
    </row>
    <row r="25">
      <c r="E25" s="18" t="str">
        <f>IFERROR(__xludf.DUMMYFUNCTION("""COMPUTED_VALUE"""),"NSE:PNB")</f>
        <v>NSE:PNB</v>
      </c>
      <c r="F25" s="18">
        <f>IFERROR(__xludf.DUMMYFUNCTION("""COMPUTED_VALUE"""),124.9)</f>
        <v>124.9</v>
      </c>
      <c r="G25" s="18" t="str">
        <f>IFERROR(__xludf.DUMMYFUNCTION("""COMPUTED_VALUE"""),"NSE:TVTODAY")</f>
        <v>NSE:TVTODAY</v>
      </c>
      <c r="H25" s="18">
        <f>IFERROR(__xludf.DUMMYFUNCTION("""COMPUTED_VALUE"""),129.98)</f>
        <v>129.98</v>
      </c>
    </row>
    <row r="26">
      <c r="E26" s="18" t="str">
        <f>IFERROR(__xludf.DUMMYFUNCTION("""COMPUTED_VALUE"""),"NSE:BRITANNIA")</f>
        <v>NSE:BRITANNIA</v>
      </c>
      <c r="F26" s="18">
        <f>IFERROR(__xludf.DUMMYFUNCTION("""COMPUTED_VALUE"""),6013.0)</f>
        <v>6013</v>
      </c>
      <c r="G26" s="18" t="str">
        <f>IFERROR(__xludf.DUMMYFUNCTION("""COMPUTED_VALUE"""),"NSE:TASTYBITE")</f>
        <v>NSE:TASTYBITE</v>
      </c>
      <c r="H26" s="18">
        <f>IFERROR(__xludf.DUMMYFUNCTION("""COMPUTED_VALUE"""),8924.0)</f>
        <v>8924</v>
      </c>
    </row>
    <row r="27">
      <c r="E27" s="18" t="str">
        <f>IFERROR(__xludf.DUMMYFUNCTION("""COMPUTED_VALUE"""),"NSE:MRF")</f>
        <v>NSE:MRF</v>
      </c>
      <c r="F27" s="18">
        <f>IFERROR(__xludf.DUMMYFUNCTION("""COMPUTED_VALUE"""),142500.0)</f>
        <v>142500</v>
      </c>
      <c r="G27" s="18" t="str">
        <f>IFERROR(__xludf.DUMMYFUNCTION("""COMPUTED_VALUE"""),"NSE:GHCL")</f>
        <v>NSE:GHCL</v>
      </c>
      <c r="H27" s="18">
        <f>IFERROR(__xludf.DUMMYFUNCTION("""COMPUTED_VALUE"""),549.0)</f>
        <v>549</v>
      </c>
    </row>
    <row r="28">
      <c r="E28" s="18" t="str">
        <f>IFERROR(__xludf.DUMMYFUNCTION("""COMPUTED_VALUE"""),"NSE:HUDCO")</f>
        <v>NSE:HUDCO</v>
      </c>
      <c r="F28" s="18">
        <f>IFERROR(__xludf.DUMMYFUNCTION("""COMPUTED_VALUE"""),235.5)</f>
        <v>235.5</v>
      </c>
      <c r="G28" s="18" t="str">
        <f>IFERROR(__xludf.DUMMYFUNCTION("""COMPUTED_VALUE"""),"NSE:IRCON")</f>
        <v>NSE:IRCON</v>
      </c>
      <c r="H28" s="18">
        <f>IFERROR(__xludf.DUMMYFUNCTION("""COMPUTED_VALUE"""),164.4)</f>
        <v>164.4</v>
      </c>
    </row>
    <row r="29">
      <c r="E29" s="18" t="str">
        <f>IFERROR(__xludf.DUMMYFUNCTION("""COMPUTED_VALUE"""),"NSE:HINDPETRO")</f>
        <v>NSE:HINDPETRO</v>
      </c>
      <c r="F29" s="18">
        <f>IFERROR(__xludf.DUMMYFUNCTION("""COMPUTED_VALUE"""),435.6)</f>
        <v>435.6</v>
      </c>
      <c r="G29" s="18" t="str">
        <f>IFERROR(__xludf.DUMMYFUNCTION("""COMPUTED_VALUE"""),"NSE:BDL")</f>
        <v>NSE:BDL</v>
      </c>
      <c r="H29" s="18">
        <f>IFERROR(__xludf.DUMMYFUNCTION("""COMPUTED_VALUE"""),1481.2)</f>
        <v>1481.2</v>
      </c>
    </row>
    <row r="30">
      <c r="E30" s="18" t="str">
        <f>IFERROR(__xludf.DUMMYFUNCTION("""COMPUTED_VALUE"""),"NSE:COROMANDEL")</f>
        <v>NSE:COROMANDEL</v>
      </c>
      <c r="F30" s="18">
        <f>IFERROR(__xludf.DUMMYFUNCTION("""COMPUTED_VALUE"""),2197.9)</f>
        <v>2197.9</v>
      </c>
      <c r="G30" s="18" t="str">
        <f>IFERROR(__xludf.DUMMYFUNCTION("""COMPUTED_VALUE"""),"NSE:GMMPFAUDLR")</f>
        <v>NSE:GMMPFAUDLR</v>
      </c>
      <c r="H30" s="18">
        <f>IFERROR(__xludf.DUMMYFUNCTION("""COMPUTED_VALUE"""),943.8)</f>
        <v>943.8</v>
      </c>
    </row>
    <row r="31">
      <c r="E31" s="18" t="str">
        <f>IFERROR(__xludf.DUMMYFUNCTION("""COMPUTED_VALUE"""),"NSE:HAVELLS")</f>
        <v>NSE:HAVELLS</v>
      </c>
      <c r="F31" s="18">
        <f>IFERROR(__xludf.DUMMYFUNCTION("""COMPUTED_VALUE"""),1410.7)</f>
        <v>1410.7</v>
      </c>
      <c r="G31" s="18" t="str">
        <f>IFERROR(__xludf.DUMMYFUNCTION("""COMPUTED_VALUE"""),"NSE:SYNGENE")</f>
        <v>NSE:SYNGENE</v>
      </c>
      <c r="H31" s="18">
        <f>IFERROR(__xludf.DUMMYFUNCTION("""COMPUTED_VALUE"""),518.55)</f>
        <v>518.55</v>
      </c>
    </row>
    <row r="32">
      <c r="E32" s="18" t="str">
        <f>IFERROR(__xludf.DUMMYFUNCTION("""COMPUTED_VALUE"""),"NSE:CONCOR")</f>
        <v>NSE:CONCOR</v>
      </c>
      <c r="F32" s="18">
        <f>IFERROR(__xludf.DUMMYFUNCTION("""COMPUTED_VALUE"""),537.0)</f>
        <v>537</v>
      </c>
      <c r="G32" s="18" t="str">
        <f>IFERROR(__xludf.DUMMYFUNCTION("""COMPUTED_VALUE"""),"NSE:TCIEXP")</f>
        <v>NSE:TCIEXP</v>
      </c>
      <c r="H32" s="18">
        <f>IFERROR(__xludf.DUMMYFUNCTION("""COMPUTED_VALUE"""),593.55)</f>
        <v>593.55</v>
      </c>
    </row>
    <row r="33">
      <c r="E33" s="18" t="str">
        <f>IFERROR(__xludf.DUMMYFUNCTION("""COMPUTED_VALUE"""),"NSE:GODREJCP")</f>
        <v>NSE:GODREJCP</v>
      </c>
      <c r="F33" s="18">
        <f>IFERROR(__xludf.DUMMYFUNCTION("""COMPUTED_VALUE"""),1152.9)</f>
        <v>1152.9</v>
      </c>
      <c r="G33" s="18" t="str">
        <f>IFERROR(__xludf.DUMMYFUNCTION("""COMPUTED_VALUE"""),"NSE:GUJGASLTD")</f>
        <v>NSE:GUJGASLTD</v>
      </c>
      <c r="H33" s="18">
        <f>IFERROR(__xludf.DUMMYFUNCTION("""COMPUTED_VALUE"""),432.0)</f>
        <v>432</v>
      </c>
    </row>
    <row r="34">
      <c r="E34" s="18" t="str">
        <f>IFERROR(__xludf.DUMMYFUNCTION("""COMPUTED_VALUE"""),"NSE:CHOLAFIN")</f>
        <v>NSE:CHOLAFIN</v>
      </c>
      <c r="F34" s="18">
        <f>IFERROR(__xludf.DUMMYFUNCTION("""COMPUTED_VALUE"""),1734.8)</f>
        <v>1734.8</v>
      </c>
      <c r="G34" s="18" t="str">
        <f>IFERROR(__xludf.DUMMYFUNCTION("""COMPUTED_VALUE"""),"NSE:GLAXO")</f>
        <v>NSE:GLAXO</v>
      </c>
      <c r="H34" s="18">
        <f>IFERROR(__xludf.DUMMYFUNCTION("""COMPUTED_VALUE"""),2554.0)</f>
        <v>2554</v>
      </c>
    </row>
    <row r="35">
      <c r="E35" s="18" t="str">
        <f>IFERROR(__xludf.DUMMYFUNCTION("""COMPUTED_VALUE"""),"NSE:BATAINDIA")</f>
        <v>NSE:BATAINDIA</v>
      </c>
      <c r="F35" s="18">
        <f>IFERROR(__xludf.DUMMYFUNCTION("""COMPUTED_VALUE"""),779.0)</f>
        <v>779</v>
      </c>
      <c r="G35" s="18" t="str">
        <f>IFERROR(__xludf.DUMMYFUNCTION("""COMPUTED_VALUE"""),"NSE:NAVNETEDUL")</f>
        <v>NSE:NAVNETEDUL</v>
      </c>
      <c r="H35" s="18">
        <f>IFERROR(__xludf.DUMMYFUNCTION("""COMPUTED_VALUE"""),162.6)</f>
        <v>162.6</v>
      </c>
    </row>
    <row r="36">
      <c r="E36" s="18" t="str">
        <f>IFERROR(__xludf.DUMMYFUNCTION("""COMPUTED_VALUE"""),"NSE:JUBLFOOD")</f>
        <v>NSE:JUBLFOOD</v>
      </c>
      <c r="F36" s="18">
        <f>IFERROR(__xludf.DUMMYFUNCTION("""COMPUTED_VALUE"""),509.8)</f>
        <v>509.8</v>
      </c>
      <c r="G36" s="18" t="str">
        <f>IFERROR(__xludf.DUMMYFUNCTION("""COMPUTED_VALUE"""),"NSE:DBL")</f>
        <v>NSE:DBL</v>
      </c>
      <c r="H36" s="18">
        <f>IFERROR(__xludf.DUMMYFUNCTION("""COMPUTED_VALUE"""),497.0)</f>
        <v>497</v>
      </c>
    </row>
    <row r="37">
      <c r="E37" s="18" t="str">
        <f>IFERROR(__xludf.DUMMYFUNCTION("""COMPUTED_VALUE"""),"NSE:RECLTD")</f>
        <v>NSE:RECLTD</v>
      </c>
      <c r="F37" s="18">
        <f>IFERROR(__xludf.DUMMYFUNCTION("""COMPUTED_VALUE"""),387.45)</f>
        <v>387.45</v>
      </c>
      <c r="G37" s="18" t="str">
        <f>IFERROR(__xludf.DUMMYFUNCTION("""COMPUTED_VALUE"""),"NSE:HERITGFOOD")</f>
        <v>NSE:HERITGFOOD</v>
      </c>
      <c r="H37" s="18">
        <f>IFERROR(__xludf.DUMMYFUNCTION("""COMPUTED_VALUE"""),381.2)</f>
        <v>381.2</v>
      </c>
    </row>
    <row r="38">
      <c r="E38" s="18" t="str">
        <f>IFERROR(__xludf.DUMMYFUNCTION("""COMPUTED_VALUE"""),"NSE:DALBHARAT")</f>
        <v>NSE:DALBHARAT</v>
      </c>
      <c r="F38" s="18">
        <f>IFERROR(__xludf.DUMMYFUNCTION("""COMPUTED_VALUE"""),2007.6)</f>
        <v>2007.6</v>
      </c>
      <c r="G38" s="18" t="str">
        <f>IFERROR(__xludf.DUMMYFUNCTION("""COMPUTED_VALUE"""),"NSE:TATAINVEST")</f>
        <v>NSE:TATAINVEST</v>
      </c>
      <c r="H38" s="18">
        <f>IFERROR(__xludf.DUMMYFUNCTION("""COMPUTED_VALUE"""),762.25)</f>
        <v>762.25</v>
      </c>
    </row>
    <row r="39">
      <c r="G39" s="18" t="str">
        <f>IFERROR(__xludf.DUMMYFUNCTION("""COMPUTED_VALUE"""),"NSE:JKCEMENT")</f>
        <v>NSE:JKCEMENT</v>
      </c>
      <c r="H39" s="18">
        <f>IFERROR(__xludf.DUMMYFUNCTION("""COMPUTED_VALUE"""),6020.0)</f>
        <v>6020</v>
      </c>
    </row>
    <row r="40">
      <c r="G40" s="18" t="str">
        <f>IFERROR(__xludf.DUMMYFUNCTION("""COMPUTED_VALUE"""),"NSE:TTKPRESTIG")</f>
        <v>NSE:TTKPRESTIG</v>
      </c>
      <c r="H40" s="18">
        <f>IFERROR(__xludf.DUMMYFUNCTION("""COMPUTED_VALUE"""),613.5)</f>
        <v>613.5</v>
      </c>
    </row>
    <row r="41">
      <c r="G41" s="18" t="str">
        <f>IFERROR(__xludf.DUMMYFUNCTION("""COMPUTED_VALUE"""),"NSE:HATSUN")</f>
        <v>NSE:HATSUN</v>
      </c>
      <c r="H41" s="18">
        <f>IFERROR(__xludf.DUMMYFUNCTION("""COMPUTED_VALUE"""),1023.95)</f>
        <v>1023.95</v>
      </c>
    </row>
    <row r="42">
      <c r="G42" s="18" t="str">
        <f>IFERROR(__xludf.DUMMYFUNCTION("""COMPUTED_VALUE"""),"NSE:EIHOTEL")</f>
        <v>NSE:EIHOTEL</v>
      </c>
      <c r="H42" s="18">
        <f>IFERROR(__xludf.DUMMYFUNCTION("""COMPUTED_VALUE"""),374.55)</f>
        <v>374.55</v>
      </c>
    </row>
    <row r="43">
      <c r="G43" s="18" t="str">
        <f>IFERROR(__xludf.DUMMYFUNCTION("""COMPUTED_VALUE"""),"NSE:KSCL")</f>
        <v>NSE:KSCL</v>
      </c>
      <c r="H43" s="18">
        <f>IFERROR(__xludf.DUMMYFUNCTION("""COMPUTED_VALUE"""),1025.0)</f>
        <v>1025</v>
      </c>
    </row>
    <row r="44">
      <c r="G44" s="18" t="str">
        <f>IFERROR(__xludf.DUMMYFUNCTION("""COMPUTED_VALUE"""),"NSE:RAJESHEXPO")</f>
        <v>NSE:RAJESHEXPO</v>
      </c>
      <c r="H44" s="18">
        <f>IFERROR(__xludf.DUMMYFUNCTION("""COMPUTED_VALUE"""),137.23)</f>
        <v>137.23</v>
      </c>
    </row>
    <row r="45">
      <c r="G45" s="18" t="str">
        <f>IFERROR(__xludf.DUMMYFUNCTION("""COMPUTED_VALUE"""),"NSE:HUDCO")</f>
        <v>NSE:HUDCO</v>
      </c>
      <c r="H45" s="18">
        <f>IFERROR(__xludf.DUMMYFUNCTION("""COMPUTED_VALUE"""),235.5)</f>
        <v>235.5</v>
      </c>
    </row>
    <row r="46">
      <c r="G46" s="18" t="str">
        <f>IFERROR(__xludf.DUMMYFUNCTION("""COMPUTED_VALUE"""),"NSE:QUESS")</f>
        <v>NSE:QUESS</v>
      </c>
      <c r="H46" s="18">
        <f>IFERROR(__xludf.DUMMYFUNCTION("""COMPUTED_VALUE"""),238.0)</f>
        <v>238</v>
      </c>
    </row>
    <row r="47">
      <c r="G47" s="18" t="str">
        <f>IFERROR(__xludf.DUMMYFUNCTION("""COMPUTED_VALUE"""),"NSE:BASF")</f>
        <v>NSE:BASF</v>
      </c>
      <c r="H47" s="18">
        <f>IFERROR(__xludf.DUMMYFUNCTION("""COMPUTED_VALUE"""),4090.0)</f>
        <v>4090</v>
      </c>
    </row>
    <row r="48">
      <c r="G48" s="18" t="str">
        <f>IFERROR(__xludf.DUMMYFUNCTION("""COMPUTED_VALUE"""),"NSE:STARCEMENT")</f>
        <v>NSE:STARCEMENT</v>
      </c>
      <c r="H48" s="18">
        <f>IFERROR(__xludf.DUMMYFUNCTION("""COMPUTED_VALUE"""),242.98)</f>
        <v>242.98</v>
      </c>
    </row>
    <row r="49">
      <c r="G49" s="18" t="str">
        <f>IFERROR(__xludf.DUMMYFUNCTION("""COMPUTED_VALUE"""),"NSE:VAKRANGEE")</f>
        <v>NSE:VAKRANGEE</v>
      </c>
      <c r="H49" s="18">
        <f>IFERROR(__xludf.DUMMYFUNCTION("""COMPUTED_VALUE"""),7.56)</f>
        <v>7.56</v>
      </c>
    </row>
    <row r="50">
      <c r="G50" s="18" t="str">
        <f>IFERROR(__xludf.DUMMYFUNCTION("""COMPUTED_VALUE"""),"NSE:CHOLAFIN")</f>
        <v>NSE:CHOLAFIN</v>
      </c>
      <c r="H50" s="18">
        <f>IFERROR(__xludf.DUMMYFUNCTION("""COMPUTED_VALUE"""),1734.8)</f>
        <v>1734.8</v>
      </c>
    </row>
    <row r="51">
      <c r="G51" s="18" t="str">
        <f>IFERROR(__xludf.DUMMYFUNCTION("""COMPUTED_VALUE"""),"NSE:CRISIL")</f>
        <v>NSE:CRISIL</v>
      </c>
      <c r="H51" s="18">
        <f>IFERROR(__xludf.DUMMYFUNCTION("""COMPUTED_VALUE"""),4463.9)</f>
        <v>4463.9</v>
      </c>
    </row>
    <row r="52">
      <c r="G52" s="18" t="str">
        <f>IFERROR(__xludf.DUMMYFUNCTION("""COMPUTED_VALUE"""),"NSE:IRCTC")</f>
        <v>NSE:IRCTC</v>
      </c>
      <c r="H52" s="18">
        <f>IFERROR(__xludf.DUMMYFUNCTION("""COMPUTED_VALUE"""),581.3)</f>
        <v>581.3</v>
      </c>
    </row>
    <row r="53">
      <c r="G53" s="18" t="str">
        <f>IFERROR(__xludf.DUMMYFUNCTION("""COMPUTED_VALUE"""),"NSE:CHOLAHLDNG")</f>
        <v>NSE:CHOLAHLDNG</v>
      </c>
      <c r="H53" s="18">
        <f>IFERROR(__xludf.DUMMYFUNCTION("""COMPUTED_VALUE"""),1809.9)</f>
        <v>1809.9</v>
      </c>
    </row>
    <row r="54">
      <c r="G54" s="18" t="str">
        <f>IFERROR(__xludf.DUMMYFUNCTION("""COMPUTED_VALUE"""),"NSE:ERIS")</f>
        <v>NSE:ERIS</v>
      </c>
      <c r="H54" s="18">
        <f>IFERROR(__xludf.DUMMYFUNCTION("""COMPUTED_VALUE"""),1530.0)</f>
        <v>1530</v>
      </c>
    </row>
    <row r="55">
      <c r="G55" s="18" t="str">
        <f>IFERROR(__xludf.DUMMYFUNCTION("""COMPUTED_VALUE"""),"NSE:HATHWAY")</f>
        <v>NSE:HATHWAY</v>
      </c>
      <c r="H55" s="18">
        <f>IFERROR(__xludf.DUMMYFUNCTION("""COMPUTED_VALUE"""),11.91)</f>
        <v>11.91</v>
      </c>
    </row>
    <row r="56">
      <c r="G56" s="18" t="str">
        <f>IFERROR(__xludf.DUMMYFUNCTION("""COMPUTED_VALUE"""),"NSE:DBCORP")</f>
        <v>NSE:DBCORP</v>
      </c>
      <c r="H56" s="18">
        <f>IFERROR(__xludf.DUMMYFUNCTION("""COMPUTED_VALUE"""),245.0)</f>
        <v>245</v>
      </c>
    </row>
    <row r="57">
      <c r="G57" s="18" t="str">
        <f>IFERROR(__xludf.DUMMYFUNCTION("""COMPUTED_VALUE"""),"NSE:ALKYLAMINE")</f>
        <v>NSE:ALKYLAMINE</v>
      </c>
      <c r="H57" s="18">
        <f>IFERROR(__xludf.DUMMYFUNCTION("""COMPUTED_VALUE"""),1889.0)</f>
        <v>1889</v>
      </c>
    </row>
    <row r="58">
      <c r="G58" s="18" t="str">
        <f>IFERROR(__xludf.DUMMYFUNCTION("""COMPUTED_VALUE"""),"NSE:UFLEX")</f>
        <v>NSE:UFLEX</v>
      </c>
      <c r="H58" s="18">
        <f>IFERROR(__xludf.DUMMYFUNCTION("""COMPUTED_VALUE"""),471.3)</f>
        <v>471.3</v>
      </c>
    </row>
    <row r="59">
      <c r="G59" s="18" t="str">
        <f>IFERROR(__xludf.DUMMYFUNCTION("""COMPUTED_VALUE"""),"NSE:CDSL")</f>
        <v>NSE:CDSL</v>
      </c>
      <c r="H59" s="18">
        <f>IFERROR(__xludf.DUMMYFUNCTION("""COMPUTED_VALUE"""),1401.1)</f>
        <v>1401.1</v>
      </c>
    </row>
    <row r="60">
      <c r="G60" s="18" t="str">
        <f>IFERROR(__xludf.DUMMYFUNCTION("""COMPUTED_VALUE"""),"NSE:PIIND")</f>
        <v>NSE:PIIND</v>
      </c>
      <c r="H60" s="18">
        <f>IFERROR(__xludf.DUMMYFUNCTION("""COMPUTED_VALUE"""),3194.1)</f>
        <v>3194.1</v>
      </c>
    </row>
    <row r="61">
      <c r="G61" s="18" t="str">
        <f>IFERROR(__xludf.DUMMYFUNCTION("""COMPUTED_VALUE"""),"NSE:JMFINANCIL")</f>
        <v>NSE:JMFINANCIL</v>
      </c>
      <c r="H61" s="18">
        <f>IFERROR(__xludf.DUMMYFUNCTION("""COMPUTED_VALUE"""),147.2)</f>
        <v>147.2</v>
      </c>
    </row>
    <row r="62">
      <c r="G62" s="18" t="str">
        <f>IFERROR(__xludf.DUMMYFUNCTION("""COMPUTED_VALUE"""),"NSE:LAOPALA")</f>
        <v>NSE:LAOPALA</v>
      </c>
      <c r="H62" s="18">
        <f>IFERROR(__xludf.DUMMYFUNCTION("""COMPUTED_VALUE"""),202.95)</f>
        <v>202.95</v>
      </c>
    </row>
    <row r="63">
      <c r="G63" s="18" t="str">
        <f>IFERROR(__xludf.DUMMYFUNCTION("""COMPUTED_VALUE"""),"NSE:EMAMILTD")</f>
        <v>NSE:EMAMILTD</v>
      </c>
      <c r="H63" s="18">
        <f>IFERROR(__xludf.DUMMYFUNCTION("""COMPUTED_VALUE"""),477.0)</f>
        <v>477</v>
      </c>
    </row>
    <row r="64">
      <c r="G64" s="18" t="str">
        <f>IFERROR(__xludf.DUMMYFUNCTION("""COMPUTED_VALUE"""),"NSE:BLUESTARCO")</f>
        <v>NSE:BLUESTARCO</v>
      </c>
      <c r="H64" s="18">
        <f>IFERROR(__xludf.DUMMYFUNCTION("""COMPUTED_VALUE"""),1984.0)</f>
        <v>1984</v>
      </c>
    </row>
    <row r="65">
      <c r="G65" s="18" t="str">
        <f>IFERROR(__xludf.DUMMYFUNCTION("""COMPUTED_VALUE"""),"NSE:DALBHARAT")</f>
        <v>NSE:DALBHARAT</v>
      </c>
      <c r="H65" s="18">
        <f>IFERROR(__xludf.DUMMYFUNCTION("""COMPUTED_VALUE"""),2007.6)</f>
        <v>2007.6</v>
      </c>
    </row>
    <row r="66">
      <c r="G66" s="18" t="str">
        <f>IFERROR(__xludf.DUMMYFUNCTION("""COMPUTED_VALUE"""),"NSE:OMAXE")</f>
        <v>NSE:OMAXE</v>
      </c>
      <c r="H66" s="18">
        <f>IFERROR(__xludf.DUMMYFUNCTION("""COMPUTED_VALUE"""),93.7)</f>
        <v>93.7</v>
      </c>
    </row>
    <row r="67">
      <c r="G67" s="18" t="str">
        <f>IFERROR(__xludf.DUMMYFUNCTION("""COMPUTED_VALUE"""),"NSE:SONATSOFTW")</f>
        <v>NSE:SONATSOFTW</v>
      </c>
      <c r="H67" s="18">
        <f>IFERROR(__xludf.DUMMYFUNCTION("""COMPUTED_VALUE"""),307.9)</f>
        <v>307.9</v>
      </c>
    </row>
    <row r="68">
      <c r="G68" s="18" t="str">
        <f>IFERROR(__xludf.DUMMYFUNCTION("""COMPUTED_VALUE"""),"NSE:BATAINDIA")</f>
        <v>NSE:BATAINDIA</v>
      </c>
      <c r="H68" s="18">
        <f>IFERROR(__xludf.DUMMYFUNCTION("""COMPUTED_VALUE"""),779.0)</f>
        <v>779</v>
      </c>
    </row>
    <row r="69">
      <c r="G69" s="18" t="str">
        <f>IFERROR(__xludf.DUMMYFUNCTION("""COMPUTED_VALUE"""),"NSE:NIACL")</f>
        <v>NSE:NIACL</v>
      </c>
      <c r="H69" s="18">
        <f>IFERROR(__xludf.DUMMYFUNCTION("""COMPUTED_VALUE"""),180.4)</f>
        <v>180.4</v>
      </c>
    </row>
    <row r="70">
      <c r="G70" s="18" t="str">
        <f>IFERROR(__xludf.DUMMYFUNCTION("""COMPUTED_VALUE"""),"NSE:APOLLOTYRE")</f>
        <v>NSE:APOLLOTYRE</v>
      </c>
      <c r="H70" s="18">
        <f>IFERROR(__xludf.DUMMYFUNCTION("""COMPUTED_VALUE"""),447.5)</f>
        <v>447.5</v>
      </c>
    </row>
    <row r="71">
      <c r="G71" s="18" t="str">
        <f>IFERROR(__xludf.DUMMYFUNCTION("""COMPUTED_VALUE"""),"NSE:ASHOKA")</f>
        <v>NSE:ASHOKA</v>
      </c>
      <c r="H71" s="18">
        <f>IFERROR(__xludf.DUMMYFUNCTION("""COMPUTED_VALUE"""),141.19)</f>
        <v>141.19</v>
      </c>
    </row>
    <row r="72">
      <c r="G72" s="18" t="str">
        <f>IFERROR(__xludf.DUMMYFUNCTION("""COMPUTED_VALUE"""),"NSE:ZEEL")</f>
        <v>NSE:ZEEL</v>
      </c>
      <c r="H72" s="18">
        <f>IFERROR(__xludf.DUMMYFUNCTION("""COMPUTED_VALUE"""),97.0)</f>
        <v>97</v>
      </c>
    </row>
    <row r="73">
      <c r="G73" s="18" t="str">
        <f>IFERROR(__xludf.DUMMYFUNCTION("""COMPUTED_VALUE"""),"NSE:MRF")</f>
        <v>NSE:MRF</v>
      </c>
      <c r="H73" s="18">
        <f>IFERROR(__xludf.DUMMYFUNCTION("""COMPUTED_VALUE"""),142500.0)</f>
        <v>142500</v>
      </c>
    </row>
    <row r="74">
      <c r="G74" s="18" t="str">
        <f>IFERROR(__xludf.DUMMYFUNCTION("""COMPUTED_VALUE"""),"NSE:ESCORTS")</f>
        <v>NSE:ESCORTS</v>
      </c>
      <c r="H74" s="18">
        <f>IFERROR(__xludf.DUMMYFUNCTION("""COMPUTED_VALUE"""),3414.0)</f>
        <v>3414</v>
      </c>
    </row>
    <row r="75">
      <c r="G75" s="18" t="str">
        <f>IFERROR(__xludf.DUMMYFUNCTION("""COMPUTED_VALUE"""),"NSE:SUDARSCHEM")</f>
        <v>NSE:SUDARSCHEM</v>
      </c>
      <c r="H75" s="18">
        <f>IFERROR(__xludf.DUMMYFUNCTION("""COMPUTED_VALUE"""),1129.9)</f>
        <v>1129.9</v>
      </c>
    </row>
    <row r="76">
      <c r="G76" s="18" t="str">
        <f>IFERROR(__xludf.DUMMYFUNCTION("""COMPUTED_VALUE"""),"NSE:COROMANDEL")</f>
        <v>NSE:COROMANDEL</v>
      </c>
      <c r="H76" s="18">
        <f>IFERROR(__xludf.DUMMYFUNCTION("""COMPUTED_VALUE"""),2197.9)</f>
        <v>2197.9</v>
      </c>
    </row>
    <row r="77">
      <c r="G77" s="18" t="str">
        <f>IFERROR(__xludf.DUMMYFUNCTION("""COMPUTED_VALUE"""),"NSE:RITES")</f>
        <v>NSE:RITES</v>
      </c>
      <c r="H77" s="18">
        <f>IFERROR(__xludf.DUMMYFUNCTION("""COMPUTED_VALUE"""),230.85)</f>
        <v>230.85</v>
      </c>
    </row>
    <row r="78">
      <c r="G78" s="18" t="str">
        <f>IFERROR(__xludf.DUMMYFUNCTION("""COMPUTED_VALUE"""),"NSE:KAJARIACER")</f>
        <v>NSE:KAJARIACER</v>
      </c>
      <c r="H78" s="18">
        <f>IFERROR(__xludf.DUMMYFUNCTION("""COMPUTED_VALUE"""),1246.8)</f>
        <v>1246.8</v>
      </c>
    </row>
    <row r="79">
      <c r="G79" s="18" t="str">
        <f>IFERROR(__xludf.DUMMYFUNCTION("""COMPUTED_VALUE"""),"NSE:AFFLE")</f>
        <v>NSE:AFFLE</v>
      </c>
      <c r="H79" s="18">
        <f>IFERROR(__xludf.DUMMYFUNCTION("""COMPUTED_VALUE"""),1686.0)</f>
        <v>1686</v>
      </c>
    </row>
    <row r="80">
      <c r="G80" s="18" t="str">
        <f>IFERROR(__xludf.DUMMYFUNCTION("""COMPUTED_VALUE"""),"NSE:DEEPAKNTR")</f>
        <v>NSE:DEEPAKNTR</v>
      </c>
      <c r="H80" s="18">
        <f>IFERROR(__xludf.DUMMYFUNCTION("""COMPUTED_VALUE"""),1897.9)</f>
        <v>1897.9</v>
      </c>
    </row>
    <row r="81">
      <c r="G81" s="18" t="str">
        <f>IFERROR(__xludf.DUMMYFUNCTION("""COMPUTED_VALUE"""),"NSE:NCC")</f>
        <v>NSE:NCC</v>
      </c>
      <c r="H81" s="18">
        <f>IFERROR(__xludf.DUMMYFUNCTION("""COMPUTED_VALUE"""),171.77)</f>
        <v>171.77</v>
      </c>
    </row>
    <row r="82">
      <c r="G82" s="18" t="str">
        <f>IFERROR(__xludf.DUMMYFUNCTION("""COMPUTED_VALUE"""),"NSE:NOCIL")</f>
        <v>NSE:NOCIL</v>
      </c>
      <c r="H82" s="18">
        <f>IFERROR(__xludf.DUMMYFUNCTION("""COMPUTED_VALUE"""),192.49)</f>
        <v>192.49</v>
      </c>
    </row>
    <row r="83">
      <c r="G83" s="18" t="str">
        <f>IFERROR(__xludf.DUMMYFUNCTION("""COMPUTED_VALUE"""),"NSE:FINEORG")</f>
        <v>NSE:FINEORG</v>
      </c>
      <c r="H83" s="18">
        <f>IFERROR(__xludf.DUMMYFUNCTION("""COMPUTED_VALUE"""),5144.9)</f>
        <v>5144.9</v>
      </c>
    </row>
    <row r="84">
      <c r="G84" s="18" t="str">
        <f>IFERROR(__xludf.DUMMYFUNCTION("""COMPUTED_VALUE"""),"NSE:JUSTDIAL")</f>
        <v>NSE:JUSTDIAL</v>
      </c>
      <c r="H84" s="18">
        <f>IFERROR(__xludf.DUMMYFUNCTION("""COMPUTED_VALUE"""),588.8)</f>
        <v>588.8</v>
      </c>
    </row>
    <row r="85">
      <c r="G85" s="18" t="str">
        <f>IFERROR(__xludf.DUMMYFUNCTION("""COMPUTED_VALUE"""),"NSE:GULFOILLUB")</f>
        <v>NSE:GULFOILLUB</v>
      </c>
      <c r="H85" s="18">
        <f>IFERROR(__xludf.DUMMYFUNCTION("""COMPUTED_VALUE"""),1080.0)</f>
        <v>1080</v>
      </c>
    </row>
    <row r="86">
      <c r="G86" s="18" t="str">
        <f>IFERROR(__xludf.DUMMYFUNCTION("""COMPUTED_VALUE"""),"NSE:SUPREMEIND")</f>
        <v>NSE:SUPREMEIND</v>
      </c>
      <c r="H86" s="18">
        <f>IFERROR(__xludf.DUMMYFUNCTION("""COMPUTED_VALUE"""),4067.7)</f>
        <v>4067.7</v>
      </c>
    </row>
    <row r="87">
      <c r="G87" s="18" t="str">
        <f>IFERROR(__xludf.DUMMYFUNCTION("""COMPUTED_VALUE"""),"NSE:JUBLFOOD")</f>
        <v>NSE:JUBLFOOD</v>
      </c>
      <c r="H87" s="18">
        <f>IFERROR(__xludf.DUMMYFUNCTION("""COMPUTED_VALUE"""),509.8)</f>
        <v>509.8</v>
      </c>
    </row>
    <row r="88">
      <c r="G88" s="18" t="str">
        <f>IFERROR(__xludf.DUMMYFUNCTION("""COMPUTED_VALUE"""),"NSE:NETWORK18")</f>
        <v>NSE:NETWORK18</v>
      </c>
      <c r="H88" s="18">
        <f>IFERROR(__xludf.DUMMYFUNCTION("""COMPUTED_VALUE"""),37.35)</f>
        <v>37.35</v>
      </c>
    </row>
    <row r="89">
      <c r="G89" s="18" t="str">
        <f>IFERROR(__xludf.DUMMYFUNCTION("""COMPUTED_VALUE"""),"NSE:RECLTD")</f>
        <v>NSE:RECLTD</v>
      </c>
      <c r="H89" s="18">
        <f>IFERROR(__xludf.DUMMYFUNCTION("""COMPUTED_VALUE"""),387.45)</f>
        <v>387.45</v>
      </c>
    </row>
    <row r="90">
      <c r="G90" s="18" t="str">
        <f>IFERROR(__xludf.DUMMYFUNCTION("""COMPUTED_VALUE"""),"NSE:JTEKTINDIA")</f>
        <v>NSE:JTEKTINDIA</v>
      </c>
      <c r="H90" s="18">
        <f>IFERROR(__xludf.DUMMYFUNCTION("""COMPUTED_VALUE"""),148.97)</f>
        <v>148.97</v>
      </c>
    </row>
    <row r="91">
      <c r="G91" s="18" t="str">
        <f>IFERROR(__xludf.DUMMYFUNCTION("""COMPUTED_VALUE"""),"NSE:ALOKINDS")</f>
        <v>NSE:ALOKINDS</v>
      </c>
      <c r="H91" s="18">
        <f>IFERROR(__xludf.DUMMYFUNCTION("""COMPUTED_VALUE"""),14.8)</f>
        <v>14.8</v>
      </c>
    </row>
  </sheetData>
  <mergeCells count="13">
    <mergeCell ref="C6:D6"/>
    <mergeCell ref="E6:F6"/>
    <mergeCell ref="G6:H6"/>
    <mergeCell ref="I6:J6"/>
    <mergeCell ref="K6:L6"/>
    <mergeCell ref="M6:N6"/>
    <mergeCell ref="A1:J3"/>
    <mergeCell ref="O1:S1"/>
    <mergeCell ref="O2:U2"/>
    <mergeCell ref="P3:U3"/>
    <mergeCell ref="O4:U4"/>
    <mergeCell ref="P5:U5"/>
    <mergeCell ref="A6:B6"/>
  </mergeCells>
  <hyperlinks>
    <hyperlink r:id="rId1" ref="P3"/>
    <hyperlink r:id="rId2" ref="A4"/>
    <hyperlink r:id="rId3" ref="P5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9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11" max="11" width="22.38"/>
  </cols>
  <sheetData>
    <row r="1">
      <c r="A1" s="19"/>
      <c r="B1" s="20" t="s">
        <v>16</v>
      </c>
      <c r="C1" s="21" t="s">
        <v>17</v>
      </c>
      <c r="D1" s="22" t="s">
        <v>18</v>
      </c>
      <c r="E1" s="23" t="s">
        <v>19</v>
      </c>
      <c r="F1" s="24" t="s">
        <v>20</v>
      </c>
      <c r="G1" s="25" t="s">
        <v>21</v>
      </c>
      <c r="H1" s="25" t="s">
        <v>22</v>
      </c>
      <c r="I1" s="26" t="s">
        <v>23</v>
      </c>
      <c r="J1" s="27" t="s">
        <v>24</v>
      </c>
      <c r="K1" s="27" t="s">
        <v>25</v>
      </c>
    </row>
    <row r="2">
      <c r="A2" s="28" t="s">
        <v>26</v>
      </c>
      <c r="B2" s="29" t="s">
        <v>27</v>
      </c>
      <c r="C2" s="30">
        <f>IFERROR(__xludf.DUMMYFUNCTION("GOOGLEFINANCE(B2,""price"")"),435.56)</f>
        <v>435.56</v>
      </c>
      <c r="D2" s="31">
        <f>IFERROR(__xludf.DUMMYFUNCTION("MAX(QUERY(SORT(GOOGLEFINANCE(B2,""high"",TODAY()-100,TODAY()),1,0),""select Col2 limit 55""))"),451.87)</f>
        <v>451.87</v>
      </c>
      <c r="E2" s="32">
        <f>IFERROR(__xludf.DUMMYFUNCTION("GOOGLEFINANCE(B2,""high52"")"),461.99)</f>
        <v>461.99</v>
      </c>
      <c r="F2" s="33">
        <f>IFERROR(__xludf.DUMMYFUNCTION("to_date(index(sort(GOOGLEFINANCE(B2, ""high"", today()-52*7, today(), ""DAILY""),2,0),2,1))"),46064.64583333333)</f>
        <v>46064.64583</v>
      </c>
      <c r="G2" s="32">
        <f>IFERROR(__xludf.DUMMYFUNCTION("GOOGLEFINANCE(B2,""low52"")"),375.0)</f>
        <v>375</v>
      </c>
      <c r="H2" s="33">
        <f>IFERROR(__xludf.DUMMYFUNCTION("to_date(index(sort(GOOGLEFINANCE(B2, ""low"", today()-52*7, today(), ""DAILY""),2,1),1,1))"),45895.64583333333)</f>
        <v>45895.64583</v>
      </c>
      <c r="I2" s="34">
        <f>IFERROR(__xludf.DUMMYFUNCTION("MIN(QUERY(SORT(GOOGLEFINANCE(B2,""low"",TODAY()-40,TODAY()),1,0),""select Col2 limit 20""))"),418.17)</f>
        <v>418.17</v>
      </c>
      <c r="J2" s="34">
        <f t="shared" ref="J2:J8" si="1">(D2-C2)*100/C2</f>
        <v>3.744604647</v>
      </c>
      <c r="K2" s="35" t="str">
        <f t="shared" ref="K2:K8" si="2">if(AND(H2&gt;F2,J2&gt;=10,J2&lt;=20),"Start GTT Order","No need to fresh start")</f>
        <v>No need to fresh start</v>
      </c>
    </row>
    <row r="3">
      <c r="A3" s="28" t="s">
        <v>28</v>
      </c>
      <c r="B3" s="29" t="s">
        <v>29</v>
      </c>
      <c r="C3" s="30">
        <f>IFERROR(__xludf.DUMMYFUNCTION("GOOGLEFINANCE(B3,""price"")"),460.28)</f>
        <v>460.28</v>
      </c>
      <c r="D3" s="31">
        <f>IFERROR(__xludf.DUMMYFUNCTION("MAX(QUERY(SORT(GOOGLEFINANCE(B3,""high"",TODAY()-100,TODAY()),1,0),""select Col2 limit 55""))"),484.78)</f>
        <v>484.78</v>
      </c>
      <c r="E3" s="32">
        <f>IFERROR(__xludf.DUMMYFUNCTION("GOOGLEFINANCE(B3,""high52"")"),511.57)</f>
        <v>511.57</v>
      </c>
      <c r="F3" s="33">
        <f>IFERROR(__xludf.DUMMYFUNCTION("to_date(index(sort(GOOGLEFINANCE(B3, ""high"", today()-52*7, today(), ""DAILY""),2,0),2,1))"),46065.64583333333)</f>
        <v>46065.64583</v>
      </c>
      <c r="G3" s="32">
        <f>IFERROR(__xludf.DUMMYFUNCTION("GOOGLEFINANCE(B3,""low52"")"),389.0)</f>
        <v>389</v>
      </c>
      <c r="H3" s="33">
        <f>IFERROR(__xludf.DUMMYFUNCTION("to_date(index(sort(GOOGLEFINANCE(B3, ""low"", today()-52*7, today(), ""DAILY""),2,1),1,1))"),45810.64583333333)</f>
        <v>45810.64583</v>
      </c>
      <c r="I3" s="34">
        <f>IFERROR(__xludf.DUMMYFUNCTION("MIN(QUERY(SORT(GOOGLEFINANCE(B3,""low"",TODAY()-40,TODAY()),1,0),""select Col2 limit 20""))"),455.11)</f>
        <v>455.11</v>
      </c>
      <c r="J3" s="34">
        <f t="shared" si="1"/>
        <v>5.322846963</v>
      </c>
      <c r="K3" s="35" t="str">
        <f t="shared" si="2"/>
        <v>No need to fresh start</v>
      </c>
    </row>
    <row r="4">
      <c r="A4" s="28" t="s">
        <v>30</v>
      </c>
      <c r="B4" s="29" t="s">
        <v>31</v>
      </c>
      <c r="C4" s="30">
        <f>IFERROR(__xludf.DUMMYFUNCTION("GOOGLEFINANCE(B4,""price"")"),320.13)</f>
        <v>320.13</v>
      </c>
      <c r="D4" s="31">
        <f>IFERROR(__xludf.DUMMYFUNCTION("MAX(QUERY(SORT(GOOGLEFINANCE(B4,""high"",TODAY()-100,TODAY()),1,0),""select Col2 limit 55""))"),364.28)</f>
        <v>364.28</v>
      </c>
      <c r="E4" s="32">
        <f>IFERROR(__xludf.DUMMYFUNCTION("GOOGLEFINANCE(B4,""high52"")"),376.5)</f>
        <v>376.5</v>
      </c>
      <c r="F4" s="33">
        <f>IFERROR(__xludf.DUMMYFUNCTION("to_date(index(sort(GOOGLEFINANCE(B4, ""high"", today()-52*7, today(), ""DAILY""),2,0),2,1))"),46080.64583333333)</f>
        <v>46080.64583</v>
      </c>
      <c r="G4" s="32">
        <f>IFERROR(__xludf.DUMMYFUNCTION("GOOGLEFINANCE(B4,""low52"")"),288.0)</f>
        <v>288</v>
      </c>
      <c r="H4" s="33">
        <f>IFERROR(__xludf.DUMMYFUNCTION("to_date(index(sort(GOOGLEFINANCE(B4, ""low"", today()-52*7, today(), ""DAILY""),2,1),1,1))"),45826.64583333333)</f>
        <v>45826.64583</v>
      </c>
      <c r="I4" s="34">
        <f>IFERROR(__xludf.DUMMYFUNCTION("MIN(QUERY(SORT(GOOGLEFINANCE(B4,""low"",TODAY()-40,TODAY()),1,0),""select Col2 limit 20""))"),315.6)</f>
        <v>315.6</v>
      </c>
      <c r="J4" s="34">
        <f t="shared" si="1"/>
        <v>13.7912723</v>
      </c>
      <c r="K4" s="35" t="str">
        <f t="shared" si="2"/>
        <v>No need to fresh start</v>
      </c>
    </row>
    <row r="5">
      <c r="A5" s="28" t="s">
        <v>32</v>
      </c>
      <c r="B5" s="29" t="s">
        <v>33</v>
      </c>
      <c r="C5" s="30">
        <f>IFERROR(__xludf.DUMMYFUNCTION("GOOGLEFINANCE(B5,""price"")"),92.68)</f>
        <v>92.68</v>
      </c>
      <c r="D5" s="31">
        <f>IFERROR(__xludf.DUMMYFUNCTION("MAX(QUERY(SORT(GOOGLEFINANCE(B5,""high"",TODAY()-100,TODAY()),1,0),""select Col2 limit 55""))"),94.95)</f>
        <v>94.95</v>
      </c>
      <c r="E5" s="32">
        <f>IFERROR(__xludf.DUMMYFUNCTION("GOOGLEFINANCE(B5,""high52"")"),98.5)</f>
        <v>98.5</v>
      </c>
      <c r="F5" s="33">
        <f>IFERROR(__xludf.DUMMYFUNCTION("to_date(index(sort(GOOGLEFINANCE(B5, ""high"", today()-52*7, today(), ""DAILY""),2,0),2,1))"),45960.64583333333)</f>
        <v>45960.64583</v>
      </c>
      <c r="G5" s="32">
        <f>IFERROR(__xludf.DUMMYFUNCTION("GOOGLEFINANCE(B5,""low52"")"),80.95)</f>
        <v>80.95</v>
      </c>
      <c r="H5" s="33">
        <f>IFERROR(__xludf.DUMMYFUNCTION("to_date(index(sort(GOOGLEFINANCE(B5, ""low"", today()-52*7, today(), ""DAILY""),2,1),1,1))"),45810.64583333333)</f>
        <v>45810.64583</v>
      </c>
      <c r="I5" s="34">
        <f>IFERROR(__xludf.DUMMYFUNCTION("MIN(QUERY(SORT(GOOGLEFINANCE(B5,""low"",TODAY()-40,TODAY()),1,0),""select Col2 limit 20""))"),90.9)</f>
        <v>90.9</v>
      </c>
      <c r="J5" s="34">
        <f t="shared" si="1"/>
        <v>2.449287872</v>
      </c>
      <c r="K5" s="35" t="str">
        <f t="shared" si="2"/>
        <v>No need to fresh start</v>
      </c>
    </row>
    <row r="6">
      <c r="A6" s="28" t="s">
        <v>34</v>
      </c>
      <c r="B6" s="29" t="s">
        <v>35</v>
      </c>
      <c r="C6" s="30">
        <f>IFERROR(__xludf.DUMMYFUNCTION("GOOGLEFINANCE(B6,""price"")"),171.04)</f>
        <v>171.04</v>
      </c>
      <c r="D6" s="31">
        <f>IFERROR(__xludf.DUMMYFUNCTION("MAX(QUERY(SORT(GOOGLEFINANCE(B6,""high"",TODAY()-100,TODAY()),1,0),""select Col2 limit 55""))"),177.21)</f>
        <v>177.21</v>
      </c>
      <c r="E6" s="32">
        <f>IFERROR(__xludf.DUMMYFUNCTION("GOOGLEFINANCE(B6,""high52"")"),177.21)</f>
        <v>177.21</v>
      </c>
      <c r="F6" s="33">
        <f>IFERROR(__xludf.DUMMYFUNCTION("to_date(index(sort(GOOGLEFINANCE(B6, ""high"", today()-52*7, today(), ""DAILY""),2,0),2,1))"),46141.64583333333)</f>
        <v>46141.64583</v>
      </c>
      <c r="G6" s="32">
        <f>IFERROR(__xludf.DUMMYFUNCTION("GOOGLEFINANCE(B6,""low52"")"),146.06)</f>
        <v>146.06</v>
      </c>
      <c r="H6" s="33">
        <f>IFERROR(__xludf.DUMMYFUNCTION("to_date(index(sort(GOOGLEFINANCE(B6, ""low"", today()-52*7, today(), ""DAILY""),2,1),1,1))"),45806.64583333333)</f>
        <v>45806.64583</v>
      </c>
      <c r="I6" s="34">
        <f>IFERROR(__xludf.DUMMYFUNCTION("MIN(QUERY(SORT(GOOGLEFINANCE(B6,""low"",TODAY()-40,TODAY()),1,0),""select Col2 limit 20""))"),168.53)</f>
        <v>168.53</v>
      </c>
      <c r="J6" s="34">
        <f t="shared" si="1"/>
        <v>3.607343312</v>
      </c>
      <c r="K6" s="35" t="str">
        <f t="shared" si="2"/>
        <v>No need to fresh start</v>
      </c>
    </row>
    <row r="7">
      <c r="A7" s="28" t="s">
        <v>36</v>
      </c>
      <c r="B7" s="29" t="s">
        <v>37</v>
      </c>
      <c r="C7" s="30">
        <f>IFERROR(__xludf.DUMMYFUNCTION("GOOGLEFINANCE(B7,""price"")"),60.6)</f>
        <v>60.6</v>
      </c>
      <c r="D7" s="31">
        <f>IFERROR(__xludf.DUMMYFUNCTION("MAX(QUERY(SORT(GOOGLEFINANCE(B7,""high"",TODAY()-100,TODAY()),1,0),""select Col2 limit 55""))"),65.0)</f>
        <v>65</v>
      </c>
      <c r="E7" s="32">
        <f>IFERROR(__xludf.DUMMYFUNCTION("GOOGLEFINANCE(B7,""high52"")"),67.0)</f>
        <v>67</v>
      </c>
      <c r="F7" s="33">
        <f>IFERROR(__xludf.DUMMYFUNCTION("to_date(index(sort(GOOGLEFINANCE(B7, ""high"", today()-52*7, today(), ""DAILY""),2,0),2,1))"),45888.64583333333)</f>
        <v>45888.64583</v>
      </c>
      <c r="G7" s="32">
        <f>IFERROR(__xludf.DUMMYFUNCTION("GOOGLEFINANCE(B7,""low52"")"),54.15)</f>
        <v>54.15</v>
      </c>
      <c r="H7" s="33">
        <f>IFERROR(__xludf.DUMMYFUNCTION("to_date(index(sort(GOOGLEFINANCE(B7, ""low"", today()-52*7, today(), ""DAILY""),2,1),1,1))"),45806.64583333333)</f>
        <v>45806.64583</v>
      </c>
      <c r="I7" s="34">
        <f>IFERROR(__xludf.DUMMYFUNCTION("MIN(QUERY(SORT(GOOGLEFINANCE(B7,""low"",TODAY()-40,TODAY()),1,0),""select Col2 limit 20""))"),59.52)</f>
        <v>59.52</v>
      </c>
      <c r="J7" s="34">
        <f t="shared" si="1"/>
        <v>7.260726073</v>
      </c>
      <c r="K7" s="35" t="str">
        <f t="shared" si="2"/>
        <v>No need to fresh start</v>
      </c>
    </row>
    <row r="8">
      <c r="A8" s="28" t="s">
        <v>38</v>
      </c>
      <c r="B8" s="29" t="s">
        <v>39</v>
      </c>
      <c r="C8" s="30">
        <f>IFERROR(__xludf.DUMMYFUNCTION("GOOGLEFINANCE(B8,""price"")"),156.0)</f>
        <v>156</v>
      </c>
      <c r="D8" s="31">
        <f>IFERROR(__xludf.DUMMYFUNCTION("MAX(QUERY(SORT(GOOGLEFINANCE(B8,""high"",TODAY()-100,TODAY()),1,0),""select Col2 limit 55""))"),161.61)</f>
        <v>161.61</v>
      </c>
      <c r="E8" s="32">
        <f>IFERROR(__xludf.DUMMYFUNCTION("GOOGLEFINANCE(B8,""high52"")"),168.95)</f>
        <v>168.95</v>
      </c>
      <c r="F8" s="33">
        <f>IFERROR(__xludf.DUMMYFUNCTION("to_date(index(sort(GOOGLEFINANCE(B8, ""high"", today()-52*7, today(), ""DAILY""),2,0),2,1))"),45930.64583333333)</f>
        <v>45930.64583</v>
      </c>
      <c r="G8" s="32">
        <f>IFERROR(__xludf.DUMMYFUNCTION("GOOGLEFINANCE(B8,""low52"")"),133.05)</f>
        <v>133.05</v>
      </c>
      <c r="H8" s="33">
        <f>IFERROR(__xludf.DUMMYFUNCTION("to_date(index(sort(GOOGLEFINANCE(B8, ""low"", today()-52*7, today(), ""DAILY""),2,1),1,1))"),45805.64583333333)</f>
        <v>45805.64583</v>
      </c>
      <c r="I8" s="34">
        <f>IFERROR(__xludf.DUMMYFUNCTION("MIN(QUERY(SORT(GOOGLEFINANCE(B8,""low"",TODAY()-40,TODAY()),1,0),""select Col2 limit 20""))"),152.48)</f>
        <v>152.48</v>
      </c>
      <c r="J8" s="34">
        <f t="shared" si="1"/>
        <v>3.596153846</v>
      </c>
      <c r="K8" s="35" t="str">
        <f t="shared" si="2"/>
        <v>No need to fresh start</v>
      </c>
    </row>
    <row r="9">
      <c r="D9" s="36"/>
    </row>
    <row r="10">
      <c r="D10" s="36"/>
    </row>
    <row r="11">
      <c r="D11" s="36"/>
    </row>
    <row r="12">
      <c r="D12" s="36"/>
    </row>
    <row r="13">
      <c r="D13" s="36"/>
    </row>
    <row r="14">
      <c r="D14" s="36"/>
    </row>
    <row r="15">
      <c r="D15" s="36"/>
    </row>
    <row r="16">
      <c r="D16" s="36"/>
    </row>
    <row r="17">
      <c r="D17" s="36"/>
    </row>
    <row r="18">
      <c r="D18" s="36"/>
    </row>
    <row r="19">
      <c r="D19" s="36"/>
    </row>
    <row r="20">
      <c r="D20" s="36"/>
    </row>
    <row r="21">
      <c r="D21" s="36"/>
    </row>
    <row r="22">
      <c r="D22" s="36"/>
    </row>
    <row r="23">
      <c r="D23" s="36"/>
    </row>
    <row r="24">
      <c r="D24" s="36"/>
    </row>
    <row r="25">
      <c r="D25" s="36"/>
    </row>
    <row r="26">
      <c r="D26" s="36"/>
    </row>
    <row r="27">
      <c r="D27" s="36"/>
    </row>
    <row r="28">
      <c r="D28" s="36"/>
    </row>
    <row r="29">
      <c r="D29" s="36"/>
    </row>
    <row r="30">
      <c r="D30" s="36"/>
    </row>
    <row r="31">
      <c r="D31" s="36"/>
    </row>
    <row r="32">
      <c r="D32" s="36"/>
    </row>
    <row r="33">
      <c r="D33" s="36"/>
    </row>
    <row r="34">
      <c r="D34" s="36"/>
    </row>
    <row r="35">
      <c r="D35" s="36"/>
    </row>
    <row r="36">
      <c r="D36" s="36"/>
    </row>
    <row r="37">
      <c r="D37" s="36"/>
    </row>
    <row r="38">
      <c r="D38" s="36"/>
    </row>
    <row r="39">
      <c r="D39" s="36"/>
    </row>
    <row r="40">
      <c r="D40" s="36"/>
    </row>
    <row r="41">
      <c r="D41" s="36"/>
    </row>
    <row r="42">
      <c r="D42" s="36"/>
    </row>
    <row r="43">
      <c r="D43" s="36"/>
    </row>
    <row r="44">
      <c r="D44" s="36"/>
    </row>
    <row r="45">
      <c r="D45" s="36"/>
    </row>
    <row r="46">
      <c r="D46" s="36"/>
    </row>
    <row r="47">
      <c r="D47" s="36"/>
    </row>
    <row r="48">
      <c r="D48" s="36"/>
    </row>
    <row r="49">
      <c r="D49" s="36"/>
    </row>
    <row r="50">
      <c r="D50" s="36"/>
    </row>
    <row r="51">
      <c r="D51" s="36"/>
    </row>
    <row r="52">
      <c r="D52" s="36"/>
    </row>
    <row r="53">
      <c r="D53" s="36"/>
    </row>
    <row r="54">
      <c r="D54" s="36"/>
    </row>
    <row r="55">
      <c r="D55" s="36"/>
    </row>
    <row r="56">
      <c r="D56" s="36"/>
    </row>
    <row r="57">
      <c r="D57" s="36"/>
    </row>
    <row r="58">
      <c r="D58" s="36"/>
    </row>
    <row r="59">
      <c r="D59" s="36"/>
    </row>
    <row r="60">
      <c r="D60" s="36"/>
    </row>
    <row r="61">
      <c r="D61" s="36"/>
    </row>
    <row r="62">
      <c r="D62" s="36"/>
    </row>
    <row r="63">
      <c r="D63" s="36"/>
    </row>
    <row r="64">
      <c r="D64" s="36"/>
    </row>
    <row r="65">
      <c r="D65" s="36"/>
    </row>
    <row r="66">
      <c r="D66" s="36"/>
    </row>
    <row r="67">
      <c r="D67" s="36"/>
    </row>
    <row r="68">
      <c r="D68" s="36"/>
    </row>
    <row r="69">
      <c r="D69" s="36"/>
    </row>
    <row r="70">
      <c r="D70" s="36"/>
    </row>
    <row r="71">
      <c r="D71" s="36"/>
    </row>
    <row r="72">
      <c r="D72" s="36"/>
    </row>
    <row r="73">
      <c r="D73" s="36"/>
    </row>
    <row r="74">
      <c r="D74" s="36"/>
    </row>
    <row r="75">
      <c r="D75" s="36"/>
    </row>
    <row r="76">
      <c r="D76" s="36"/>
    </row>
    <row r="77">
      <c r="D77" s="36"/>
    </row>
    <row r="78">
      <c r="D78" s="36"/>
    </row>
    <row r="79">
      <c r="D79" s="36"/>
    </row>
    <row r="80">
      <c r="D80" s="36"/>
    </row>
    <row r="81">
      <c r="D81" s="36"/>
    </row>
    <row r="82">
      <c r="D82" s="36"/>
    </row>
    <row r="83">
      <c r="D83" s="36"/>
    </row>
    <row r="84">
      <c r="D84" s="36"/>
    </row>
    <row r="85">
      <c r="D85" s="36"/>
    </row>
    <row r="86">
      <c r="D86" s="36"/>
    </row>
    <row r="87">
      <c r="D87" s="36"/>
    </row>
    <row r="88">
      <c r="D88" s="36"/>
    </row>
    <row r="89">
      <c r="D89" s="36"/>
    </row>
    <row r="90">
      <c r="D90" s="36"/>
    </row>
    <row r="91">
      <c r="D91" s="36"/>
    </row>
    <row r="92">
      <c r="D92" s="36"/>
    </row>
    <row r="93">
      <c r="D93" s="36"/>
    </row>
    <row r="94">
      <c r="D94" s="36"/>
    </row>
    <row r="95">
      <c r="D95" s="36"/>
    </row>
    <row r="96">
      <c r="D96" s="36"/>
    </row>
    <row r="97">
      <c r="D97" s="36"/>
    </row>
    <row r="98">
      <c r="D98" s="36"/>
    </row>
    <row r="99">
      <c r="D99" s="36"/>
    </row>
    <row r="100">
      <c r="D100" s="36"/>
    </row>
    <row r="101">
      <c r="D101" s="36"/>
    </row>
    <row r="102">
      <c r="D102" s="36"/>
    </row>
    <row r="103">
      <c r="D103" s="36"/>
    </row>
    <row r="104">
      <c r="D104" s="36"/>
    </row>
    <row r="105">
      <c r="D105" s="36"/>
    </row>
    <row r="106">
      <c r="D106" s="36"/>
    </row>
    <row r="107">
      <c r="D107" s="36"/>
    </row>
    <row r="108">
      <c r="D108" s="36"/>
    </row>
    <row r="109">
      <c r="D109" s="36"/>
    </row>
    <row r="110">
      <c r="D110" s="36"/>
    </row>
    <row r="111">
      <c r="D111" s="36"/>
    </row>
    <row r="112">
      <c r="D112" s="36"/>
    </row>
    <row r="113">
      <c r="D113" s="36"/>
    </row>
    <row r="114">
      <c r="D114" s="36"/>
    </row>
    <row r="115">
      <c r="D115" s="36"/>
    </row>
    <row r="116">
      <c r="D116" s="36"/>
    </row>
    <row r="117">
      <c r="D117" s="36"/>
    </row>
    <row r="118">
      <c r="D118" s="36"/>
    </row>
    <row r="119">
      <c r="D119" s="36"/>
    </row>
    <row r="120">
      <c r="D120" s="36"/>
    </row>
    <row r="121">
      <c r="D121" s="36"/>
    </row>
    <row r="122">
      <c r="D122" s="36"/>
    </row>
    <row r="123">
      <c r="D123" s="36"/>
    </row>
    <row r="124">
      <c r="D124" s="36"/>
    </row>
    <row r="125">
      <c r="D125" s="36"/>
    </row>
    <row r="126">
      <c r="D126" s="36"/>
    </row>
    <row r="127">
      <c r="D127" s="36"/>
    </row>
    <row r="128">
      <c r="D128" s="36"/>
    </row>
    <row r="129">
      <c r="D129" s="36"/>
    </row>
    <row r="130">
      <c r="D130" s="36"/>
    </row>
    <row r="131">
      <c r="D131" s="36"/>
    </row>
    <row r="132">
      <c r="D132" s="36"/>
    </row>
    <row r="133">
      <c r="D133" s="36"/>
    </row>
    <row r="134">
      <c r="D134" s="36"/>
    </row>
    <row r="135">
      <c r="D135" s="36"/>
    </row>
    <row r="136">
      <c r="D136" s="36"/>
    </row>
    <row r="137">
      <c r="D137" s="36"/>
    </row>
    <row r="138">
      <c r="D138" s="36"/>
    </row>
    <row r="139">
      <c r="D139" s="36"/>
    </row>
    <row r="140">
      <c r="D140" s="36"/>
    </row>
    <row r="141">
      <c r="D141" s="36"/>
    </row>
    <row r="142">
      <c r="D142" s="36"/>
    </row>
    <row r="143">
      <c r="D143" s="36"/>
    </row>
    <row r="144">
      <c r="D144" s="36"/>
    </row>
    <row r="145">
      <c r="D145" s="36"/>
    </row>
    <row r="146">
      <c r="D146" s="36"/>
    </row>
    <row r="147">
      <c r="D147" s="36"/>
    </row>
    <row r="148">
      <c r="D148" s="36"/>
    </row>
    <row r="149">
      <c r="D149" s="36"/>
    </row>
    <row r="150">
      <c r="D150" s="36"/>
    </row>
    <row r="151">
      <c r="D151" s="36"/>
    </row>
    <row r="152">
      <c r="D152" s="36"/>
    </row>
    <row r="153">
      <c r="D153" s="36"/>
    </row>
    <row r="154">
      <c r="D154" s="36"/>
    </row>
    <row r="155">
      <c r="D155" s="36"/>
    </row>
    <row r="156">
      <c r="D156" s="36"/>
    </row>
    <row r="157">
      <c r="D157" s="36"/>
    </row>
    <row r="158">
      <c r="D158" s="36"/>
    </row>
    <row r="159">
      <c r="D159" s="36"/>
    </row>
    <row r="160">
      <c r="D160" s="36"/>
    </row>
    <row r="161">
      <c r="D161" s="36"/>
    </row>
    <row r="162">
      <c r="D162" s="36"/>
    </row>
    <row r="163">
      <c r="D163" s="36"/>
    </row>
    <row r="164">
      <c r="D164" s="36"/>
    </row>
    <row r="165">
      <c r="D165" s="36"/>
    </row>
    <row r="166">
      <c r="D166" s="36"/>
    </row>
    <row r="167">
      <c r="D167" s="36"/>
    </row>
    <row r="168">
      <c r="D168" s="36"/>
    </row>
    <row r="169">
      <c r="D169" s="36"/>
    </row>
    <row r="170">
      <c r="D170" s="36"/>
    </row>
    <row r="171">
      <c r="D171" s="36"/>
    </row>
    <row r="172">
      <c r="D172" s="36"/>
    </row>
    <row r="173">
      <c r="D173" s="36"/>
    </row>
    <row r="174">
      <c r="D174" s="36"/>
    </row>
    <row r="175">
      <c r="D175" s="36"/>
    </row>
    <row r="176">
      <c r="D176" s="36"/>
    </row>
    <row r="177">
      <c r="D177" s="36"/>
    </row>
    <row r="178">
      <c r="D178" s="36"/>
    </row>
    <row r="179">
      <c r="D179" s="36"/>
    </row>
    <row r="180">
      <c r="D180" s="36"/>
    </row>
    <row r="181">
      <c r="D181" s="36"/>
    </row>
    <row r="182">
      <c r="D182" s="36"/>
    </row>
    <row r="183">
      <c r="D183" s="36"/>
    </row>
    <row r="184">
      <c r="D184" s="36"/>
    </row>
    <row r="185">
      <c r="D185" s="36"/>
    </row>
    <row r="186">
      <c r="D186" s="36"/>
    </row>
    <row r="187">
      <c r="D187" s="36"/>
    </row>
    <row r="188">
      <c r="D188" s="36"/>
    </row>
    <row r="189">
      <c r="D189" s="36"/>
    </row>
    <row r="190">
      <c r="D190" s="36"/>
    </row>
    <row r="191">
      <c r="D191" s="36"/>
    </row>
    <row r="192">
      <c r="D192" s="36"/>
    </row>
    <row r="193">
      <c r="D193" s="36"/>
    </row>
    <row r="194">
      <c r="D194" s="36"/>
    </row>
    <row r="195">
      <c r="D195" s="36"/>
    </row>
    <row r="196">
      <c r="D196" s="36"/>
    </row>
    <row r="197">
      <c r="D197" s="36"/>
    </row>
    <row r="198">
      <c r="D198" s="36"/>
    </row>
    <row r="199">
      <c r="D199" s="36"/>
    </row>
    <row r="200">
      <c r="D200" s="36"/>
    </row>
    <row r="201">
      <c r="D201" s="36"/>
    </row>
    <row r="202">
      <c r="D202" s="36"/>
    </row>
    <row r="203">
      <c r="D203" s="36"/>
    </row>
    <row r="204">
      <c r="D204" s="36"/>
    </row>
    <row r="205">
      <c r="D205" s="36"/>
    </row>
    <row r="206">
      <c r="D206" s="36"/>
    </row>
    <row r="207">
      <c r="D207" s="36"/>
    </row>
    <row r="208">
      <c r="D208" s="36"/>
    </row>
    <row r="209">
      <c r="D209" s="36"/>
    </row>
    <row r="210">
      <c r="D210" s="36"/>
    </row>
    <row r="211">
      <c r="D211" s="36"/>
    </row>
    <row r="212">
      <c r="D212" s="36"/>
    </row>
    <row r="213">
      <c r="D213" s="36"/>
    </row>
    <row r="214">
      <c r="D214" s="36"/>
    </row>
    <row r="215">
      <c r="D215" s="36"/>
    </row>
    <row r="216">
      <c r="D216" s="36"/>
    </row>
    <row r="217">
      <c r="D217" s="36"/>
    </row>
    <row r="218">
      <c r="D218" s="36"/>
    </row>
    <row r="219">
      <c r="D219" s="36"/>
    </row>
    <row r="220">
      <c r="D220" s="36"/>
    </row>
    <row r="221">
      <c r="D221" s="36"/>
    </row>
    <row r="222">
      <c r="D222" s="36"/>
    </row>
    <row r="223">
      <c r="D223" s="36"/>
    </row>
    <row r="224">
      <c r="D224" s="36"/>
    </row>
    <row r="225">
      <c r="D225" s="36"/>
    </row>
    <row r="226">
      <c r="D226" s="36"/>
    </row>
    <row r="227">
      <c r="D227" s="36"/>
    </row>
    <row r="228">
      <c r="D228" s="36"/>
    </row>
    <row r="229">
      <c r="D229" s="36"/>
    </row>
    <row r="230">
      <c r="D230" s="36"/>
    </row>
    <row r="231">
      <c r="D231" s="36"/>
    </row>
    <row r="232">
      <c r="D232" s="36"/>
    </row>
    <row r="233">
      <c r="D233" s="36"/>
    </row>
    <row r="234">
      <c r="D234" s="36"/>
    </row>
    <row r="235">
      <c r="D235" s="36"/>
    </row>
    <row r="236">
      <c r="D236" s="36"/>
    </row>
    <row r="237">
      <c r="D237" s="36"/>
    </row>
    <row r="238">
      <c r="D238" s="36"/>
    </row>
    <row r="239">
      <c r="D239" s="36"/>
    </row>
    <row r="240">
      <c r="D240" s="36"/>
    </row>
    <row r="241">
      <c r="D241" s="36"/>
    </row>
    <row r="242">
      <c r="D242" s="36"/>
    </row>
    <row r="243">
      <c r="D243" s="36"/>
    </row>
    <row r="244">
      <c r="D244" s="36"/>
    </row>
    <row r="245">
      <c r="D245" s="36"/>
    </row>
    <row r="246">
      <c r="D246" s="36"/>
    </row>
    <row r="247">
      <c r="D247" s="36"/>
    </row>
    <row r="248">
      <c r="D248" s="36"/>
    </row>
    <row r="249">
      <c r="D249" s="36"/>
    </row>
    <row r="250">
      <c r="D250" s="36"/>
    </row>
    <row r="251">
      <c r="D251" s="36"/>
    </row>
    <row r="252">
      <c r="D252" s="36"/>
    </row>
    <row r="253">
      <c r="D253" s="36"/>
    </row>
    <row r="254">
      <c r="D254" s="36"/>
    </row>
    <row r="255">
      <c r="D255" s="36"/>
    </row>
    <row r="256">
      <c r="D256" s="36"/>
    </row>
    <row r="257">
      <c r="D257" s="36"/>
    </row>
    <row r="258">
      <c r="D258" s="36"/>
    </row>
    <row r="259">
      <c r="D259" s="36"/>
    </row>
    <row r="260">
      <c r="D260" s="36"/>
    </row>
    <row r="261">
      <c r="D261" s="36"/>
    </row>
    <row r="262">
      <c r="D262" s="36"/>
    </row>
    <row r="263">
      <c r="D263" s="36"/>
    </row>
    <row r="264">
      <c r="D264" s="36"/>
    </row>
    <row r="265">
      <c r="D265" s="36"/>
    </row>
    <row r="266">
      <c r="D266" s="36"/>
    </row>
    <row r="267">
      <c r="D267" s="36"/>
    </row>
    <row r="268">
      <c r="D268" s="36"/>
    </row>
    <row r="269">
      <c r="D269" s="36"/>
    </row>
    <row r="270">
      <c r="D270" s="36"/>
    </row>
    <row r="271">
      <c r="D271" s="36"/>
    </row>
    <row r="272">
      <c r="D272" s="36"/>
    </row>
    <row r="273">
      <c r="D273" s="36"/>
    </row>
    <row r="274">
      <c r="D274" s="36"/>
    </row>
    <row r="275">
      <c r="D275" s="36"/>
    </row>
    <row r="276">
      <c r="D276" s="36"/>
    </row>
    <row r="277">
      <c r="D277" s="36"/>
    </row>
    <row r="278">
      <c r="D278" s="36"/>
    </row>
    <row r="279">
      <c r="D279" s="36"/>
    </row>
    <row r="280">
      <c r="D280" s="36"/>
    </row>
    <row r="281">
      <c r="D281" s="36"/>
    </row>
    <row r="282">
      <c r="D282" s="36"/>
    </row>
    <row r="283">
      <c r="D283" s="36"/>
    </row>
    <row r="284">
      <c r="D284" s="36"/>
    </row>
    <row r="285">
      <c r="D285" s="36"/>
    </row>
    <row r="286">
      <c r="D286" s="36"/>
    </row>
    <row r="287">
      <c r="D287" s="36"/>
    </row>
    <row r="288">
      <c r="D288" s="36"/>
    </row>
    <row r="289">
      <c r="D289" s="36"/>
    </row>
    <row r="290">
      <c r="D290" s="36"/>
    </row>
    <row r="291">
      <c r="D291" s="36"/>
    </row>
    <row r="292">
      <c r="D292" s="36"/>
    </row>
    <row r="293">
      <c r="D293" s="36"/>
    </row>
    <row r="294">
      <c r="D294" s="36"/>
    </row>
    <row r="295">
      <c r="D295" s="36"/>
    </row>
    <row r="296">
      <c r="D296" s="36"/>
    </row>
    <row r="297">
      <c r="D297" s="36"/>
    </row>
    <row r="298">
      <c r="D298" s="36"/>
    </row>
    <row r="299">
      <c r="D299" s="36"/>
    </row>
    <row r="300">
      <c r="D300" s="36"/>
    </row>
    <row r="301">
      <c r="D301" s="36"/>
    </row>
    <row r="302">
      <c r="D302" s="36"/>
    </row>
    <row r="303">
      <c r="D303" s="36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</sheetData>
  <conditionalFormatting sqref="K2:K8">
    <cfRule type="cellIs" dxfId="0" priority="1" operator="equal">
      <formula>"Update GTT Order"</formula>
    </cfRule>
  </conditionalFormatting>
  <conditionalFormatting sqref="K1:K8">
    <cfRule type="cellIs" dxfId="0" priority="2" operator="equal">
      <formula>"Start GTT Order"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10" max="10" width="21.13"/>
  </cols>
  <sheetData>
    <row r="1">
      <c r="A1" s="37"/>
      <c r="B1" s="38" t="s">
        <v>17</v>
      </c>
      <c r="C1" s="39" t="s">
        <v>18</v>
      </c>
      <c r="D1" s="40" t="s">
        <v>19</v>
      </c>
      <c r="E1" s="41" t="s">
        <v>20</v>
      </c>
      <c r="F1" s="42" t="s">
        <v>21</v>
      </c>
      <c r="G1" s="42" t="s">
        <v>22</v>
      </c>
      <c r="H1" s="43" t="s">
        <v>23</v>
      </c>
      <c r="I1" s="15" t="s">
        <v>24</v>
      </c>
      <c r="J1" s="15" t="s">
        <v>25</v>
      </c>
    </row>
    <row r="2">
      <c r="A2" s="44" t="s">
        <v>40</v>
      </c>
      <c r="B2" s="45">
        <f>IFERROR(__xludf.DUMMYFUNCTION("GOOGLEFINANCE(A2,""price"")"),67.11)</f>
        <v>67.11</v>
      </c>
      <c r="C2" s="31">
        <f>IFERROR(__xludf.DUMMYFUNCTION("MAX(QUERY(SORT(GOOGLEFINANCE(A2,""high"",TODAY()-100,TODAY()),1,0),""select Col2 limit 55""))"),66.25)</f>
        <v>66.25</v>
      </c>
      <c r="D2" s="46">
        <f>IFERROR(__xludf.DUMMYFUNCTION("GOOGLEFINANCE(A2,""high52"")"),74.5)</f>
        <v>74.5</v>
      </c>
      <c r="E2" s="47">
        <f>IFERROR(__xludf.DUMMYFUNCTION("to_date(index(sort(GOOGLEFINANCE(A2, ""high"", today()-52*7, today(), ""DAILY""),2,0),2,1))"),45806.64583333333)</f>
        <v>45806.64583</v>
      </c>
      <c r="F2" s="48">
        <f>IFERROR(__xludf.DUMMYFUNCTION("GOOGLEFINANCE(A2,""low52"")"),46.23)</f>
        <v>46.23</v>
      </c>
      <c r="G2" s="47">
        <f>IFERROR(__xludf.DUMMYFUNCTION("to_date(index(sort(GOOGLEFINANCE(A2, ""low"", today()-52*7, today(), ""DAILY""),2,1),1,1))"),46009.64583333333)</f>
        <v>46009.64583</v>
      </c>
      <c r="H2" s="34">
        <f>IFERROR(__xludf.DUMMYFUNCTION("MIN(QUERY(SORT(GOOGLEFINANCE(A2,""low"",TODAY()-40,TODAY()),1,0),""select Col2 limit 20""))"),57.61)</f>
        <v>57.61</v>
      </c>
      <c r="I2" s="34">
        <f t="shared" ref="I2:I61" si="1">(C2-B2)*100/B2</f>
        <v>-1.28147817</v>
      </c>
      <c r="J2" s="35" t="str">
        <f t="shared" ref="J2:J61" si="2">if(AND(G2&gt;E2,I2&gt;=10,I2&lt;=20),"Start GTT Order","No need to fresh start")</f>
        <v>No need to fresh start</v>
      </c>
    </row>
    <row r="3">
      <c r="A3" s="44" t="s">
        <v>41</v>
      </c>
      <c r="B3" s="45">
        <f>IFERROR(__xludf.DUMMYFUNCTION("GOOGLEFINANCE(A3,""price"")"),553.1)</f>
        <v>553.1</v>
      </c>
      <c r="C3" s="31">
        <f>IFERROR(__xludf.DUMMYFUNCTION("MAX(QUERY(SORT(GOOGLEFINANCE(A3,""high"",TODAY()-100,TODAY()),1,0),""select Col2 limit 55""))"),671.4)</f>
        <v>671.4</v>
      </c>
      <c r="D3" s="46">
        <f>IFERROR(__xludf.DUMMYFUNCTION("GOOGLEFINANCE(A3,""high52"")"),712.8)</f>
        <v>712.8</v>
      </c>
      <c r="E3" s="47">
        <f>IFERROR(__xludf.DUMMYFUNCTION("to_date(index(sort(GOOGLEFINANCE(A3, ""high"", today()-52*7, today(), ""DAILY""),2,0),2,1))"),45936.64583333333)</f>
        <v>45936.64583</v>
      </c>
      <c r="F3" s="48">
        <f>IFERROR(__xludf.DUMMYFUNCTION("GOOGLEFINANCE(A3,""low52"")"),368.0)</f>
        <v>368</v>
      </c>
      <c r="G3" s="47">
        <f>IFERROR(__xludf.DUMMYFUNCTION("to_date(index(sort(GOOGLEFINANCE(A3, ""low"", today()-52*7, today(), ""DAILY""),2,1),1,1))"),46111.64583333333)</f>
        <v>46111.64583</v>
      </c>
      <c r="H3" s="34">
        <f>IFERROR(__xludf.DUMMYFUNCTION("MIN(QUERY(SORT(GOOGLEFINANCE(A3,""low"",TODAY()-40,TODAY()),1,0),""select Col2 limit 20""))"),527.05)</f>
        <v>527.05</v>
      </c>
      <c r="I3" s="34">
        <f t="shared" si="1"/>
        <v>21.38853734</v>
      </c>
      <c r="J3" s="35" t="str">
        <f t="shared" si="2"/>
        <v>No need to fresh start</v>
      </c>
    </row>
    <row r="4">
      <c r="A4" s="44" t="s">
        <v>42</v>
      </c>
      <c r="B4" s="45">
        <f>IFERROR(__xludf.DUMMYFUNCTION("GOOGLEFINANCE(A4,""price"")"),525.9)</f>
        <v>525.9</v>
      </c>
      <c r="C4" s="31">
        <f>IFERROR(__xludf.DUMMYFUNCTION("MAX(QUERY(SORT(GOOGLEFINANCE(A4,""high"",TODAY()-100,TODAY()),1,0),""select Col2 limit 55""))"),581.3)</f>
        <v>581.3</v>
      </c>
      <c r="D4" s="46">
        <f>IFERROR(__xludf.DUMMYFUNCTION("GOOGLEFINANCE(A4,""high52"")"),800.0)</f>
        <v>800</v>
      </c>
      <c r="E4" s="47">
        <f>IFERROR(__xludf.DUMMYFUNCTION("to_date(index(sort(GOOGLEFINANCE(A4, ""high"", today()-52*7, today(), ""DAILY""),2,0),2,1))"),45806.64583333333)</f>
        <v>45806.64583</v>
      </c>
      <c r="F4" s="48">
        <f>IFERROR(__xludf.DUMMYFUNCTION("GOOGLEFINANCE(A4,""low52"")"),492.65)</f>
        <v>492.65</v>
      </c>
      <c r="G4" s="47">
        <f>IFERROR(__xludf.DUMMYFUNCTION("to_date(index(sort(GOOGLEFINANCE(A4, ""low"", today()-52*7, today(), ""DAILY""),2,1),1,1))"),46111.64583333333)</f>
        <v>46111.64583</v>
      </c>
      <c r="H4" s="34">
        <f>IFERROR(__xludf.DUMMYFUNCTION("MIN(QUERY(SORT(GOOGLEFINANCE(A4,""low"",TODAY()-40,TODAY()),1,0),""select Col2 limit 20""))"),523.0)</f>
        <v>523</v>
      </c>
      <c r="I4" s="34">
        <f t="shared" si="1"/>
        <v>10.53432211</v>
      </c>
      <c r="J4" s="35" t="str">
        <f t="shared" si="2"/>
        <v>Start GTT Order</v>
      </c>
    </row>
    <row r="5">
      <c r="A5" s="44" t="s">
        <v>43</v>
      </c>
      <c r="B5" s="45">
        <f>IFERROR(__xludf.DUMMYFUNCTION("GOOGLEFINANCE(A5,""price"")"),207.33)</f>
        <v>207.33</v>
      </c>
      <c r="C5" s="31">
        <f>IFERROR(__xludf.DUMMYFUNCTION("MAX(QUERY(SORT(GOOGLEFINANCE(A5,""high"",TODAY()-100,TODAY()),1,0),""select Col2 limit 55""))"),235.5)</f>
        <v>235.5</v>
      </c>
      <c r="D5" s="46">
        <f>IFERROR(__xludf.DUMMYFUNCTION("GOOGLEFINANCE(A5,""high52"")"),253.73)</f>
        <v>253.73</v>
      </c>
      <c r="E5" s="47">
        <f>IFERROR(__xludf.DUMMYFUNCTION("to_date(index(sort(GOOGLEFINANCE(A5, ""high"", today()-52*7, today(), ""DAILY""),2,0),2,1))"),45811.64583333333)</f>
        <v>45811.64583</v>
      </c>
      <c r="F5" s="48">
        <f>IFERROR(__xludf.DUMMYFUNCTION("GOOGLEFINANCE(A5,""low52"")"),159.0)</f>
        <v>159</v>
      </c>
      <c r="G5" s="47">
        <f>IFERROR(__xludf.DUMMYFUNCTION("to_date(index(sort(GOOGLEFINANCE(A5, ""low"", today()-52*7, today(), ""DAILY""),2,1),1,1))"),46111.64583333333)</f>
        <v>46111.64583</v>
      </c>
      <c r="H5" s="34">
        <f>IFERROR(__xludf.DUMMYFUNCTION("MIN(QUERY(SORT(GOOGLEFINANCE(A5,""low"",TODAY()-40,TODAY()),1,0),""select Col2 limit 20""))"),197.11)</f>
        <v>197.11</v>
      </c>
      <c r="I5" s="34">
        <f t="shared" si="1"/>
        <v>13.58703516</v>
      </c>
      <c r="J5" s="35" t="str">
        <f t="shared" si="2"/>
        <v>Start GTT Order</v>
      </c>
    </row>
    <row r="6">
      <c r="A6" s="44" t="s">
        <v>44</v>
      </c>
      <c r="B6" s="45">
        <f>IFERROR(__xludf.DUMMYFUNCTION("GOOGLEFINANCE(A6,""price"")"),1047.0)</f>
        <v>1047</v>
      </c>
      <c r="C6" s="31">
        <f>IFERROR(__xludf.DUMMYFUNCTION("MAX(QUERY(SORT(GOOGLEFINANCE(A6,""high"",TODAY()-100,TODAY()),1,0),""select Col2 limit 55""))"),1159.7)</f>
        <v>1159.7</v>
      </c>
      <c r="D6" s="46">
        <f>IFERROR(__xludf.DUMMYFUNCTION("GOOGLEFINANCE(A6,""high52"")"),1159.7)</f>
        <v>1159.7</v>
      </c>
      <c r="E6" s="47">
        <f>IFERROR(__xludf.DUMMYFUNCTION("to_date(index(sort(GOOGLEFINANCE(A6, ""high"", today()-52*7, today(), ""DAILY""),2,0),2,1))"),46142.64583333333)</f>
        <v>46142.64583</v>
      </c>
      <c r="F6" s="48">
        <f>IFERROR(__xludf.DUMMYFUNCTION("GOOGLEFINANCE(A6,""low52"")"),603.1)</f>
        <v>603.1</v>
      </c>
      <c r="G6" s="47">
        <f>IFERROR(__xludf.DUMMYFUNCTION("to_date(index(sort(GOOGLEFINANCE(A6, ""low"", today()-52*7, today(), ""DAILY""),2,1),1,1))"),45827.64583333333)</f>
        <v>45827.64583</v>
      </c>
      <c r="H6" s="34">
        <f>IFERROR(__xludf.DUMMYFUNCTION("MIN(QUERY(SORT(GOOGLEFINANCE(A6,""low"",TODAY()-40,TODAY()),1,0),""select Col2 limit 20""))"),973.1)</f>
        <v>973.1</v>
      </c>
      <c r="I6" s="34">
        <f t="shared" si="1"/>
        <v>10.76408787</v>
      </c>
      <c r="J6" s="35" t="str">
        <f t="shared" si="2"/>
        <v>No need to fresh start</v>
      </c>
    </row>
    <row r="7">
      <c r="A7" s="44" t="s">
        <v>45</v>
      </c>
      <c r="B7" s="45">
        <f>IFERROR(__xludf.DUMMYFUNCTION("GOOGLEFINANCE(A7,""price"")"),1535.0)</f>
        <v>1535</v>
      </c>
      <c r="C7" s="31">
        <f>IFERROR(__xludf.DUMMYFUNCTION("MAX(QUERY(SORT(GOOGLEFINANCE(A7,""high"",TODAY()-100,TODAY()),1,0),""select Col2 limit 55""))"),1842.8)</f>
        <v>1842.8</v>
      </c>
      <c r="D7" s="46">
        <f>IFERROR(__xludf.DUMMYFUNCTION("GOOGLEFINANCE(A7,""high52"")"),2545.0)</f>
        <v>2545</v>
      </c>
      <c r="E7" s="47">
        <f>IFERROR(__xludf.DUMMYFUNCTION("to_date(index(sort(GOOGLEFINANCE(A7, ""high"", today()-52*7, today(), ""DAILY""),2,0),2,1))"),45814.64583333333)</f>
        <v>45814.64583</v>
      </c>
      <c r="F7" s="48">
        <f>IFERROR(__xludf.DUMMYFUNCTION("GOOGLEFINANCE(A7,""low52"")"),1187.0)</f>
        <v>1187</v>
      </c>
      <c r="G7" s="47">
        <f>IFERROR(__xludf.DUMMYFUNCTION("to_date(index(sort(GOOGLEFINANCE(A7, ""low"", today()-52*7, today(), ""DAILY""),2,1),1,1))"),46111.64583333333)</f>
        <v>46111.64583</v>
      </c>
      <c r="H7" s="34">
        <f>IFERROR(__xludf.DUMMYFUNCTION("MIN(QUERY(SORT(GOOGLEFINANCE(A7,""low"",TODAY()-40,TODAY()),1,0),""select Col2 limit 20""))"),1463.1)</f>
        <v>1463.1</v>
      </c>
      <c r="I7" s="34">
        <f t="shared" si="1"/>
        <v>20.05211726</v>
      </c>
      <c r="J7" s="35" t="str">
        <f t="shared" si="2"/>
        <v>No need to fresh start</v>
      </c>
    </row>
    <row r="8">
      <c r="A8" s="44" t="s">
        <v>46</v>
      </c>
      <c r="B8" s="45">
        <f>IFERROR(__xludf.DUMMYFUNCTION("GOOGLEFINANCE(A8,""price"")"),430.75)</f>
        <v>430.75</v>
      </c>
      <c r="C8" s="31">
        <f>IFERROR(__xludf.DUMMYFUNCTION("MAX(QUERY(SORT(GOOGLEFINANCE(A8,""high"",TODAY()-100,TODAY()),1,0),""select Col2 limit 55""))"),486.5)</f>
        <v>486.5</v>
      </c>
      <c r="D8" s="46">
        <f>IFERROR(__xludf.DUMMYFUNCTION("GOOGLEFINANCE(A8,""high52"")"),486.5)</f>
        <v>486.5</v>
      </c>
      <c r="E8" s="47">
        <f>IFERROR(__xludf.DUMMYFUNCTION("to_date(index(sort(GOOGLEFINANCE(A8, ""high"", today()-52*7, today(), ""DAILY""),2,0),2,1))"),46140.64583333333)</f>
        <v>46140.64583</v>
      </c>
      <c r="F8" s="48">
        <f>IFERROR(__xludf.DUMMYFUNCTION("GOOGLEFINANCE(A8,""low52"")"),329.9)</f>
        <v>329.9</v>
      </c>
      <c r="G8" s="47">
        <f>IFERROR(__xludf.DUMMYFUNCTION("to_date(index(sort(GOOGLEFINANCE(A8, ""low"", today()-52*7, today(), ""DAILY""),2,1),1,1))"),46009.64583333333)</f>
        <v>46009.64583</v>
      </c>
      <c r="H8" s="34">
        <f>IFERROR(__xludf.DUMMYFUNCTION("MIN(QUERY(SORT(GOOGLEFINANCE(A8,""low"",TODAY()-40,TODAY()),1,0),""select Col2 limit 20""))"),422.35)</f>
        <v>422.35</v>
      </c>
      <c r="I8" s="34">
        <f t="shared" si="1"/>
        <v>12.94254208</v>
      </c>
      <c r="J8" s="35" t="str">
        <f t="shared" si="2"/>
        <v>No need to fresh start</v>
      </c>
    </row>
    <row r="9">
      <c r="A9" s="44" t="s">
        <v>47</v>
      </c>
      <c r="B9" s="45">
        <f>IFERROR(__xludf.DUMMYFUNCTION("GOOGLEFINANCE(A9,""price"")"),397.5)</f>
        <v>397.5</v>
      </c>
      <c r="C9" s="31">
        <f>IFERROR(__xludf.DUMMYFUNCTION("MAX(QUERY(SORT(GOOGLEFINANCE(A9,""high"",TODAY()-100,TODAY()),1,0),""select Col2 limit 55""))"),417.95)</f>
        <v>417.95</v>
      </c>
      <c r="D9" s="46">
        <f>IFERROR(__xludf.DUMMYFUNCTION("GOOGLEFINANCE(A9,""high52"")"),435.8)</f>
        <v>435.8</v>
      </c>
      <c r="E9" s="47">
        <f>IFERROR(__xludf.DUMMYFUNCTION("to_date(index(sort(GOOGLEFINANCE(A9, ""high"", today()-52*7, today(), ""DAILY""),2,0),2,1))"),45805.64583333333)</f>
        <v>45805.64583</v>
      </c>
      <c r="F9" s="48">
        <f>IFERROR(__xludf.DUMMYFUNCTION("GOOGLEFINANCE(A9,""low52"")"),350.25)</f>
        <v>350.25</v>
      </c>
      <c r="G9" s="47">
        <f>IFERROR(__xludf.DUMMYFUNCTION("to_date(index(sort(GOOGLEFINANCE(A9, ""low"", today()-52*7, today(), ""DAILY""),2,1),1,1))"),46090.64583333333)</f>
        <v>46090.64583</v>
      </c>
      <c r="H9" s="34">
        <f>IFERROR(__xludf.DUMMYFUNCTION("MIN(QUERY(SORT(GOOGLEFINANCE(A9,""low"",TODAY()-40,TODAY()),1,0),""select Col2 limit 20""))"),378.2)</f>
        <v>378.2</v>
      </c>
      <c r="I9" s="34">
        <f t="shared" si="1"/>
        <v>5.144654088</v>
      </c>
      <c r="J9" s="35" t="str">
        <f t="shared" si="2"/>
        <v>No need to fresh start</v>
      </c>
    </row>
    <row r="10">
      <c r="A10" s="44" t="s">
        <v>48</v>
      </c>
      <c r="B10" s="45">
        <f>IFERROR(__xludf.DUMMYFUNCTION("GOOGLEFINANCE(A10,""price"")"),234.35)</f>
        <v>234.35</v>
      </c>
      <c r="C10" s="31">
        <f>IFERROR(__xludf.DUMMYFUNCTION("MAX(QUERY(SORT(GOOGLEFINANCE(A10,""high"",TODAY()-100,TODAY()),1,0),""select Col2 limit 55""))"),267.0)</f>
        <v>267</v>
      </c>
      <c r="D10" s="46">
        <f>IFERROR(__xludf.DUMMYFUNCTION("GOOGLEFINANCE(A10,""high52"")"),267.0)</f>
        <v>267</v>
      </c>
      <c r="E10" s="47">
        <f>IFERROR(__xludf.DUMMYFUNCTION("to_date(index(sort(GOOGLEFINANCE(A10, ""high"", today()-52*7, today(), ""DAILY""),2,0),2,1))"),46149.64583333333)</f>
        <v>46149.64583</v>
      </c>
      <c r="F10" s="48">
        <f>IFERROR(__xludf.DUMMYFUNCTION("GOOGLEFINANCE(A10,""low52"")"),163.55)</f>
        <v>163.55</v>
      </c>
      <c r="G10" s="47">
        <f>IFERROR(__xludf.DUMMYFUNCTION("to_date(index(sort(GOOGLEFINANCE(A10, ""low"", today()-52*7, today(), ""DAILY""),2,1),1,1))"),46049.64583333333)</f>
        <v>46049.64583</v>
      </c>
      <c r="H10" s="34">
        <f>IFERROR(__xludf.DUMMYFUNCTION("MIN(QUERY(SORT(GOOGLEFINANCE(A10,""low"",TODAY()-40,TODAY()),1,0),""select Col2 limit 20""))"),213.0)</f>
        <v>213</v>
      </c>
      <c r="I10" s="34">
        <f t="shared" si="1"/>
        <v>13.93215276</v>
      </c>
      <c r="J10" s="35" t="str">
        <f t="shared" si="2"/>
        <v>No need to fresh start</v>
      </c>
    </row>
    <row r="11">
      <c r="A11" s="44" t="s">
        <v>49</v>
      </c>
      <c r="B11" s="45">
        <f>IFERROR(__xludf.DUMMYFUNCTION("GOOGLEFINANCE(A11,""price"")"),337.75)</f>
        <v>337.75</v>
      </c>
      <c r="C11" s="31">
        <f>IFERROR(__xludf.DUMMYFUNCTION("MAX(QUERY(SORT(GOOGLEFINANCE(A11,""high"",TODAY()-100,TODAY()),1,0),""select Col2 limit 55""))"),387.45)</f>
        <v>387.45</v>
      </c>
      <c r="D11" s="46">
        <f>IFERROR(__xludf.DUMMYFUNCTION("GOOGLEFINANCE(A11,""high52"")"),428.7)</f>
        <v>428.7</v>
      </c>
      <c r="E11" s="47">
        <f>IFERROR(__xludf.DUMMYFUNCTION("to_date(index(sort(GOOGLEFINANCE(A11, ""high"", today()-52*7, today(), ""DAILY""),2,0),2,1))"),45817.64583333333)</f>
        <v>45817.64583</v>
      </c>
      <c r="F11" s="48">
        <f>IFERROR(__xludf.DUMMYFUNCTION("GOOGLEFINANCE(A11,""low52"")"),304.05)</f>
        <v>304.05</v>
      </c>
      <c r="G11" s="47">
        <f>IFERROR(__xludf.DUMMYFUNCTION("to_date(index(sort(GOOGLEFINANCE(A11, ""low"", today()-52*7, today(), ""DAILY""),2,1),1,1))"),46111.64583333333)</f>
        <v>46111.64583</v>
      </c>
      <c r="H11" s="34">
        <f>IFERROR(__xludf.DUMMYFUNCTION("MIN(QUERY(SORT(GOOGLEFINANCE(A11,""low"",TODAY()-40,TODAY()),1,0),""select Col2 limit 20""))"),328.15)</f>
        <v>328.15</v>
      </c>
      <c r="I11" s="34">
        <f t="shared" si="1"/>
        <v>14.71502591</v>
      </c>
      <c r="J11" s="35" t="str">
        <f t="shared" si="2"/>
        <v>Start GTT Order</v>
      </c>
    </row>
    <row r="12">
      <c r="A12" s="44" t="s">
        <v>50</v>
      </c>
      <c r="B12" s="45">
        <f>IFERROR(__xludf.DUMMYFUNCTION("GOOGLEFINANCE(A12,""price"")"),393.9)</f>
        <v>393.9</v>
      </c>
      <c r="C12" s="31">
        <f>IFERROR(__xludf.DUMMYFUNCTION("MAX(QUERY(SORT(GOOGLEFINANCE(A12,""high"",TODAY()-100,TODAY()),1,0),""select Col2 limit 55""))"),435.6)</f>
        <v>435.6</v>
      </c>
      <c r="D12" s="46">
        <f>IFERROR(__xludf.DUMMYFUNCTION("GOOGLEFINANCE(A12,""high52"")"),508.45)</f>
        <v>508.45</v>
      </c>
      <c r="E12" s="47">
        <f>IFERROR(__xludf.DUMMYFUNCTION("to_date(index(sort(GOOGLEFINANCE(A12, ""high"", today()-52*7, today(), ""DAILY""),2,0),2,1))"),46027.64583333333)</f>
        <v>46027.64583</v>
      </c>
      <c r="F12" s="48">
        <f>IFERROR(__xludf.DUMMYFUNCTION("GOOGLEFINANCE(A12,""low52"")"),316.2)</f>
        <v>316.2</v>
      </c>
      <c r="G12" s="47">
        <f>IFERROR(__xludf.DUMMYFUNCTION("to_date(index(sort(GOOGLEFINANCE(A12, ""low"", today()-52*7, today(), ""DAILY""),2,1),1,1))"),46085.64583333333)</f>
        <v>46085.64583</v>
      </c>
      <c r="H12" s="34">
        <f>IFERROR(__xludf.DUMMYFUNCTION("MIN(QUERY(SORT(GOOGLEFINANCE(A12,""low"",TODAY()-40,TODAY()),1,0),""select Col2 limit 20""))"),355.8)</f>
        <v>355.8</v>
      </c>
      <c r="I12" s="34">
        <f t="shared" si="1"/>
        <v>10.58644326</v>
      </c>
      <c r="J12" s="35" t="str">
        <f t="shared" si="2"/>
        <v>Start GTT Order</v>
      </c>
    </row>
    <row r="13">
      <c r="A13" s="44" t="s">
        <v>51</v>
      </c>
      <c r="B13" s="45">
        <f>IFERROR(__xludf.DUMMYFUNCTION("GOOGLEFINANCE(A13,""price"")"),30.99)</f>
        <v>30.99</v>
      </c>
      <c r="C13" s="31">
        <f>IFERROR(__xludf.DUMMYFUNCTION("MAX(QUERY(SORT(GOOGLEFINANCE(A13,""high"",TODAY()-100,TODAY()),1,0),""select Col2 limit 55""))"),38.0)</f>
        <v>38</v>
      </c>
      <c r="D13" s="46">
        <f>IFERROR(__xludf.DUMMYFUNCTION("GOOGLEFINANCE(A13,""high52"")"),41.2)</f>
        <v>41.2</v>
      </c>
      <c r="E13" s="47">
        <f>IFERROR(__xludf.DUMMYFUNCTION("to_date(index(sort(GOOGLEFINANCE(A13, ""high"", today()-52*7, today(), ""DAILY""),2,0),2,1))"),45810.64583333333)</f>
        <v>45810.64583</v>
      </c>
      <c r="F13" s="48">
        <f>IFERROR(__xludf.DUMMYFUNCTION("GOOGLEFINANCE(A13,""low52"")"),30.52)</f>
        <v>30.52</v>
      </c>
      <c r="G13" s="47">
        <f>IFERROR(__xludf.DUMMYFUNCTION("to_date(index(sort(GOOGLEFINANCE(A13, ""low"", today()-52*7, today(), ""DAILY""),2,1),1,1))"),46168.64583333333)</f>
        <v>46168.64583</v>
      </c>
      <c r="H13" s="34">
        <f>IFERROR(__xludf.DUMMYFUNCTION("MIN(QUERY(SORT(GOOGLEFINANCE(A13,""low"",TODAY()-40,TODAY()),1,0),""select Col2 limit 20""))"),31.0)</f>
        <v>31</v>
      </c>
      <c r="I13" s="34">
        <f t="shared" si="1"/>
        <v>22.62020006</v>
      </c>
      <c r="J13" s="35" t="str">
        <f t="shared" si="2"/>
        <v>No need to fresh start</v>
      </c>
    </row>
    <row r="14">
      <c r="A14" s="44" t="s">
        <v>52</v>
      </c>
      <c r="B14" s="45">
        <f>IFERROR(__xludf.DUMMYFUNCTION("GOOGLEFINANCE(A14,""price"")"),4441.1)</f>
        <v>4441.1</v>
      </c>
      <c r="C14" s="31">
        <f>IFERROR(__xludf.DUMMYFUNCTION("MAX(QUERY(SORT(GOOGLEFINANCE(A14,""high"",TODAY()-100,TODAY()),1,0),""select Col2 limit 55""))"),4836.3)</f>
        <v>4836.3</v>
      </c>
      <c r="D14" s="46">
        <f>IFERROR(__xludf.DUMMYFUNCTION("GOOGLEFINANCE(A14,""high52"")"),5147.0)</f>
        <v>5147</v>
      </c>
      <c r="E14" s="47">
        <f>IFERROR(__xludf.DUMMYFUNCTION("to_date(index(sort(GOOGLEFINANCE(A14, ""high"", today()-52*7, today(), ""DAILY""),2,0),2,1))"),45818.64583333333)</f>
        <v>45818.64583</v>
      </c>
      <c r="F14" s="48">
        <f>IFERROR(__xludf.DUMMYFUNCTION("GOOGLEFINANCE(A14,""low52"")"),3479.1)</f>
        <v>3479.1</v>
      </c>
      <c r="G14" s="47">
        <f>IFERROR(__xludf.DUMMYFUNCTION("to_date(index(sort(GOOGLEFINANCE(A14, ""low"", today()-52*7, today(), ""DAILY""),2,1),1,1))"),46111.64583333333)</f>
        <v>46111.64583</v>
      </c>
      <c r="H14" s="34">
        <f>IFERROR(__xludf.DUMMYFUNCTION("MIN(QUERY(SORT(GOOGLEFINANCE(A14,""low"",TODAY()-40,TODAY()),1,0),""select Col2 limit 20""))"),4175.0)</f>
        <v>4175</v>
      </c>
      <c r="I14" s="34">
        <f t="shared" si="1"/>
        <v>8.898696269</v>
      </c>
      <c r="J14" s="35" t="str">
        <f t="shared" si="2"/>
        <v>No need to fresh start</v>
      </c>
    </row>
    <row r="15">
      <c r="A15" s="44" t="s">
        <v>53</v>
      </c>
      <c r="B15" s="45">
        <f>IFERROR(__xludf.DUMMYFUNCTION("GOOGLEFINANCE(A15,""price"")"),142.0)</f>
        <v>142</v>
      </c>
      <c r="C15" s="31">
        <f>IFERROR(__xludf.DUMMYFUNCTION("MAX(QUERY(SORT(GOOGLEFINANCE(A15,""high"",TODAY()-100,TODAY()),1,0),""select Col2 limit 55""))"),176.17)</f>
        <v>176.17</v>
      </c>
      <c r="D15" s="46">
        <f>IFERROR(__xludf.DUMMYFUNCTION("GOOGLEFINANCE(A15,""high52"")"),188.96)</f>
        <v>188.96</v>
      </c>
      <c r="E15" s="47">
        <f>IFERROR(__xludf.DUMMYFUNCTION("to_date(index(sort(GOOGLEFINANCE(A15, ""high"", today()-52*7, today(), ""DAILY""),2,0),2,1))"),46080.64583333333)</f>
        <v>46080.64583</v>
      </c>
      <c r="F15" s="48">
        <f>IFERROR(__xludf.DUMMYFUNCTION("GOOGLEFINANCE(A15,""low52"")"),130.22)</f>
        <v>130.22</v>
      </c>
      <c r="G15" s="47">
        <f>IFERROR(__xludf.DUMMYFUNCTION("to_date(index(sort(GOOGLEFINANCE(A15, ""low"", today()-52*7, today(), ""DAILY""),2,1),1,1))"),46114.64583333333)</f>
        <v>46114.64583</v>
      </c>
      <c r="H15" s="34">
        <f>IFERROR(__xludf.DUMMYFUNCTION("MIN(QUERY(SORT(GOOGLEFINANCE(A15,""low"",TODAY()-40,TODAY()),1,0),""select Col2 limit 20""))"),130.53)</f>
        <v>130.53</v>
      </c>
      <c r="I15" s="34">
        <f t="shared" si="1"/>
        <v>24.06338028</v>
      </c>
      <c r="J15" s="35" t="str">
        <f t="shared" si="2"/>
        <v>No need to fresh start</v>
      </c>
    </row>
    <row r="16">
      <c r="A16" s="44" t="s">
        <v>54</v>
      </c>
      <c r="B16" s="45">
        <f>IFERROR(__xludf.DUMMYFUNCTION("GOOGLEFINANCE(A16,""price"")"),555.5)</f>
        <v>555.5</v>
      </c>
      <c r="C16" s="31">
        <f>IFERROR(__xludf.DUMMYFUNCTION("MAX(QUERY(SORT(GOOGLEFINANCE(A16,""high"",TODAY()-100,TODAY()),1,0),""select Col2 limit 55""))"),618.1)</f>
        <v>618.1</v>
      </c>
      <c r="D16" s="46">
        <f>IFERROR(__xludf.DUMMYFUNCTION("GOOGLEFINANCE(A16,""high52"")"),760.05)</f>
        <v>760.05</v>
      </c>
      <c r="E16" s="47">
        <f>IFERROR(__xludf.DUMMYFUNCTION("to_date(index(sort(GOOGLEFINANCE(A16, ""high"", today()-52*7, today(), ""DAILY""),2,0),2,1))"),46051.64583333333)</f>
        <v>46051.64583</v>
      </c>
      <c r="F16" s="48">
        <f>IFERROR(__xludf.DUMMYFUNCTION("GOOGLEFINANCE(A16,""low52"")"),226.7)</f>
        <v>226.7</v>
      </c>
      <c r="G16" s="47">
        <f>IFERROR(__xludf.DUMMYFUNCTION("to_date(index(sort(GOOGLEFINANCE(A16, ""low"", today()-52*7, today(), ""DAILY""),2,1),1,1))"),45897.64583333333)</f>
        <v>45897.64583</v>
      </c>
      <c r="H16" s="34">
        <f>IFERROR(__xludf.DUMMYFUNCTION("MIN(QUERY(SORT(GOOGLEFINANCE(A16,""low"",TODAY()-40,TODAY()),1,0),""select Col2 limit 20""))"),528.25)</f>
        <v>528.25</v>
      </c>
      <c r="I16" s="34">
        <f t="shared" si="1"/>
        <v>11.26912691</v>
      </c>
      <c r="J16" s="35" t="str">
        <f t="shared" si="2"/>
        <v>No need to fresh start</v>
      </c>
    </row>
    <row r="17">
      <c r="A17" s="44" t="s">
        <v>55</v>
      </c>
      <c r="B17" s="45">
        <f>IFERROR(__xludf.DUMMYFUNCTION("GOOGLEFINANCE(A17,""price"")"),140.2)</f>
        <v>140.2</v>
      </c>
      <c r="C17" s="31">
        <f>IFERROR(__xludf.DUMMYFUNCTION("MAX(QUERY(SORT(GOOGLEFINANCE(A17,""high"",TODAY()-100,TODAY()),1,0),""select Col2 limit 55""))"),164.4)</f>
        <v>164.4</v>
      </c>
      <c r="D17" s="46">
        <f>IFERROR(__xludf.DUMMYFUNCTION("GOOGLEFINANCE(A17,""high52"")"),225.52)</f>
        <v>225.52</v>
      </c>
      <c r="E17" s="47">
        <f>IFERROR(__xludf.DUMMYFUNCTION("to_date(index(sort(GOOGLEFINANCE(A17, ""high"", today()-52*7, today(), ""DAILY""),2,0),2,1))"),45813.64583333333)</f>
        <v>45813.64583</v>
      </c>
      <c r="F17" s="48">
        <f>IFERROR(__xludf.DUMMYFUNCTION("GOOGLEFINANCE(A17,""low52"")"),114.5)</f>
        <v>114.5</v>
      </c>
      <c r="G17" s="47">
        <f>IFERROR(__xludf.DUMMYFUNCTION("to_date(index(sort(GOOGLEFINANCE(A17, ""low"", today()-52*7, today(), ""DAILY""),2,1),1,1))"),46104.64583333333)</f>
        <v>46104.64583</v>
      </c>
      <c r="H17" s="34">
        <f>IFERROR(__xludf.DUMMYFUNCTION("MIN(QUERY(SORT(GOOGLEFINANCE(A17,""low"",TODAY()-40,TODAY()),1,0),""select Col2 limit 20""))"),136.42)</f>
        <v>136.42</v>
      </c>
      <c r="I17" s="34">
        <f t="shared" si="1"/>
        <v>17.26105563</v>
      </c>
      <c r="J17" s="35" t="str">
        <f t="shared" si="2"/>
        <v>Start GTT Order</v>
      </c>
    </row>
    <row r="18">
      <c r="A18" s="44" t="s">
        <v>56</v>
      </c>
      <c r="B18" s="45">
        <f>IFERROR(__xludf.DUMMYFUNCTION("GOOGLEFINANCE(A18,""price"")"),418.6)</f>
        <v>418.6</v>
      </c>
      <c r="C18" s="31">
        <f>IFERROR(__xludf.DUMMYFUNCTION("MAX(QUERY(SORT(GOOGLEFINANCE(A18,""high"",TODAY()-100,TODAY()),1,0),""select Col2 limit 55""))"),473.45)</f>
        <v>473.45</v>
      </c>
      <c r="D18" s="46">
        <f>IFERROR(__xludf.DUMMYFUNCTION("GOOGLEFINANCE(A18,""high52"")"),473.45)</f>
        <v>473.45</v>
      </c>
      <c r="E18" s="47">
        <f>IFERROR(__xludf.DUMMYFUNCTION("to_date(index(sort(GOOGLEFINANCE(A18, ""high"", today()-52*7, today(), ""DAILY""),2,0),2,1))"),46087.64583333333)</f>
        <v>46087.64583</v>
      </c>
      <c r="F18" s="48">
        <f>IFERROR(__xludf.DUMMYFUNCTION("GOOGLEFINANCE(A18,""low52"")"),361.2)</f>
        <v>361.2</v>
      </c>
      <c r="G18" s="47">
        <f>IFERROR(__xludf.DUMMYFUNCTION("to_date(index(sort(GOOGLEFINANCE(A18, ""low"", today()-52*7, today(), ""DAILY""),2,1),1,1))"),45897.64583333333)</f>
        <v>45897.64583</v>
      </c>
      <c r="H18" s="34">
        <f>IFERROR(__xludf.DUMMYFUNCTION("MIN(QUERY(SORT(GOOGLEFINANCE(A18,""low"",TODAY()-40,TODAY()),1,0),""select Col2 limit 20""))"),407.0)</f>
        <v>407</v>
      </c>
      <c r="I18" s="34">
        <f t="shared" si="1"/>
        <v>13.10320115</v>
      </c>
      <c r="J18" s="35" t="str">
        <f t="shared" si="2"/>
        <v>No need to fresh start</v>
      </c>
    </row>
    <row r="19">
      <c r="A19" s="44" t="s">
        <v>57</v>
      </c>
      <c r="B19" s="45">
        <f>IFERROR(__xludf.DUMMYFUNCTION("GOOGLEFINANCE(A19,""price"")"),394.15)</f>
        <v>394.15</v>
      </c>
      <c r="C19" s="31">
        <f>IFERROR(__xludf.DUMMYFUNCTION("MAX(QUERY(SORT(GOOGLEFINANCE(A19,""high"",TODAY()-100,TODAY()),1,0),""select Col2 limit 55""))"),414.4)</f>
        <v>414.4</v>
      </c>
      <c r="D19" s="46">
        <f>IFERROR(__xludf.DUMMYFUNCTION("GOOGLEFINANCE(A19,""high52"")"),414.4)</f>
        <v>414.4</v>
      </c>
      <c r="E19" s="47">
        <f>IFERROR(__xludf.DUMMYFUNCTION("to_date(index(sort(GOOGLEFINANCE(A19, ""high"", today()-52*7, today(), ""DAILY""),2,0),2,1))"),46139.64583333333)</f>
        <v>46139.64583</v>
      </c>
      <c r="F19" s="48">
        <f>IFERROR(__xludf.DUMMYFUNCTION("GOOGLEFINANCE(A19,""low52"")"),315.55)</f>
        <v>315.55</v>
      </c>
      <c r="G19" s="47">
        <f>IFERROR(__xludf.DUMMYFUNCTION("to_date(index(sort(GOOGLEFINANCE(A19, ""low"", today()-52*7, today(), ""DAILY""),2,1),1,1))"),46000.64583333333)</f>
        <v>46000.64583</v>
      </c>
      <c r="H19" s="34">
        <f>IFERROR(__xludf.DUMMYFUNCTION("MIN(QUERY(SORT(GOOGLEFINANCE(A19,""low"",TODAY()-40,TODAY()),1,0),""select Col2 limit 20""))"),384.0)</f>
        <v>384</v>
      </c>
      <c r="I19" s="34">
        <f t="shared" si="1"/>
        <v>5.137637955</v>
      </c>
      <c r="J19" s="35" t="str">
        <f t="shared" si="2"/>
        <v>No need to fresh start</v>
      </c>
    </row>
    <row r="20">
      <c r="A20" s="44" t="s">
        <v>58</v>
      </c>
      <c r="B20" s="45">
        <f>IFERROR(__xludf.DUMMYFUNCTION("GOOGLEFINANCE(A20,""price"")"),161.39)</f>
        <v>161.39</v>
      </c>
      <c r="C20" s="31">
        <f>IFERROR(__xludf.DUMMYFUNCTION("MAX(QUERY(SORT(GOOGLEFINANCE(A20,""high"",TODAY()-100,TODAY()),1,0),""select Col2 limit 55""))"),180.4)</f>
        <v>180.4</v>
      </c>
      <c r="D20" s="46">
        <f>IFERROR(__xludf.DUMMYFUNCTION("GOOGLEFINANCE(A20,""high52"")"),214.74)</f>
        <v>214.74</v>
      </c>
      <c r="E20" s="47">
        <f>IFERROR(__xludf.DUMMYFUNCTION("to_date(index(sort(GOOGLEFINANCE(A20, ""high"", today()-52*7, today(), ""DAILY""),2,0),2,1))"),45869.64583333333)</f>
        <v>45869.64583</v>
      </c>
      <c r="F20" s="48">
        <f>IFERROR(__xludf.DUMMYFUNCTION("GOOGLEFINANCE(A20,""low52"")"),116.97)</f>
        <v>116.97</v>
      </c>
      <c r="G20" s="47">
        <f>IFERROR(__xludf.DUMMYFUNCTION("to_date(index(sort(GOOGLEFINANCE(A20, ""low"", today()-52*7, today(), ""DAILY""),2,1),1,1))"),46111.64583333333)</f>
        <v>46111.64583</v>
      </c>
      <c r="H20" s="34">
        <f>IFERROR(__xludf.DUMMYFUNCTION("MIN(QUERY(SORT(GOOGLEFINANCE(A20,""low"",TODAY()-40,TODAY()),1,0),""select Col2 limit 20""))"),154.0)</f>
        <v>154</v>
      </c>
      <c r="I20" s="34">
        <f t="shared" si="1"/>
        <v>11.77892063</v>
      </c>
      <c r="J20" s="35" t="str">
        <f t="shared" si="2"/>
        <v>Start GTT Order</v>
      </c>
    </row>
    <row r="21">
      <c r="A21" s="44" t="s">
        <v>59</v>
      </c>
      <c r="B21" s="45">
        <f>IFERROR(__xludf.DUMMYFUNCTION("GOOGLEFINANCE(A21,""price"")"),298.05)</f>
        <v>298.05</v>
      </c>
      <c r="C21" s="31">
        <f>IFERROR(__xludf.DUMMYFUNCTION("MAX(QUERY(SORT(GOOGLEFINANCE(A21,""high"",TODAY()-100,TODAY()),1,0),""select Col2 limit 55""))"),324.95)</f>
        <v>324.95</v>
      </c>
      <c r="D21" s="46">
        <f>IFERROR(__xludf.DUMMYFUNCTION("GOOGLEFINANCE(A21,""high52"")"),324.95)</f>
        <v>324.95</v>
      </c>
      <c r="E21" s="47">
        <f>IFERROR(__xludf.DUMMYFUNCTION("to_date(index(sort(GOOGLEFINANCE(A21, ""high"", today()-52*7, today(), ""DAILY""),2,0),2,1))"),46139.64583333333)</f>
        <v>46139.64583</v>
      </c>
      <c r="F21" s="48">
        <f>IFERROR(__xludf.DUMMYFUNCTION("GOOGLEFINANCE(A21,""low52"")"),250.0)</f>
        <v>250</v>
      </c>
      <c r="G21" s="47">
        <f>IFERROR(__xludf.DUMMYFUNCTION("to_date(index(sort(GOOGLEFINANCE(A21, ""low"", today()-52*7, today(), ""DAILY""),2,1),1,1))"),46055.64583333333)</f>
        <v>46055.64583</v>
      </c>
      <c r="H21" s="34">
        <f>IFERROR(__xludf.DUMMYFUNCTION("MIN(QUERY(SORT(GOOGLEFINANCE(A21,""low"",TODAY()-40,TODAY()),1,0),""select Col2 limit 20""))"),290.2)</f>
        <v>290.2</v>
      </c>
      <c r="I21" s="34">
        <f t="shared" si="1"/>
        <v>9.02533132</v>
      </c>
      <c r="J21" s="35" t="str">
        <f t="shared" si="2"/>
        <v>No need to fresh start</v>
      </c>
    </row>
    <row r="22">
      <c r="A22" s="44" t="s">
        <v>60</v>
      </c>
      <c r="B22" s="45">
        <f>IFERROR(__xludf.DUMMYFUNCTION("GOOGLEFINANCE(A22,""price"")"),255.4)</f>
        <v>255.4</v>
      </c>
      <c r="C22" s="31">
        <f>IFERROR(__xludf.DUMMYFUNCTION("MAX(QUERY(SORT(GOOGLEFINANCE(A22,""high"",TODAY()-100,TODAY()),1,0),""select Col2 limit 55""))"),311.85)</f>
        <v>311.85</v>
      </c>
      <c r="D22" s="46">
        <f>IFERROR(__xludf.DUMMYFUNCTION("GOOGLEFINANCE(A22,""high52"")"),442.8)</f>
        <v>442.8</v>
      </c>
      <c r="E22" s="47">
        <f>IFERROR(__xludf.DUMMYFUNCTION("to_date(index(sort(GOOGLEFINANCE(A22, ""high"", today()-52*7, today(), ""DAILY""),2,0),2,1))"),45817.64583333333)</f>
        <v>45817.64583</v>
      </c>
      <c r="F22" s="48">
        <f>IFERROR(__xludf.DUMMYFUNCTION("GOOGLEFINANCE(A22,""low52"")"),248.0)</f>
        <v>248</v>
      </c>
      <c r="G22" s="47">
        <f>IFERROR(__xludf.DUMMYFUNCTION("to_date(index(sort(GOOGLEFINANCE(A22, ""low"", today()-52*7, today(), ""DAILY""),2,1),1,1))"),46111.64583333333)</f>
        <v>46111.64583</v>
      </c>
      <c r="H22" s="34">
        <f>IFERROR(__xludf.DUMMYFUNCTION("MIN(QUERY(SORT(GOOGLEFINANCE(A22,""low"",TODAY()-40,TODAY()),1,0),""select Col2 limit 20""))"),259.0)</f>
        <v>259</v>
      </c>
      <c r="I22" s="34">
        <f t="shared" si="1"/>
        <v>22.10258418</v>
      </c>
      <c r="J22" s="35" t="str">
        <f t="shared" si="2"/>
        <v>No need to fresh start</v>
      </c>
    </row>
    <row r="23">
      <c r="A23" s="44" t="s">
        <v>61</v>
      </c>
      <c r="B23" s="45">
        <f>IFERROR(__xludf.DUMMYFUNCTION("GOOGLEFINANCE(A23,""price"")"),151.1)</f>
        <v>151.1</v>
      </c>
      <c r="C23" s="31">
        <f>IFERROR(__xludf.DUMMYFUNCTION("MAX(QUERY(SORT(GOOGLEFINANCE(A23,""high"",TODAY()-100,TODAY()),1,0),""select Col2 limit 55""))"),212.31)</f>
        <v>212.31</v>
      </c>
      <c r="D23" s="46">
        <f>IFERROR(__xludf.DUMMYFUNCTION("GOOGLEFINANCE(A23,""high52"")"),212.31)</f>
        <v>212.31</v>
      </c>
      <c r="E23" s="47">
        <f>IFERROR(__xludf.DUMMYFUNCTION("to_date(index(sort(GOOGLEFINANCE(A23, ""high"", today()-52*7, today(), ""DAILY""),2,0),2,1))"),46087.64583333333)</f>
        <v>46087.64583</v>
      </c>
      <c r="F23" s="48">
        <f>IFERROR(__xludf.DUMMYFUNCTION("GOOGLEFINANCE(A23,""low52"")"),120.4)</f>
        <v>120.4</v>
      </c>
      <c r="G23" s="47">
        <f>IFERROR(__xludf.DUMMYFUNCTION("to_date(index(sort(GOOGLEFINANCE(A23, ""low"", today()-52*7, today(), ""DAILY""),2,1),1,1))"),45876.64583333333)</f>
        <v>45876.64583</v>
      </c>
      <c r="H23" s="34">
        <f>IFERROR(__xludf.DUMMYFUNCTION("MIN(QUERY(SORT(GOOGLEFINANCE(A23,""low"",TODAY()-40,TODAY()),1,0),""select Col2 limit 20""))"),143.12)</f>
        <v>143.12</v>
      </c>
      <c r="I23" s="34">
        <f t="shared" si="1"/>
        <v>40.50959629</v>
      </c>
      <c r="J23" s="35" t="str">
        <f t="shared" si="2"/>
        <v>No need to fresh start</v>
      </c>
    </row>
    <row r="24">
      <c r="A24" s="44" t="s">
        <v>62</v>
      </c>
      <c r="B24" s="45">
        <f>IFERROR(__xludf.DUMMYFUNCTION("GOOGLEFINANCE(A24,""price"")"),1334.4)</f>
        <v>1334.4</v>
      </c>
      <c r="C24" s="31">
        <f>IFERROR(__xludf.DUMMYFUNCTION("MAX(QUERY(SORT(GOOGLEFINANCE(A24,""high"",TODAY()-100,TODAY()),1,0),""select Col2 limit 55""))"),1481.2)</f>
        <v>1481.2</v>
      </c>
      <c r="D24" s="46">
        <f>IFERROR(__xludf.DUMMYFUNCTION("GOOGLEFINANCE(A24,""high52"")"),2096.6)</f>
        <v>2096.6</v>
      </c>
      <c r="E24" s="47">
        <f>IFERROR(__xludf.DUMMYFUNCTION("to_date(index(sort(GOOGLEFINANCE(A24, ""high"", today()-52*7, today(), ""DAILY""),2,0),2,1))"),45807.64583333333)</f>
        <v>45807.64583</v>
      </c>
      <c r="F24" s="48">
        <f>IFERROR(__xludf.DUMMYFUNCTION("GOOGLEFINANCE(A24,""low52"")"),1086.0)</f>
        <v>1086</v>
      </c>
      <c r="G24" s="47">
        <f>IFERROR(__xludf.DUMMYFUNCTION("to_date(index(sort(GOOGLEFINANCE(A24, ""low"", today()-52*7, today(), ""DAILY""),2,1),1,1))"),46111.64583333333)</f>
        <v>46111.64583</v>
      </c>
      <c r="H24" s="34">
        <f>IFERROR(__xludf.DUMMYFUNCTION("MIN(QUERY(SORT(GOOGLEFINANCE(A24,""low"",TODAY()-40,TODAY()),1,0),""select Col2 limit 20""))"),1272.3)</f>
        <v>1272.3</v>
      </c>
      <c r="I24" s="34">
        <f t="shared" si="1"/>
        <v>11.00119904</v>
      </c>
      <c r="J24" s="35" t="str">
        <f t="shared" si="2"/>
        <v>Start GTT Order</v>
      </c>
    </row>
    <row r="25">
      <c r="A25" s="44" t="s">
        <v>63</v>
      </c>
      <c r="B25" s="45">
        <f>IFERROR(__xludf.DUMMYFUNCTION("GOOGLEFINANCE(A25,""price"")"),304.9)</f>
        <v>304.9</v>
      </c>
      <c r="C25" s="31">
        <f>IFERROR(__xludf.DUMMYFUNCTION("MAX(QUERY(SORT(GOOGLEFINANCE(A25,""high"",TODAY()-100,TODAY()),1,0),""select Col2 limit 55""))"),367.85)</f>
        <v>367.85</v>
      </c>
      <c r="D25" s="46">
        <f>IFERROR(__xludf.DUMMYFUNCTION("GOOGLEFINANCE(A25,""high52"")"),391.65)</f>
        <v>391.65</v>
      </c>
      <c r="E25" s="47">
        <f>IFERROR(__xludf.DUMMYFUNCTION("to_date(index(sort(GOOGLEFINANCE(A25, ""high"", today()-52*7, today(), ""DAILY""),2,0),2,1))"),46058.64583333333)</f>
        <v>46058.64583</v>
      </c>
      <c r="F25" s="48">
        <f>IFERROR(__xludf.DUMMYFUNCTION("GOOGLEFINANCE(A25,""low52"")"),266.6)</f>
        <v>266.6</v>
      </c>
      <c r="G25" s="47">
        <f>IFERROR(__xludf.DUMMYFUNCTION("to_date(index(sort(GOOGLEFINANCE(A25, ""low"", today()-52*7, today(), ""DAILY""),2,1),1,1))"),46114.64583333333)</f>
        <v>46114.64583</v>
      </c>
      <c r="H25" s="34">
        <f>IFERROR(__xludf.DUMMYFUNCTION("MIN(QUERY(SORT(GOOGLEFINANCE(A25,""low"",TODAY()-40,TODAY()),1,0),""select Col2 limit 20""))"),276.6)</f>
        <v>276.6</v>
      </c>
      <c r="I25" s="34">
        <f t="shared" si="1"/>
        <v>20.64611348</v>
      </c>
      <c r="J25" s="35" t="str">
        <f t="shared" si="2"/>
        <v>No need to fresh start</v>
      </c>
    </row>
    <row r="26">
      <c r="A26" s="44" t="s">
        <v>64</v>
      </c>
      <c r="B26" s="45">
        <f>IFERROR(__xludf.DUMMYFUNCTION("GOOGLEFINANCE(A26,""price"")"),276.2)</f>
        <v>276.2</v>
      </c>
      <c r="C26" s="31">
        <f>IFERROR(__xludf.DUMMYFUNCTION("MAX(QUERY(SORT(GOOGLEFINANCE(A26,""high"",TODAY()-100,TODAY()),1,0),""select Col2 limit 55""))"),307.5)</f>
        <v>307.5</v>
      </c>
      <c r="D26" s="46">
        <f>IFERROR(__xludf.DUMMYFUNCTION("GOOGLEFINANCE(A26,""high52"")"),307.5)</f>
        <v>307.5</v>
      </c>
      <c r="E26" s="47">
        <f>IFERROR(__xludf.DUMMYFUNCTION("to_date(index(sort(GOOGLEFINANCE(A26, ""high"", today()-52*7, today(), ""DAILY""),2,0),2,1))"),46141.64583333333)</f>
        <v>46141.64583</v>
      </c>
      <c r="F26" s="48">
        <f>IFERROR(__xludf.DUMMYFUNCTION("GOOGLEFINANCE(A26,""low52"")"),228.61)</f>
        <v>228.61</v>
      </c>
      <c r="G26" s="47">
        <f>IFERROR(__xludf.DUMMYFUNCTION("to_date(index(sort(GOOGLEFINANCE(A26, ""low"", today()-52*7, today(), ""DAILY""),2,1),1,1))"),46008.64583333333)</f>
        <v>46008.64583</v>
      </c>
      <c r="H26" s="34">
        <f>IFERROR(__xludf.DUMMYFUNCTION("MIN(QUERY(SORT(GOOGLEFINANCE(A26,""low"",TODAY()-40,TODAY()),1,0),""select Col2 limit 20""))"),277.65)</f>
        <v>277.65</v>
      </c>
      <c r="I26" s="34">
        <f t="shared" si="1"/>
        <v>11.33236785</v>
      </c>
      <c r="J26" s="35" t="str">
        <f t="shared" si="2"/>
        <v>No need to fresh start</v>
      </c>
    </row>
    <row r="27">
      <c r="A27" s="44" t="s">
        <v>65</v>
      </c>
      <c r="B27" s="45">
        <f>IFERROR(__xludf.DUMMYFUNCTION("GOOGLEFINANCE(A27,""price"")"),207.06)</f>
        <v>207.06</v>
      </c>
      <c r="C27" s="31">
        <f>IFERROR(__xludf.DUMMYFUNCTION("MAX(QUERY(SORT(GOOGLEFINANCE(A27,""high"",TODAY()-100,TODAY()),1,0),""select Col2 limit 55""))"),230.85)</f>
        <v>230.85</v>
      </c>
      <c r="D27" s="46">
        <f>IFERROR(__xludf.DUMMYFUNCTION("GOOGLEFINANCE(A27,""high52"")"),316.0)</f>
        <v>316</v>
      </c>
      <c r="E27" s="47">
        <f>IFERROR(__xludf.DUMMYFUNCTION("to_date(index(sort(GOOGLEFINANCE(A27, ""high"", today()-52*7, today(), ""DAILY""),2,0),2,1))"),45813.64583333333)</f>
        <v>45813.64583</v>
      </c>
      <c r="F27" s="48">
        <f>IFERROR(__xludf.DUMMYFUNCTION("GOOGLEFINANCE(A27,""low52"")"),175.0)</f>
        <v>175</v>
      </c>
      <c r="G27" s="47">
        <f>IFERROR(__xludf.DUMMYFUNCTION("to_date(index(sort(GOOGLEFINANCE(A27, ""low"", today()-52*7, today(), ""DAILY""),2,1),1,1))"),46111.64583333333)</f>
        <v>46111.64583</v>
      </c>
      <c r="H27" s="34">
        <f>IFERROR(__xludf.DUMMYFUNCTION("MIN(QUERY(SORT(GOOGLEFINANCE(A27,""low"",TODAY()-40,TODAY()),1,0),""select Col2 limit 20""))"),200.96)</f>
        <v>200.96</v>
      </c>
      <c r="I27" s="34">
        <f t="shared" si="1"/>
        <v>11.48942336</v>
      </c>
      <c r="J27" s="35" t="str">
        <f t="shared" si="2"/>
        <v>Start GTT Order</v>
      </c>
    </row>
    <row r="28">
      <c r="A28" s="44" t="s">
        <v>66</v>
      </c>
      <c r="B28" s="45">
        <f>IFERROR(__xludf.DUMMYFUNCTION("GOOGLEFINANCE(A28,""price"")"),416.65)</f>
        <v>416.65</v>
      </c>
      <c r="C28" s="31">
        <f>IFERROR(__xludf.DUMMYFUNCTION("MAX(QUERY(SORT(GOOGLEFINANCE(A28,""high"",TODAY()-100,TODAY()),1,0),""select Col2 limit 55""))"),438.7)</f>
        <v>438.7</v>
      </c>
      <c r="D28" s="46">
        <f>IFERROR(__xludf.DUMMYFUNCTION("GOOGLEFINANCE(A28,""high52"")"),469.0)</f>
        <v>469</v>
      </c>
      <c r="E28" s="47">
        <f>IFERROR(__xludf.DUMMYFUNCTION("to_date(index(sort(GOOGLEFINANCE(A28, ""high"", today()-52*7, today(), ""DAILY""),2,0),2,1))"),45832.64583333333)</f>
        <v>45832.64583</v>
      </c>
      <c r="F28" s="48">
        <f>IFERROR(__xludf.DUMMYFUNCTION("GOOGLEFINANCE(A28,""low52"")"),266.65)</f>
        <v>266.65</v>
      </c>
      <c r="G28" s="47">
        <f>IFERROR(__xludf.DUMMYFUNCTION("to_date(index(sort(GOOGLEFINANCE(A28, ""low"", today()-52*7, today(), ""DAILY""),2,1),1,1))"),46111.64583333333)</f>
        <v>46111.64583</v>
      </c>
      <c r="H28" s="34">
        <f>IFERROR(__xludf.DUMMYFUNCTION("MIN(QUERY(SORT(GOOGLEFINANCE(A28,""low"",TODAY()-40,TODAY()),1,0),""select Col2 limit 20""))"),378.0)</f>
        <v>378</v>
      </c>
      <c r="I28" s="34">
        <f t="shared" si="1"/>
        <v>5.292211688</v>
      </c>
      <c r="J28" s="35" t="str">
        <f t="shared" si="2"/>
        <v>No need to fresh start</v>
      </c>
    </row>
    <row r="29">
      <c r="A29" s="44" t="s">
        <v>67</v>
      </c>
      <c r="B29" s="45">
        <f>IFERROR(__xludf.DUMMYFUNCTION("GOOGLEFINANCE(A29,""price"")"),80.55)</f>
        <v>80.55</v>
      </c>
      <c r="C29" s="31">
        <f>IFERROR(__xludf.DUMMYFUNCTION("MAX(QUERY(SORT(GOOGLEFINANCE(A29,""high"",TODAY()-100,TODAY()),1,0),""select Col2 limit 55""))"),86.83)</f>
        <v>86.83</v>
      </c>
      <c r="D29" s="46">
        <f>IFERROR(__xludf.DUMMYFUNCTION("GOOGLEFINANCE(A29,""high52"")"),92.34)</f>
        <v>92.34</v>
      </c>
      <c r="E29" s="47">
        <f>IFERROR(__xludf.DUMMYFUNCTION("to_date(index(sort(GOOGLEFINANCE(A29, ""high"", today()-52*7, today(), ""DAILY""),2,0),2,1))"),45817.64583333333)</f>
        <v>45817.64583</v>
      </c>
      <c r="F29" s="48">
        <f>IFERROR(__xludf.DUMMYFUNCTION("GOOGLEFINANCE(A29,""low52"")"),71.62)</f>
        <v>71.62</v>
      </c>
      <c r="G29" s="47">
        <f>IFERROR(__xludf.DUMMYFUNCTION("to_date(index(sort(GOOGLEFINANCE(A29, ""low"", today()-52*7, today(), ""DAILY""),2,1),1,1))"),46085.64583333333)</f>
        <v>46085.64583</v>
      </c>
      <c r="H29" s="34">
        <f>IFERROR(__xludf.DUMMYFUNCTION("MIN(QUERY(SORT(GOOGLEFINANCE(A29,""low"",TODAY()-40,TODAY()),1,0),""select Col2 limit 20""))"),75.91)</f>
        <v>75.91</v>
      </c>
      <c r="I29" s="34">
        <f t="shared" si="1"/>
        <v>7.796399752</v>
      </c>
      <c r="J29" s="35" t="str">
        <f t="shared" si="2"/>
        <v>No need to fresh start</v>
      </c>
    </row>
    <row r="30">
      <c r="A30" s="44" t="s">
        <v>68</v>
      </c>
      <c r="B30" s="45">
        <f>IFERROR(__xludf.DUMMYFUNCTION("GOOGLEFINANCE(A30,""price"")"),75.83)</f>
        <v>75.83</v>
      </c>
      <c r="C30" s="31">
        <f>IFERROR(__xludf.DUMMYFUNCTION("MAX(QUERY(SORT(GOOGLEFINANCE(A30,""high"",TODAY()-100,TODAY()),1,0),""select Col2 limit 55""))"),83.0)</f>
        <v>83</v>
      </c>
      <c r="D30" s="46">
        <f>IFERROR(__xludf.DUMMYFUNCTION("GOOGLEFINANCE(A30,""high52"")"),105.85)</f>
        <v>105.85</v>
      </c>
      <c r="E30" s="47">
        <f>IFERROR(__xludf.DUMMYFUNCTION("to_date(index(sort(GOOGLEFINANCE(A30, ""high"", today()-52*7, today(), ""DAILY""),2,0),2,1))"),45819.64583333333)</f>
        <v>45819.64583</v>
      </c>
      <c r="F30" s="48">
        <f>IFERROR(__xludf.DUMMYFUNCTION("GOOGLEFINANCE(A30,""low52"")"),63.02)</f>
        <v>63.02</v>
      </c>
      <c r="G30" s="47">
        <f>IFERROR(__xludf.DUMMYFUNCTION("to_date(index(sort(GOOGLEFINANCE(A30, ""low"", today()-52*7, today(), ""DAILY""),2,1),1,1))"),46111.64583333333)</f>
        <v>46111.64583</v>
      </c>
      <c r="H30" s="34">
        <f>IFERROR(__xludf.DUMMYFUNCTION("MIN(QUERY(SORT(GOOGLEFINANCE(A30,""low"",TODAY()-40,TODAY()),1,0),""select Col2 limit 20""))"),70.5)</f>
        <v>70.5</v>
      </c>
      <c r="I30" s="34">
        <f t="shared" si="1"/>
        <v>9.455360675</v>
      </c>
      <c r="J30" s="35" t="str">
        <f t="shared" si="2"/>
        <v>No need to fresh start</v>
      </c>
    </row>
    <row r="31">
      <c r="A31" s="44" t="s">
        <v>69</v>
      </c>
      <c r="B31" s="45">
        <f>IFERROR(__xludf.DUMMYFUNCTION("GOOGLEFINANCE(A31,""price"")"),473.5)</f>
        <v>473.5</v>
      </c>
      <c r="C31" s="31">
        <f>IFERROR(__xludf.DUMMYFUNCTION("MAX(QUERY(SORT(GOOGLEFINANCE(A31,""high"",TODAY()-100,TODAY()),1,0),""select Col2 limit 55""))"),537.0)</f>
        <v>537</v>
      </c>
      <c r="D31" s="46">
        <f>IFERROR(__xludf.DUMMYFUNCTION("GOOGLEFINANCE(A31,""high52"")"),652.04)</f>
        <v>652.04</v>
      </c>
      <c r="E31" s="47">
        <f>IFERROR(__xludf.DUMMYFUNCTION("to_date(index(sort(GOOGLEFINANCE(A31, ""high"", today()-52*7, today(), ""DAILY""),2,0),2,1))"),45813.64583333333)</f>
        <v>45813.64583</v>
      </c>
      <c r="F31" s="48">
        <f>IFERROR(__xludf.DUMMYFUNCTION("GOOGLEFINANCE(A31,""low52"")"),421.45)</f>
        <v>421.45</v>
      </c>
      <c r="G31" s="47">
        <f>IFERROR(__xludf.DUMMYFUNCTION("to_date(index(sort(GOOGLEFINANCE(A31, ""low"", today()-52*7, today(), ""DAILY""),2,1),1,1))"),46104.64583333333)</f>
        <v>46104.64583</v>
      </c>
      <c r="H31" s="34">
        <f>IFERROR(__xludf.DUMMYFUNCTION("MIN(QUERY(SORT(GOOGLEFINANCE(A31,""low"",TODAY()-40,TODAY()),1,0),""select Col2 limit 20""))"),472.6)</f>
        <v>472.6</v>
      </c>
      <c r="I31" s="34">
        <f t="shared" si="1"/>
        <v>13.41077086</v>
      </c>
      <c r="J31" s="35" t="str">
        <f t="shared" si="2"/>
        <v>Start GTT Order</v>
      </c>
    </row>
    <row r="32">
      <c r="A32" s="44" t="s">
        <v>70</v>
      </c>
      <c r="B32" s="45">
        <f>IFERROR(__xludf.DUMMYFUNCTION("GOOGLEFINANCE(A32,""price"")"),2669.8)</f>
        <v>2669.8</v>
      </c>
      <c r="C32" s="31">
        <f>IFERROR(__xludf.DUMMYFUNCTION("MAX(QUERY(SORT(GOOGLEFINANCE(A32,""high"",TODAY()-100,TODAY()),1,0),""select Col2 limit 55""))"),3339.0)</f>
        <v>3339</v>
      </c>
      <c r="D32" s="46">
        <f>IFERROR(__xludf.DUMMYFUNCTION("GOOGLEFINANCE(A32,""high52"")"),3538.4)</f>
        <v>3538.4</v>
      </c>
      <c r="E32" s="47">
        <f>IFERROR(__xludf.DUMMYFUNCTION("to_date(index(sort(GOOGLEFINANCE(A32, ""high"", today()-52*7, today(), ""DAILY""),2,0),2,1))"),45831.64583333333)</f>
        <v>45831.64583</v>
      </c>
      <c r="F32" s="48">
        <f>IFERROR(__xludf.DUMMYFUNCTION("GOOGLEFINANCE(A32,""low52"")"),1963.7)</f>
        <v>1963.7</v>
      </c>
      <c r="G32" s="47">
        <f>IFERROR(__xludf.DUMMYFUNCTION("to_date(index(sort(GOOGLEFINANCE(A32, ""low"", today()-52*7, today(), ""DAILY""),2,1),1,1))"),46111.64583333333)</f>
        <v>46111.64583</v>
      </c>
      <c r="H32" s="34">
        <f>IFERROR(__xludf.DUMMYFUNCTION("MIN(QUERY(SORT(GOOGLEFINANCE(A32,""low"",TODAY()-40,TODAY()),1,0),""select Col2 limit 20""))"),2550.0)</f>
        <v>2550</v>
      </c>
      <c r="I32" s="34">
        <f t="shared" si="1"/>
        <v>25.06554798</v>
      </c>
      <c r="J32" s="35" t="str">
        <f t="shared" si="2"/>
        <v>No need to fresh start</v>
      </c>
    </row>
    <row r="33">
      <c r="A33" s="44" t="s">
        <v>71</v>
      </c>
      <c r="B33" s="45">
        <f>IFERROR(__xludf.DUMMYFUNCTION("GOOGLEFINANCE(A33,""price"")"),834.5)</f>
        <v>834.5</v>
      </c>
      <c r="C33" s="31">
        <f>IFERROR(__xludf.DUMMYFUNCTION("MAX(QUERY(SORT(GOOGLEFINANCE(A33,""high"",TODAY()-100,TODAY()),1,0),""select Col2 limit 55""))"),1000.9)</f>
        <v>1000.9</v>
      </c>
      <c r="D33" s="46">
        <f>IFERROR(__xludf.DUMMYFUNCTION("GOOGLEFINANCE(A33,""high52"")"),1000.9)</f>
        <v>1000.9</v>
      </c>
      <c r="E33" s="47">
        <f>IFERROR(__xludf.DUMMYFUNCTION("to_date(index(sort(GOOGLEFINANCE(A33, ""high"", today()-52*7, today(), ""DAILY""),2,0),2,1))"),46127.64583333333)</f>
        <v>46127.64583</v>
      </c>
      <c r="F33" s="48">
        <f>IFERROR(__xludf.DUMMYFUNCTION("GOOGLEFINANCE(A33,""low52"")"),586.25)</f>
        <v>586.25</v>
      </c>
      <c r="G33" s="47">
        <f>IFERROR(__xludf.DUMMYFUNCTION("to_date(index(sort(GOOGLEFINANCE(A33, ""low"", today()-52*7, today(), ""DAILY""),2,1),1,1))"),45805.64583333333)</f>
        <v>45805.64583</v>
      </c>
      <c r="H33" s="34">
        <f>IFERROR(__xludf.DUMMYFUNCTION("MIN(QUERY(SORT(GOOGLEFINANCE(A33,""low"",TODAY()-40,TODAY()),1,0),""select Col2 limit 20""))"),801.35)</f>
        <v>801.35</v>
      </c>
      <c r="I33" s="34">
        <f t="shared" si="1"/>
        <v>19.94008388</v>
      </c>
      <c r="J33" s="35" t="str">
        <f t="shared" si="2"/>
        <v>No need to fresh start</v>
      </c>
    </row>
    <row r="34">
      <c r="A34" s="44" t="s">
        <v>72</v>
      </c>
      <c r="B34" s="45">
        <f>IFERROR(__xludf.DUMMYFUNCTION("GOOGLEFINANCE(A34,""price"")"),184.01)</f>
        <v>184.01</v>
      </c>
      <c r="C34" s="31">
        <f>IFERROR(__xludf.DUMMYFUNCTION("MAX(QUERY(SORT(GOOGLEFINANCE(A34,""high"",TODAY()-100,TODAY()),1,0),""select Col2 limit 55""))"),199.5)</f>
        <v>199.5</v>
      </c>
      <c r="D34" s="46">
        <f>IFERROR(__xludf.DUMMYFUNCTION("GOOGLEFINANCE(A34,""high52"")"),238.2)</f>
        <v>238.2</v>
      </c>
      <c r="E34" s="47">
        <f>IFERROR(__xludf.DUMMYFUNCTION("to_date(index(sort(GOOGLEFINANCE(A34, ""high"", today()-52*7, today(), ""DAILY""),2,0),2,1))"),45915.64583333333)</f>
        <v>45915.64583</v>
      </c>
      <c r="F34" s="48">
        <f>IFERROR(__xludf.DUMMYFUNCTION("GOOGLEFINANCE(A34,""low52"")"),148.36)</f>
        <v>148.36</v>
      </c>
      <c r="G34" s="47">
        <f>IFERROR(__xludf.DUMMYFUNCTION("to_date(index(sort(GOOGLEFINANCE(A34, ""low"", today()-52*7, today(), ""DAILY""),2,1),1,1))"),46111.64583333333)</f>
        <v>46111.64583</v>
      </c>
      <c r="H34" s="34">
        <f>IFERROR(__xludf.DUMMYFUNCTION("MIN(QUERY(SORT(GOOGLEFINANCE(A34,""low"",TODAY()-40,TODAY()),1,0),""select Col2 limit 20""))"),180.0)</f>
        <v>180</v>
      </c>
      <c r="I34" s="34">
        <f t="shared" si="1"/>
        <v>8.41802076</v>
      </c>
      <c r="J34" s="35" t="str">
        <f t="shared" si="2"/>
        <v>No need to fresh start</v>
      </c>
    </row>
    <row r="35">
      <c r="A35" s="44" t="s">
        <v>73</v>
      </c>
      <c r="B35" s="45">
        <f>IFERROR(__xludf.DUMMYFUNCTION("GOOGLEFINANCE(A35,""price"")"),97.78)</f>
        <v>97.78</v>
      </c>
      <c r="C35" s="31">
        <f>IFERROR(__xludf.DUMMYFUNCTION("MAX(QUERY(SORT(GOOGLEFINANCE(A35,""high"",TODAY()-100,TODAY()),1,0),""select Col2 limit 55""))"),101.95)</f>
        <v>101.95</v>
      </c>
      <c r="D35" s="46">
        <f>IFERROR(__xludf.DUMMYFUNCTION("GOOGLEFINANCE(A35,""high52"")"),130.7)</f>
        <v>130.7</v>
      </c>
      <c r="E35" s="47">
        <f>IFERROR(__xludf.DUMMYFUNCTION("to_date(index(sort(GOOGLEFINANCE(A35, ""high"", today()-52*7, today(), ""DAILY""),2,0),2,1))"),45817.64583333333)</f>
        <v>45817.64583</v>
      </c>
      <c r="F35" s="48">
        <f>IFERROR(__xludf.DUMMYFUNCTION("GOOGLEFINANCE(A35,""low52"")"),77.18)</f>
        <v>77.18</v>
      </c>
      <c r="G35" s="47">
        <f>IFERROR(__xludf.DUMMYFUNCTION("to_date(index(sort(GOOGLEFINANCE(A35, ""low"", today()-52*7, today(), ""DAILY""),2,1),1,1))"),46111.64583333333)</f>
        <v>46111.64583</v>
      </c>
      <c r="H35" s="34">
        <f>IFERROR(__xludf.DUMMYFUNCTION("MIN(QUERY(SORT(GOOGLEFINANCE(A35,""low"",TODAY()-40,TODAY()),1,0),""select Col2 limit 20""))"),89.83)</f>
        <v>89.83</v>
      </c>
      <c r="I35" s="34">
        <f t="shared" si="1"/>
        <v>4.264675803</v>
      </c>
      <c r="J35" s="35" t="str">
        <f t="shared" si="2"/>
        <v>No need to fresh start</v>
      </c>
    </row>
    <row r="36">
      <c r="A36" s="44" t="s">
        <v>74</v>
      </c>
      <c r="B36" s="45">
        <f>IFERROR(__xludf.DUMMYFUNCTION("GOOGLEFINANCE(A36,""price"")"),168.69)</f>
        <v>168.69</v>
      </c>
      <c r="C36" s="31">
        <f>IFERROR(__xludf.DUMMYFUNCTION("MAX(QUERY(SORT(GOOGLEFINANCE(A36,""high"",TODAY()-100,TODAY()),1,0),""select Col2 limit 55""))"),170.7)</f>
        <v>170.7</v>
      </c>
      <c r="D36" s="46">
        <f>IFERROR(__xludf.DUMMYFUNCTION("GOOGLEFINANCE(A36,""high52"")"),202.79)</f>
        <v>202.79</v>
      </c>
      <c r="E36" s="47">
        <f>IFERROR(__xludf.DUMMYFUNCTION("to_date(index(sort(GOOGLEFINANCE(A36, ""high"", today()-52*7, today(), ""DAILY""),2,0),2,1))"),45820.64583333333)</f>
        <v>45820.64583</v>
      </c>
      <c r="F36" s="48">
        <f>IFERROR(__xludf.DUMMYFUNCTION("GOOGLEFINANCE(A36,""low52"")"),134.36)</f>
        <v>134.36</v>
      </c>
      <c r="G36" s="47">
        <f>IFERROR(__xludf.DUMMYFUNCTION("to_date(index(sort(GOOGLEFINANCE(A36, ""low"", today()-52*7, today(), ""DAILY""),2,1),1,1))"),46104.64583333333)</f>
        <v>46104.64583</v>
      </c>
      <c r="H36" s="34">
        <f>IFERROR(__xludf.DUMMYFUNCTION("MIN(QUERY(SORT(GOOGLEFINANCE(A36,""low"",TODAY()-40,TODAY()),1,0),""select Col2 limit 20""))"),151.41)</f>
        <v>151.41</v>
      </c>
      <c r="I36" s="34">
        <f t="shared" si="1"/>
        <v>1.191534768</v>
      </c>
      <c r="J36" s="35" t="str">
        <f t="shared" si="2"/>
        <v>No need to fresh start</v>
      </c>
    </row>
    <row r="37">
      <c r="A37" s="44" t="s">
        <v>75</v>
      </c>
      <c r="B37" s="45">
        <f>IFERROR(__xludf.DUMMYFUNCTION("GOOGLEFINANCE(A37,""price"")"),65.85)</f>
        <v>65.85</v>
      </c>
      <c r="C37" s="31">
        <f>IFERROR(__xludf.DUMMYFUNCTION("MAX(QUERY(SORT(GOOGLEFINANCE(A37,""high"",TODAY()-100,TODAY()),1,0),""select Col2 limit 55""))"),71.64)</f>
        <v>71.64</v>
      </c>
      <c r="D37" s="46">
        <f>IFERROR(__xludf.DUMMYFUNCTION("GOOGLEFINANCE(A37,""high52"")"),88.19)</f>
        <v>88.19</v>
      </c>
      <c r="E37" s="47">
        <f>IFERROR(__xludf.DUMMYFUNCTION("to_date(index(sort(GOOGLEFINANCE(A37, ""high"", today()-52*7, today(), ""DAILY""),2,0),2,1))"),45807.64583333333)</f>
        <v>45807.64583</v>
      </c>
      <c r="F37" s="48">
        <f>IFERROR(__xludf.DUMMYFUNCTION("GOOGLEFINANCE(A37,""low52"")"),50.1)</f>
        <v>50.1</v>
      </c>
      <c r="G37" s="47">
        <f>IFERROR(__xludf.DUMMYFUNCTION("to_date(index(sort(GOOGLEFINANCE(A37, ""low"", today()-52*7, today(), ""DAILY""),2,1),1,1))"),46111.64583333333)</f>
        <v>46111.64583</v>
      </c>
      <c r="H37" s="34">
        <f>IFERROR(__xludf.DUMMYFUNCTION("MIN(QUERY(SORT(GOOGLEFINANCE(A37,""low"",TODAY()-40,TODAY()),1,0),""select Col2 limit 20""))"),60.31)</f>
        <v>60.31</v>
      </c>
      <c r="I37" s="34">
        <f t="shared" si="1"/>
        <v>8.792710706</v>
      </c>
      <c r="J37" s="35" t="str">
        <f t="shared" si="2"/>
        <v>No need to fresh start</v>
      </c>
    </row>
    <row r="38">
      <c r="A38" s="44" t="s">
        <v>76</v>
      </c>
      <c r="B38" s="45">
        <f>IFERROR(__xludf.DUMMYFUNCTION("GOOGLEFINANCE(A38,""price"")"),131.9)</f>
        <v>131.9</v>
      </c>
      <c r="C38" s="31">
        <f>IFERROR(__xludf.DUMMYFUNCTION("MAX(QUERY(SORT(GOOGLEFINANCE(A38,""high"",TODAY()-100,TODAY()),1,0),""select Col2 limit 55""))"),136.49)</f>
        <v>136.49</v>
      </c>
      <c r="D38" s="46">
        <f>IFERROR(__xludf.DUMMYFUNCTION("GOOGLEFINANCE(A38,""high52"")"),166.5)</f>
        <v>166.5</v>
      </c>
      <c r="E38" s="47">
        <f>IFERROR(__xludf.DUMMYFUNCTION("to_date(index(sort(GOOGLEFINANCE(A38, ""high"", today()-52*7, today(), ""DAILY""),2,0),2,1))"),45819.64583333333)</f>
        <v>45819.64583</v>
      </c>
      <c r="F38" s="48">
        <f>IFERROR(__xludf.DUMMYFUNCTION("GOOGLEFINANCE(A38,""low52"")"),106.0)</f>
        <v>106</v>
      </c>
      <c r="G38" s="47">
        <f>IFERROR(__xludf.DUMMYFUNCTION("to_date(index(sort(GOOGLEFINANCE(A38, ""low"", today()-52*7, today(), ""DAILY""),2,1),1,1))"),46111.64583333333)</f>
        <v>46111.64583</v>
      </c>
      <c r="H38" s="34">
        <f>IFERROR(__xludf.DUMMYFUNCTION("MIN(QUERY(SORT(GOOGLEFINANCE(A38,""low"",TODAY()-40,TODAY()),1,0),""select Col2 limit 20""))"),119.4)</f>
        <v>119.4</v>
      </c>
      <c r="I38" s="34">
        <f t="shared" si="1"/>
        <v>3.479909022</v>
      </c>
      <c r="J38" s="35" t="str">
        <f t="shared" si="2"/>
        <v>No need to fresh start</v>
      </c>
    </row>
    <row r="39">
      <c r="A39" s="44" t="s">
        <v>77</v>
      </c>
      <c r="B39" s="45">
        <f>IFERROR(__xludf.DUMMYFUNCTION("GOOGLEFINANCE(A39,""price"")"),145.91)</f>
        <v>145.91</v>
      </c>
      <c r="C39" s="31">
        <f>IFERROR(__xludf.DUMMYFUNCTION("MAX(QUERY(SORT(GOOGLEFINANCE(A39,""high"",TODAY()-100,TODAY()),1,0),""select Col2 limit 55""))"),169.03)</f>
        <v>169.03</v>
      </c>
      <c r="D39" s="46">
        <f>IFERROR(__xludf.DUMMYFUNCTION("GOOGLEFINANCE(A39,""high52"")"),178.36)</f>
        <v>178.36</v>
      </c>
      <c r="E39" s="47">
        <f>IFERROR(__xludf.DUMMYFUNCTION("to_date(index(sort(GOOGLEFINANCE(A39, ""high"", today()-52*7, today(), ""DAILY""),2,0),2,1))"),46080.64583333333)</f>
        <v>46080.64583</v>
      </c>
      <c r="F39" s="48">
        <f>IFERROR(__xludf.DUMMYFUNCTION("GOOGLEFINANCE(A39,""low52"")"),108.81)</f>
        <v>108.81</v>
      </c>
      <c r="G39" s="47">
        <f>IFERROR(__xludf.DUMMYFUNCTION("to_date(index(sort(GOOGLEFINANCE(A39, ""low"", today()-52*7, today(), ""DAILY""),2,1),1,1))"),45870.64583333333)</f>
        <v>45870.64583</v>
      </c>
      <c r="H39" s="34">
        <f>IFERROR(__xludf.DUMMYFUNCTION("MIN(QUERY(SORT(GOOGLEFINANCE(A39,""low"",TODAY()-40,TODAY()),1,0),""select Col2 limit 20""))"),136.5)</f>
        <v>136.5</v>
      </c>
      <c r="I39" s="34">
        <f t="shared" si="1"/>
        <v>15.84538414</v>
      </c>
      <c r="J39" s="35" t="str">
        <f t="shared" si="2"/>
        <v>No need to fresh start</v>
      </c>
    </row>
    <row r="40">
      <c r="A40" s="44" t="s">
        <v>78</v>
      </c>
      <c r="B40" s="45">
        <f>IFERROR(__xludf.DUMMYFUNCTION("GOOGLEFINANCE(A40,""price"")"),306.45)</f>
        <v>306.45</v>
      </c>
      <c r="C40" s="31">
        <f>IFERROR(__xludf.DUMMYFUNCTION("MAX(QUERY(SORT(GOOGLEFINANCE(A40,""high"",TODAY()-100,TODAY()),1,0),""select Col2 limit 55""))"),368.75)</f>
        <v>368.75</v>
      </c>
      <c r="D40" s="46">
        <f>IFERROR(__xludf.DUMMYFUNCTION("GOOGLEFINANCE(A40,""high52"")"),368.75)</f>
        <v>368.75</v>
      </c>
      <c r="E40" s="47">
        <f>IFERROR(__xludf.DUMMYFUNCTION("to_date(index(sort(GOOGLEFINANCE(A40, ""high"", today()-52*7, today(), ""DAILY""),2,0),2,1))"),46153.64583333333)</f>
        <v>46153.64583</v>
      </c>
      <c r="F40" s="48">
        <f>IFERROR(__xludf.DUMMYFUNCTION("GOOGLEFINANCE(A40,""low52"")"),195.55)</f>
        <v>195.55</v>
      </c>
      <c r="G40" s="47">
        <f>IFERROR(__xludf.DUMMYFUNCTION("to_date(index(sort(GOOGLEFINANCE(A40, ""low"", today()-52*7, today(), ""DAILY""),2,1),1,1))"),46049.64583333333)</f>
        <v>46049.64583</v>
      </c>
      <c r="H40" s="34">
        <f>IFERROR(__xludf.DUMMYFUNCTION("MIN(QUERY(SORT(GOOGLEFINANCE(A40,""low"",TODAY()-40,TODAY()),1,0),""select Col2 limit 20""))"),288.65)</f>
        <v>288.65</v>
      </c>
      <c r="I40" s="34">
        <f t="shared" si="1"/>
        <v>20.32958068</v>
      </c>
      <c r="J40" s="35" t="str">
        <f t="shared" si="2"/>
        <v>No need to fresh start</v>
      </c>
    </row>
    <row r="41">
      <c r="A41" s="44" t="s">
        <v>79</v>
      </c>
      <c r="B41" s="45">
        <f>IFERROR(__xludf.DUMMYFUNCTION("GOOGLEFINANCE(A41,""price"")"),302.2)</f>
        <v>302.2</v>
      </c>
      <c r="C41" s="31">
        <f>IFERROR(__xludf.DUMMYFUNCTION("MAX(QUERY(SORT(GOOGLEFINANCE(A41,""high"",TODAY()-100,TODAY()),1,0),""select Col2 limit 55""))"),319.9)</f>
        <v>319.9</v>
      </c>
      <c r="D41" s="46">
        <f>IFERROR(__xludf.DUMMYFUNCTION("GOOGLEFINANCE(A41,""high52"")"),372.85)</f>
        <v>372.85</v>
      </c>
      <c r="E41" s="47">
        <f>IFERROR(__xludf.DUMMYFUNCTION("to_date(index(sort(GOOGLEFINANCE(A41, ""high"", today()-52*7, today(), ""DAILY""),2,0),2,1))"),45938.64583333333)</f>
        <v>45938.64583</v>
      </c>
      <c r="F41" s="48">
        <f>IFERROR(__xludf.DUMMYFUNCTION("GOOGLEFINANCE(A41,""low52"")"),237.0)</f>
        <v>237</v>
      </c>
      <c r="G41" s="47">
        <f>IFERROR(__xludf.DUMMYFUNCTION("to_date(index(sort(GOOGLEFINANCE(A41, ""low"", today()-52*7, today(), ""DAILY""),2,1),1,1))"),46111.64583333333)</f>
        <v>46111.64583</v>
      </c>
      <c r="H41" s="34">
        <f>IFERROR(__xludf.DUMMYFUNCTION("MIN(QUERY(SORT(GOOGLEFINANCE(A41,""low"",TODAY()-40,TODAY()),1,0),""select Col2 limit 20""))"),277.5)</f>
        <v>277.5</v>
      </c>
      <c r="I41" s="34">
        <f t="shared" si="1"/>
        <v>5.857048312</v>
      </c>
      <c r="J41" s="35" t="str">
        <f t="shared" si="2"/>
        <v>No need to fresh start</v>
      </c>
    </row>
    <row r="42">
      <c r="A42" s="44" t="s">
        <v>80</v>
      </c>
      <c r="B42" s="45">
        <f>IFERROR(__xludf.DUMMYFUNCTION("GOOGLEFINANCE(A42,""price"")"),168.99)</f>
        <v>168.99</v>
      </c>
      <c r="C42" s="31">
        <f>IFERROR(__xludf.DUMMYFUNCTION("MAX(QUERY(SORT(GOOGLEFINANCE(A42,""high"",TODAY()-100,TODAY()),1,0),""select Col2 limit 55""))"),197.13)</f>
        <v>197.13</v>
      </c>
      <c r="D42" s="46">
        <f>IFERROR(__xludf.DUMMYFUNCTION("GOOGLEFINANCE(A42,""high52"")"),205.49)</f>
        <v>205.49</v>
      </c>
      <c r="E42" s="47">
        <f>IFERROR(__xludf.DUMMYFUNCTION("to_date(index(sort(GOOGLEFINANCE(A42, ""high"", today()-52*7, today(), ""DAILY""),2,0),2,1))"),46080.64583333333)</f>
        <v>46080.64583</v>
      </c>
      <c r="F42" s="48">
        <f>IFERROR(__xludf.DUMMYFUNCTION("GOOGLEFINANCE(A42,""low52"")"),124.64)</f>
        <v>124.64</v>
      </c>
      <c r="G42" s="47">
        <f>IFERROR(__xludf.DUMMYFUNCTION("to_date(index(sort(GOOGLEFINANCE(A42, ""low"", today()-52*7, today(), ""DAILY""),2,1),1,1))"),45898.64583333333)</f>
        <v>45898.64583</v>
      </c>
      <c r="H42" s="34">
        <f>IFERROR(__xludf.DUMMYFUNCTION("MIN(QUERY(SORT(GOOGLEFINANCE(A42,""low"",TODAY()-40,TODAY()),1,0),""select Col2 limit 20""))"),156.21)</f>
        <v>156.21</v>
      </c>
      <c r="I42" s="34">
        <f t="shared" si="1"/>
        <v>16.65187289</v>
      </c>
      <c r="J42" s="35" t="str">
        <f t="shared" si="2"/>
        <v>No need to fresh start</v>
      </c>
    </row>
    <row r="43">
      <c r="A43" s="44" t="s">
        <v>81</v>
      </c>
      <c r="B43" s="45">
        <f>IFERROR(__xludf.DUMMYFUNCTION("GOOGLEFINANCE(A43,""price"")"),350.0)</f>
        <v>350</v>
      </c>
      <c r="C43" s="31">
        <f>IFERROR(__xludf.DUMMYFUNCTION("MAX(QUERY(SORT(GOOGLEFINANCE(A43,""high"",TODAY()-100,TODAY()),1,0),""select Col2 limit 55""))"),387.8)</f>
        <v>387.8</v>
      </c>
      <c r="D43" s="46">
        <f>IFERROR(__xludf.DUMMYFUNCTION("GOOGLEFINANCE(A43,""high52"")"),387.8)</f>
        <v>387.8</v>
      </c>
      <c r="E43" s="47">
        <f>IFERROR(__xludf.DUMMYFUNCTION("to_date(index(sort(GOOGLEFINANCE(A43, ""high"", today()-52*7, today(), ""DAILY""),2,0),2,1))"),46156.64583333333)</f>
        <v>46156.64583</v>
      </c>
      <c r="F43" s="48">
        <f>IFERROR(__xludf.DUMMYFUNCTION("GOOGLEFINANCE(A43,""low52"")"),220.71)</f>
        <v>220.71</v>
      </c>
      <c r="G43" s="47">
        <f>IFERROR(__xludf.DUMMYFUNCTION("to_date(index(sort(GOOGLEFINANCE(A43, ""low"", today()-52*7, today(), ""DAILY""),2,1),1,1))"),45846.64583333333)</f>
        <v>45846.64583</v>
      </c>
      <c r="H43" s="34">
        <f>IFERROR(__xludf.DUMMYFUNCTION("MIN(QUERY(SORT(GOOGLEFINANCE(A43,""low"",TODAY()-40,TODAY()),1,0),""select Col2 limit 20""))"),306.3)</f>
        <v>306.3</v>
      </c>
      <c r="I43" s="34">
        <f t="shared" si="1"/>
        <v>10.8</v>
      </c>
      <c r="J43" s="35" t="str">
        <f t="shared" si="2"/>
        <v>No need to fresh start</v>
      </c>
    </row>
    <row r="44">
      <c r="A44" s="44" t="s">
        <v>82</v>
      </c>
      <c r="B44" s="45">
        <f>IFERROR(__xludf.DUMMYFUNCTION("GOOGLEFINANCE(A44,""price"")"),434.15)</f>
        <v>434.15</v>
      </c>
      <c r="C44" s="31">
        <f>IFERROR(__xludf.DUMMYFUNCTION("MAX(QUERY(SORT(GOOGLEFINANCE(A44,""high"",TODAY()-100,TODAY()),1,0),""select Col2 limit 55""))"),445.15)</f>
        <v>445.15</v>
      </c>
      <c r="D44" s="46">
        <f>IFERROR(__xludf.DUMMYFUNCTION("GOOGLEFINANCE(A44,""high52"")"),445.15)</f>
        <v>445.15</v>
      </c>
      <c r="E44" s="47">
        <f>IFERROR(__xludf.DUMMYFUNCTION("to_date(index(sort(GOOGLEFINANCE(A44, ""high"", today()-52*7, today(), ""DAILY""),2,0),2,1))"),46139.64583333333)</f>
        <v>46139.64583</v>
      </c>
      <c r="F44" s="48">
        <f>IFERROR(__xludf.DUMMYFUNCTION("GOOGLEFINANCE(A44,""low52"")"),176.34)</f>
        <v>176.34</v>
      </c>
      <c r="G44" s="47">
        <f>IFERROR(__xludf.DUMMYFUNCTION("to_date(index(sort(GOOGLEFINANCE(A44, ""low"", today()-52*7, today(), ""DAILY""),2,1),1,1))"),45810.64583333333)</f>
        <v>45810.64583</v>
      </c>
      <c r="H44" s="34">
        <f>IFERROR(__xludf.DUMMYFUNCTION("MIN(QUERY(SORT(GOOGLEFINANCE(A44,""low"",TODAY()-40,TODAY()),1,0),""select Col2 limit 20""))"),388.6)</f>
        <v>388.6</v>
      </c>
      <c r="I44" s="34">
        <f t="shared" si="1"/>
        <v>2.533686514</v>
      </c>
      <c r="J44" s="35" t="str">
        <f t="shared" si="2"/>
        <v>No need to fresh start</v>
      </c>
    </row>
    <row r="45">
      <c r="A45" s="44" t="s">
        <v>83</v>
      </c>
      <c r="B45" s="45">
        <f>IFERROR(__xludf.DUMMYFUNCTION("GOOGLEFINANCE(A45,""price"")"),705.3)</f>
        <v>705.3</v>
      </c>
      <c r="C45" s="31">
        <f>IFERROR(__xludf.DUMMYFUNCTION("MAX(QUERY(SORT(GOOGLEFINANCE(A45,""high"",TODAY()-100,TODAY()),1,0),""select Col2 limit 55""))"),771.9)</f>
        <v>771.9</v>
      </c>
      <c r="D45" s="46">
        <f>IFERROR(__xludf.DUMMYFUNCTION("GOOGLEFINANCE(A45,""high52"")"),771.9)</f>
        <v>771.9</v>
      </c>
      <c r="E45" s="47">
        <f>IFERROR(__xludf.DUMMYFUNCTION("to_date(index(sort(GOOGLEFINANCE(A45, ""high"", today()-52*7, today(), ""DAILY""),2,0),2,1))"),46129.64583333333)</f>
        <v>46129.64583</v>
      </c>
      <c r="F45" s="48">
        <f>IFERROR(__xludf.DUMMYFUNCTION("GOOGLEFINANCE(A45,""low52"")"),351.1)</f>
        <v>351.1</v>
      </c>
      <c r="G45" s="47">
        <f>IFERROR(__xludf.DUMMYFUNCTION("to_date(index(sort(GOOGLEFINANCE(A45, ""low"", today()-52*7, today(), ""DAILY""),2,1),1,1))"),45805.64583333333)</f>
        <v>45805.64583</v>
      </c>
      <c r="H45" s="34">
        <f>IFERROR(__xludf.DUMMYFUNCTION("MIN(QUERY(SORT(GOOGLEFINANCE(A45,""low"",TODAY()-40,TODAY()),1,0),""select Col2 limit 20""))"),625.0)</f>
        <v>625</v>
      </c>
      <c r="I45" s="34">
        <f t="shared" si="1"/>
        <v>9.442790302</v>
      </c>
      <c r="J45" s="35" t="str">
        <f t="shared" si="2"/>
        <v>No need to fresh start</v>
      </c>
    </row>
    <row r="46">
      <c r="A46" s="44" t="s">
        <v>84</v>
      </c>
      <c r="B46" s="45">
        <f>IFERROR(__xludf.DUMMYFUNCTION("GOOGLEFINANCE(A46,""price"")"),143.11)</f>
        <v>143.11</v>
      </c>
      <c r="C46" s="31">
        <f>IFERROR(__xludf.DUMMYFUNCTION("MAX(QUERY(SORT(GOOGLEFINANCE(A46,""high"",TODAY()-100,TODAY()),1,0),""select Col2 limit 55""))"),145.0)</f>
        <v>145</v>
      </c>
      <c r="D46" s="46">
        <f>IFERROR(__xludf.DUMMYFUNCTION("GOOGLEFINANCE(A46,""high52"")"),145.0)</f>
        <v>145</v>
      </c>
      <c r="E46" s="47">
        <f>IFERROR(__xludf.DUMMYFUNCTION("to_date(index(sort(GOOGLEFINANCE(A46, ""high"", today()-52*7, today(), ""DAILY""),2,0),2,1))"),46149.64583333333)</f>
        <v>46149.64583</v>
      </c>
      <c r="F46" s="48">
        <f>IFERROR(__xludf.DUMMYFUNCTION("GOOGLEFINANCE(A46,""low52"")"),97.35)</f>
        <v>97.35</v>
      </c>
      <c r="G46" s="47">
        <f>IFERROR(__xludf.DUMMYFUNCTION("to_date(index(sort(GOOGLEFINANCE(A46, ""low"", today()-52*7, today(), ""DAILY""),2,1),1,1))"),46021.64583333333)</f>
        <v>46021.64583</v>
      </c>
      <c r="H46" s="34">
        <f>IFERROR(__xludf.DUMMYFUNCTION("MIN(QUERY(SORT(GOOGLEFINANCE(A46,""low"",TODAY()-40,TODAY()),1,0),""select Col2 limit 20""))"),125.37)</f>
        <v>125.37</v>
      </c>
      <c r="I46" s="34">
        <f t="shared" si="1"/>
        <v>1.320662428</v>
      </c>
      <c r="J46" s="35" t="str">
        <f t="shared" si="2"/>
        <v>No need to fresh start</v>
      </c>
    </row>
    <row r="47">
      <c r="A47" s="44" t="s">
        <v>85</v>
      </c>
      <c r="B47" s="45">
        <f>IFERROR(__xludf.DUMMYFUNCTION("GOOGLEFINANCE(A47,""price"")"),133.75)</f>
        <v>133.75</v>
      </c>
      <c r="C47" s="31">
        <f>IFERROR(__xludf.DUMMYFUNCTION("MAX(QUERY(SORT(GOOGLEFINANCE(A47,""high"",TODAY()-100,TODAY()),1,0),""select Col2 limit 55""))"),156.25)</f>
        <v>156.25</v>
      </c>
      <c r="D47" s="46">
        <f>IFERROR(__xludf.DUMMYFUNCTION("GOOGLEFINANCE(A47,""high52"")"),162.89)</f>
        <v>162.89</v>
      </c>
      <c r="E47" s="47">
        <f>IFERROR(__xludf.DUMMYFUNCTION("to_date(index(sort(GOOGLEFINANCE(A47, ""high"", today()-52*7, today(), ""DAILY""),2,0),2,1))"),46079.64583333333)</f>
        <v>46079.64583</v>
      </c>
      <c r="F47" s="48">
        <f>IFERROR(__xludf.DUMMYFUNCTION("GOOGLEFINANCE(A47,""low52"")"),103.55)</f>
        <v>103.55</v>
      </c>
      <c r="G47" s="47">
        <f>IFERROR(__xludf.DUMMYFUNCTION("to_date(index(sort(GOOGLEFINANCE(A47, ""low"", today()-52*7, today(), ""DAILY""),2,1),1,1))"),45898.64583333333)</f>
        <v>45898.64583</v>
      </c>
      <c r="H47" s="34">
        <f>IFERROR(__xludf.DUMMYFUNCTION("MIN(QUERY(SORT(GOOGLEFINANCE(A47,""low"",TODAY()-40,TODAY()),1,0),""select Col2 limit 20""))"),123.67)</f>
        <v>123.67</v>
      </c>
      <c r="I47" s="34">
        <f t="shared" si="1"/>
        <v>16.82242991</v>
      </c>
      <c r="J47" s="35" t="str">
        <f t="shared" si="2"/>
        <v>No need to fresh start</v>
      </c>
    </row>
    <row r="48">
      <c r="A48" s="44" t="s">
        <v>86</v>
      </c>
      <c r="B48" s="45">
        <f>IFERROR(__xludf.DUMMYFUNCTION("GOOGLEFINANCE(A48,""price"")"),1838.2)</f>
        <v>1838.2</v>
      </c>
      <c r="C48" s="31">
        <f>IFERROR(__xludf.DUMMYFUNCTION("MAX(QUERY(SORT(GOOGLEFINANCE(A48,""high"",TODAY()-100,TODAY()),1,0),""select Col2 limit 55""))"),2037.1)</f>
        <v>2037.1</v>
      </c>
      <c r="D48" s="46">
        <f>IFERROR(__xludf.DUMMYFUNCTION("GOOGLEFINANCE(A48,""high52"")"),2437.4)</f>
        <v>2437.4</v>
      </c>
      <c r="E48" s="47">
        <f>IFERROR(__xludf.DUMMYFUNCTION("to_date(index(sort(GOOGLEFINANCE(A48, ""high"", today()-52*7, today(), ""DAILY""),2,0),2,1))"),45831.64583333333)</f>
        <v>45831.64583</v>
      </c>
      <c r="F48" s="48">
        <f>IFERROR(__xludf.DUMMYFUNCTION("GOOGLEFINANCE(A48,""low52"")"),1355.0)</f>
        <v>1355</v>
      </c>
      <c r="G48" s="47">
        <f>IFERROR(__xludf.DUMMYFUNCTION("to_date(index(sort(GOOGLEFINANCE(A48, ""low"", today()-52*7, today(), ""DAILY""),2,1),1,1))"),46111.64583333333)</f>
        <v>46111.64583</v>
      </c>
      <c r="H48" s="34">
        <f>IFERROR(__xludf.DUMMYFUNCTION("MIN(QUERY(SORT(GOOGLEFINANCE(A48,""low"",TODAY()-40,TODAY()),1,0),""select Col2 limit 20""))"),1704.1)</f>
        <v>1704.1</v>
      </c>
      <c r="I48" s="34">
        <f t="shared" si="1"/>
        <v>10.82036775</v>
      </c>
      <c r="J48" s="35" t="str">
        <f t="shared" si="2"/>
        <v>Start GTT Order</v>
      </c>
    </row>
    <row r="49">
      <c r="A49" s="44" t="s">
        <v>87</v>
      </c>
      <c r="B49" s="45">
        <f>IFERROR(__xludf.DUMMYFUNCTION("GOOGLEFINANCE(A49,""price"")"),419.85)</f>
        <v>419.85</v>
      </c>
      <c r="C49" s="31">
        <f>IFERROR(__xludf.DUMMYFUNCTION("MAX(QUERY(SORT(GOOGLEFINANCE(A49,""high"",TODAY()-100,TODAY()),1,0),""select Col2 limit 55""))"),420.95)</f>
        <v>420.95</v>
      </c>
      <c r="D49" s="46">
        <f>IFERROR(__xludf.DUMMYFUNCTION("GOOGLEFINANCE(A49,""high52"")"),423.2)</f>
        <v>423.2</v>
      </c>
      <c r="E49" s="47">
        <f>IFERROR(__xludf.DUMMYFUNCTION("to_date(index(sort(GOOGLEFINANCE(A49, ""high"", today()-52*7, today(), ""DAILY""),2,0),2,1))"),46167.64583333333)</f>
        <v>46167.64583</v>
      </c>
      <c r="F49" s="48">
        <f>IFERROR(__xludf.DUMMYFUNCTION("GOOGLEFINANCE(A49,""low52"")"),205.12)</f>
        <v>205.12</v>
      </c>
      <c r="G49" s="47">
        <f>IFERROR(__xludf.DUMMYFUNCTION("to_date(index(sort(GOOGLEFINANCE(A49, ""low"", today()-52*7, today(), ""DAILY""),2,1),1,1))"),45898.64583333333)</f>
        <v>45898.64583</v>
      </c>
      <c r="H49" s="34">
        <f>IFERROR(__xludf.DUMMYFUNCTION("MIN(QUERY(SORT(GOOGLEFINANCE(A49,""low"",TODAY()-40,TODAY()),1,0),""select Col2 limit 20""))"),342.04)</f>
        <v>342.04</v>
      </c>
      <c r="I49" s="34">
        <f t="shared" si="1"/>
        <v>0.2619983327</v>
      </c>
      <c r="J49" s="35" t="str">
        <f t="shared" si="2"/>
        <v>No need to fresh start</v>
      </c>
    </row>
    <row r="50">
      <c r="A50" s="44" t="s">
        <v>88</v>
      </c>
      <c r="B50" s="45">
        <f>IFERROR(__xludf.DUMMYFUNCTION("GOOGLEFINANCE(A50,""price"")"),370.25)</f>
        <v>370.25</v>
      </c>
      <c r="C50" s="31">
        <f>IFERROR(__xludf.DUMMYFUNCTION("MAX(QUERY(SORT(GOOGLEFINANCE(A50,""high"",TODAY()-100,TODAY()),1,0),""select Col2 limit 55""))"),432.0)</f>
        <v>432</v>
      </c>
      <c r="D50" s="46">
        <f>IFERROR(__xludf.DUMMYFUNCTION("GOOGLEFINANCE(A50,""high52"")"),508.7)</f>
        <v>508.7</v>
      </c>
      <c r="E50" s="47">
        <f>IFERROR(__xludf.DUMMYFUNCTION("to_date(index(sort(GOOGLEFINANCE(A50, ""high"", today()-52*7, today(), ""DAILY""),2,0),2,1))"),45841.64583333333)</f>
        <v>45841.64583</v>
      </c>
      <c r="F50" s="48">
        <f>IFERROR(__xludf.DUMMYFUNCTION("GOOGLEFINANCE(A50,""low52"")"),301.5)</f>
        <v>301.5</v>
      </c>
      <c r="G50" s="47">
        <f>IFERROR(__xludf.DUMMYFUNCTION("to_date(index(sort(GOOGLEFINANCE(A50, ""low"", today()-52*7, today(), ""DAILY""),2,1),1,1))"),46114.64583333333)</f>
        <v>46114.64583</v>
      </c>
      <c r="H50" s="34">
        <f>IFERROR(__xludf.DUMMYFUNCTION("MIN(QUERY(SORT(GOOGLEFINANCE(A50,""low"",TODAY()-40,TODAY()),1,0),""select Col2 limit 20""))"),359.5)</f>
        <v>359.5</v>
      </c>
      <c r="I50" s="34">
        <f t="shared" si="1"/>
        <v>16.67792032</v>
      </c>
      <c r="J50" s="35" t="str">
        <f t="shared" si="2"/>
        <v>Start GTT Order</v>
      </c>
    </row>
    <row r="51">
      <c r="A51" s="44" t="s">
        <v>77</v>
      </c>
      <c r="B51" s="45">
        <f>IFERROR(__xludf.DUMMYFUNCTION("GOOGLEFINANCE(A51,""price"")"),145.91)</f>
        <v>145.91</v>
      </c>
      <c r="C51" s="31">
        <f>IFERROR(__xludf.DUMMYFUNCTION("MAX(QUERY(SORT(GOOGLEFINANCE(A51,""high"",TODAY()-100,TODAY()),1,0),""select Col2 limit 55""))"),169.03)</f>
        <v>169.03</v>
      </c>
      <c r="D51" s="46">
        <f>IFERROR(__xludf.DUMMYFUNCTION("GOOGLEFINANCE(A51,""high52"")"),178.36)</f>
        <v>178.36</v>
      </c>
      <c r="E51" s="47">
        <f>IFERROR(__xludf.DUMMYFUNCTION("to_date(index(sort(GOOGLEFINANCE(A51, ""high"", today()-52*7, today(), ""DAILY""),2,0),2,1))"),46080.64583333333)</f>
        <v>46080.64583</v>
      </c>
      <c r="F51" s="48">
        <f>IFERROR(__xludf.DUMMYFUNCTION("GOOGLEFINANCE(A51,""low52"")"),108.81)</f>
        <v>108.81</v>
      </c>
      <c r="G51" s="47">
        <f>IFERROR(__xludf.DUMMYFUNCTION("to_date(index(sort(GOOGLEFINANCE(A51, ""low"", today()-52*7, today(), ""DAILY""),2,1),1,1))"),45870.64583333333)</f>
        <v>45870.64583</v>
      </c>
      <c r="H51" s="34">
        <f>IFERROR(__xludf.DUMMYFUNCTION("MIN(QUERY(SORT(GOOGLEFINANCE(A51,""low"",TODAY()-40,TODAY()),1,0),""select Col2 limit 20""))"),136.5)</f>
        <v>136.5</v>
      </c>
      <c r="I51" s="34">
        <f t="shared" si="1"/>
        <v>15.84538414</v>
      </c>
      <c r="J51" s="35" t="str">
        <f t="shared" si="2"/>
        <v>No need to fresh start</v>
      </c>
    </row>
    <row r="52">
      <c r="A52" s="44" t="s">
        <v>89</v>
      </c>
      <c r="B52" s="45">
        <f>IFERROR(__xludf.DUMMYFUNCTION("GOOGLEFINANCE(A52,""price"")"),92.23)</f>
        <v>92.23</v>
      </c>
      <c r="C52" s="31">
        <f>IFERROR(__xludf.DUMMYFUNCTION("MAX(QUERY(SORT(GOOGLEFINANCE(A52,""high"",TODAY()-100,TODAY()),1,0),""select Col2 limit 55""))"),94.25)</f>
        <v>94.25</v>
      </c>
      <c r="D52" s="46">
        <f>IFERROR(__xludf.DUMMYFUNCTION("GOOGLEFINANCE(A52,""high52"")"),94.25)</f>
        <v>94.25</v>
      </c>
      <c r="E52" s="47">
        <f>IFERROR(__xludf.DUMMYFUNCTION("to_date(index(sort(GOOGLEFINANCE(A52, ""high"", today()-52*7, today(), ""DAILY""),2,0),2,1))"),46157.64583333333)</f>
        <v>46157.64583</v>
      </c>
      <c r="F52" s="48">
        <f>IFERROR(__xludf.DUMMYFUNCTION("GOOGLEFINANCE(A52,""low52"")"),66.8)</f>
        <v>66.8</v>
      </c>
      <c r="G52" s="47">
        <f>IFERROR(__xludf.DUMMYFUNCTION("to_date(index(sort(GOOGLEFINANCE(A52, ""low"", today()-52*7, today(), ""DAILY""),2,1),1,1))"),45827.64583333333)</f>
        <v>45827.64583</v>
      </c>
      <c r="H52" s="34">
        <f>IFERROR(__xludf.DUMMYFUNCTION("MIN(QUERY(SORT(GOOGLEFINANCE(A52,""low"",TODAY()-40,TODAY()),1,0),""select Col2 limit 20""))"),86.38)</f>
        <v>86.38</v>
      </c>
      <c r="I52" s="34">
        <f t="shared" si="1"/>
        <v>2.190176732</v>
      </c>
      <c r="J52" s="35" t="str">
        <f t="shared" si="2"/>
        <v>No need to fresh start</v>
      </c>
    </row>
    <row r="53">
      <c r="A53" s="44" t="s">
        <v>90</v>
      </c>
      <c r="B53" s="45">
        <f>IFERROR(__xludf.DUMMYFUNCTION("GOOGLEFINANCE(A53,""price"")"),25.44)</f>
        <v>25.44</v>
      </c>
      <c r="C53" s="31">
        <f>IFERROR(__xludf.DUMMYFUNCTION("MAX(QUERY(SORT(GOOGLEFINANCE(A53,""high"",TODAY()-100,TODAY()),1,0),""select Col2 limit 55""))"),28.39)</f>
        <v>28.39</v>
      </c>
      <c r="D53" s="46">
        <f>IFERROR(__xludf.DUMMYFUNCTION("GOOGLEFINANCE(A53,""high52"")"),35.08)</f>
        <v>35.08</v>
      </c>
      <c r="E53" s="47">
        <f>IFERROR(__xludf.DUMMYFUNCTION("to_date(index(sort(GOOGLEFINANCE(A53, ""high"", today()-52*7, today(), ""DAILY""),2,0),2,1))"),45810.64583333333)</f>
        <v>45810.64583</v>
      </c>
      <c r="F53" s="48">
        <f>IFERROR(__xludf.DUMMYFUNCTION("GOOGLEFINANCE(A53,""low52"")"),22.22)</f>
        <v>22.22</v>
      </c>
      <c r="G53" s="47">
        <f>IFERROR(__xludf.DUMMYFUNCTION("to_date(index(sort(GOOGLEFINANCE(A53, ""low"", today()-52*7, today(), ""DAILY""),2,1),1,1))"),46111.64583333333)</f>
        <v>46111.64583</v>
      </c>
      <c r="H53" s="34">
        <f>IFERROR(__xludf.DUMMYFUNCTION("MIN(QUERY(SORT(GOOGLEFINANCE(A53,""low"",TODAY()-40,TODAY()),1,0),""select Col2 limit 20""))"),24.39)</f>
        <v>24.39</v>
      </c>
      <c r="I53" s="34">
        <f t="shared" si="1"/>
        <v>11.59591195</v>
      </c>
      <c r="J53" s="35" t="str">
        <f t="shared" si="2"/>
        <v>Start GTT Order</v>
      </c>
    </row>
    <row r="54">
      <c r="A54" s="44" t="s">
        <v>91</v>
      </c>
      <c r="B54" s="45">
        <f>IFERROR(__xludf.DUMMYFUNCTION("GOOGLEFINANCE(A54,""price"")"),306.3)</f>
        <v>306.3</v>
      </c>
      <c r="C54" s="31">
        <f>IFERROR(__xludf.DUMMYFUNCTION("MAX(QUERY(SORT(GOOGLEFINANCE(A54,""high"",TODAY()-100,TODAY()),1,0),""select Col2 limit 55""))"),337.4)</f>
        <v>337.4</v>
      </c>
      <c r="D54" s="46">
        <f>IFERROR(__xludf.DUMMYFUNCTION("GOOGLEFINANCE(A54,""high52"")"),405.6)</f>
        <v>405.6</v>
      </c>
      <c r="E54" s="47">
        <f>IFERROR(__xludf.DUMMYFUNCTION("to_date(index(sort(GOOGLEFINANCE(A54, ""high"", today()-52*7, today(), ""DAILY""),2,0),2,1))"),45818.64583333333)</f>
        <v>45818.64583</v>
      </c>
      <c r="F54" s="48">
        <f>IFERROR(__xludf.DUMMYFUNCTION("GOOGLEFINANCE(A54,""low52"")"),242.35)</f>
        <v>242.35</v>
      </c>
      <c r="G54" s="47">
        <f>IFERROR(__xludf.DUMMYFUNCTION("to_date(index(sort(GOOGLEFINANCE(A54, ""low"", today()-52*7, today(), ""DAILY""),2,1),1,1))"),46098.64583333333)</f>
        <v>46098.64583</v>
      </c>
      <c r="H54" s="34">
        <f>IFERROR(__xludf.DUMMYFUNCTION("MIN(QUERY(SORT(GOOGLEFINANCE(A54,""low"",TODAY()-40,TODAY()),1,0),""select Col2 limit 20""))"),293.15)</f>
        <v>293.15</v>
      </c>
      <c r="I54" s="34">
        <f t="shared" si="1"/>
        <v>10.15344434</v>
      </c>
      <c r="J54" s="35" t="str">
        <f t="shared" si="2"/>
        <v>Start GTT Order</v>
      </c>
    </row>
    <row r="55">
      <c r="A55" s="44" t="s">
        <v>92</v>
      </c>
      <c r="B55" s="45">
        <f>IFERROR(__xludf.DUMMYFUNCTION("GOOGLEFINANCE(A55,""price"")"),447.55)</f>
        <v>447.55</v>
      </c>
      <c r="C55" s="31">
        <f>IFERROR(__xludf.DUMMYFUNCTION("MAX(QUERY(SORT(GOOGLEFINANCE(A55,""high"",TODAY()-100,TODAY()),1,0),""select Col2 limit 55""))"),491.25)</f>
        <v>491.25</v>
      </c>
      <c r="D55" s="46">
        <f>IFERROR(__xludf.DUMMYFUNCTION("GOOGLEFINANCE(A55,""high52"")"),491.25)</f>
        <v>491.25</v>
      </c>
      <c r="E55" s="47">
        <f>IFERROR(__xludf.DUMMYFUNCTION("to_date(index(sort(GOOGLEFINANCE(A55, ""high"", today()-52*7, today(), ""DAILY""),2,0),2,1))"),46142.64583333333)</f>
        <v>46142.64583</v>
      </c>
      <c r="F55" s="48">
        <f>IFERROR(__xludf.DUMMYFUNCTION("GOOGLEFINANCE(A55,""low52"")"),368.65)</f>
        <v>368.65</v>
      </c>
      <c r="G55" s="47">
        <f>IFERROR(__xludf.DUMMYFUNCTION("to_date(index(sort(GOOGLEFINANCE(A55, ""low"", today()-52*7, today(), ""DAILY""),2,1),1,1))"),46129.64583333333)</f>
        <v>46129.64583</v>
      </c>
      <c r="H55" s="34">
        <f>IFERROR(__xludf.DUMMYFUNCTION("MIN(QUERY(SORT(GOOGLEFINANCE(A55,""low"",TODAY()-40,TODAY()),1,0),""select Col2 limit 20""))"),451.45)</f>
        <v>451.45</v>
      </c>
      <c r="I55" s="34">
        <f t="shared" si="1"/>
        <v>9.764272148</v>
      </c>
      <c r="J55" s="35" t="str">
        <f t="shared" si="2"/>
        <v>No need to fresh start</v>
      </c>
    </row>
    <row r="56">
      <c r="A56" s="44" t="s">
        <v>93</v>
      </c>
      <c r="B56" s="45">
        <f>IFERROR(__xludf.DUMMYFUNCTION("GOOGLEFINANCE(A56,""price"")"),79.8)</f>
        <v>79.8</v>
      </c>
      <c r="C56" s="31">
        <f>IFERROR(__xludf.DUMMYFUNCTION("MAX(QUERY(SORT(GOOGLEFINANCE(A56,""high"",TODAY()-100,TODAY()),1,0),""select Col2 limit 55""))"),85.9)</f>
        <v>85.9</v>
      </c>
      <c r="D56" s="46">
        <f>IFERROR(__xludf.DUMMYFUNCTION("GOOGLEFINANCE(A56,""high52"")"),85.9)</f>
        <v>85.9</v>
      </c>
      <c r="E56" s="47">
        <f>IFERROR(__xludf.DUMMYFUNCTION("to_date(index(sort(GOOGLEFINANCE(A56, ""high"", today()-52*7, today(), ""DAILY""),2,0),2,1))"),46149.64583333333)</f>
        <v>46149.64583</v>
      </c>
      <c r="F56" s="48">
        <f>IFERROR(__xludf.DUMMYFUNCTION("GOOGLEFINANCE(A56,""low52"")"),50.55)</f>
        <v>50.55</v>
      </c>
      <c r="G56" s="47">
        <f>IFERROR(__xludf.DUMMYFUNCTION("to_date(index(sort(GOOGLEFINANCE(A56, ""low"", today()-52*7, today(), ""DAILY""),2,1),1,1))"),45807.64583333333)</f>
        <v>45807.64583</v>
      </c>
      <c r="H56" s="34">
        <f>IFERROR(__xludf.DUMMYFUNCTION("MIN(QUERY(SORT(GOOGLEFINANCE(A56,""low"",TODAY()-40,TODAY()),1,0),""select Col2 limit 20""))"),76.2)</f>
        <v>76.2</v>
      </c>
      <c r="I56" s="34">
        <f t="shared" si="1"/>
        <v>7.644110276</v>
      </c>
      <c r="J56" s="35" t="str">
        <f t="shared" si="2"/>
        <v>No need to fresh start</v>
      </c>
    </row>
    <row r="57">
      <c r="A57" s="44" t="s">
        <v>94</v>
      </c>
      <c r="B57" s="45">
        <f>IFERROR(__xludf.DUMMYFUNCTION("GOOGLEFINANCE(A57,""price"")"),205.9)</f>
        <v>205.9</v>
      </c>
      <c r="C57" s="31">
        <f>IFERROR(__xludf.DUMMYFUNCTION("MAX(QUERY(SORT(GOOGLEFINANCE(A57,""high"",TODAY()-100,TODAY()),1,0),""select Col2 limit 55""))"),209.7)</f>
        <v>209.7</v>
      </c>
      <c r="D57" s="46">
        <f>IFERROR(__xludf.DUMMYFUNCTION("GOOGLEFINANCE(A57,""high52"")"),209.7)</f>
        <v>209.7</v>
      </c>
      <c r="E57" s="47">
        <f>IFERROR(__xludf.DUMMYFUNCTION("to_date(index(sort(GOOGLEFINANCE(A57, ""high"", today()-52*7, today(), ""DAILY""),2,0),2,1))"),46156.64583333333)</f>
        <v>46156.64583</v>
      </c>
      <c r="F57" s="48">
        <f>IFERROR(__xludf.DUMMYFUNCTION("GOOGLEFINANCE(A57,""low52"")"),118.1)</f>
        <v>118.1</v>
      </c>
      <c r="G57" s="47">
        <f>IFERROR(__xludf.DUMMYFUNCTION("to_date(index(sort(GOOGLEFINANCE(A57, ""low"", today()-52*7, today(), ""DAILY""),2,1),1,1))"),45897.64583333333)</f>
        <v>45897.64583</v>
      </c>
      <c r="H57" s="34">
        <f>IFERROR(__xludf.DUMMYFUNCTION("MIN(QUERY(SORT(GOOGLEFINANCE(A57,""low"",TODAY()-40,TODAY()),1,0),""select Col2 limit 20""))"),175.16)</f>
        <v>175.16</v>
      </c>
      <c r="I57" s="34">
        <f t="shared" si="1"/>
        <v>1.845556095</v>
      </c>
      <c r="J57" s="35" t="str">
        <f t="shared" si="2"/>
        <v>No need to fresh start</v>
      </c>
    </row>
    <row r="58">
      <c r="A58" s="44" t="s">
        <v>95</v>
      </c>
      <c r="B58" s="45">
        <f>IFERROR(__xludf.DUMMYFUNCTION("GOOGLEFINANCE(A58,""price"")"),33.67)</f>
        <v>33.67</v>
      </c>
      <c r="C58" s="31">
        <f>IFERROR(__xludf.DUMMYFUNCTION("MAX(QUERY(SORT(GOOGLEFINANCE(A58,""high"",TODAY()-100,TODAY()),1,0),""select Col2 limit 55""))"),36.39)</f>
        <v>36.39</v>
      </c>
      <c r="D58" s="46">
        <f>IFERROR(__xludf.DUMMYFUNCTION("GOOGLEFINANCE(A58,""high52"")"),42.8)</f>
        <v>42.8</v>
      </c>
      <c r="E58" s="47">
        <f>IFERROR(__xludf.DUMMYFUNCTION("to_date(index(sort(GOOGLEFINANCE(A58, ""high"", today()-52*7, today(), ""DAILY""),2,0),2,1))"),45811.64583333333)</f>
        <v>45811.64583</v>
      </c>
      <c r="F58" s="48">
        <f>IFERROR(__xludf.DUMMYFUNCTION("GOOGLEFINANCE(A58,""low52"")"),31.2)</f>
        <v>31.2</v>
      </c>
      <c r="G58" s="47">
        <f>IFERROR(__xludf.DUMMYFUNCTION("to_date(index(sort(GOOGLEFINANCE(A58, ""low"", today()-52*7, today(), ""DAILY""),2,1),1,1))"),46111.64583333333)</f>
        <v>46111.64583</v>
      </c>
      <c r="H58" s="34">
        <f>IFERROR(__xludf.DUMMYFUNCTION("MIN(QUERY(SORT(GOOGLEFINANCE(A58,""low"",TODAY()-40,TODAY()),1,0),""select Col2 limit 20""))"),32.94)</f>
        <v>32.94</v>
      </c>
      <c r="I58" s="34">
        <f t="shared" si="1"/>
        <v>8.078408078</v>
      </c>
      <c r="J58" s="35" t="str">
        <f t="shared" si="2"/>
        <v>No need to fresh start</v>
      </c>
    </row>
    <row r="59">
      <c r="A59" s="44" t="s">
        <v>96</v>
      </c>
      <c r="B59" s="45">
        <f>IFERROR(__xludf.DUMMYFUNCTION("GOOGLEFINANCE(A59,""price"")"),271.5)</f>
        <v>271.5</v>
      </c>
      <c r="C59" s="31">
        <f>IFERROR(__xludf.DUMMYFUNCTION("MAX(QUERY(SORT(GOOGLEFINANCE(A59,""high"",TODAY()-100,TODAY()),1,0),""select Col2 limit 55""))"),320.2)</f>
        <v>320.2</v>
      </c>
      <c r="D59" s="46">
        <f>IFERROR(__xludf.DUMMYFUNCTION("GOOGLEFINANCE(A59,""high52"")"),325.5)</f>
        <v>325.5</v>
      </c>
      <c r="E59" s="47">
        <f>IFERROR(__xludf.DUMMYFUNCTION("to_date(index(sort(GOOGLEFINANCE(A59, ""high"", today()-52*7, today(), ""DAILY""),2,0),2,1))"),46079.64583333333)</f>
        <v>46079.64583</v>
      </c>
      <c r="F59" s="48">
        <f>IFERROR(__xludf.DUMMYFUNCTION("GOOGLEFINANCE(A59,""low52"")"),230.52)</f>
        <v>230.52</v>
      </c>
      <c r="G59" s="47">
        <f>IFERROR(__xludf.DUMMYFUNCTION("to_date(index(sort(GOOGLEFINANCE(A59, ""low"", today()-52*7, today(), ""DAILY""),2,1),1,1))"),45827.64583333333)</f>
        <v>45827.64583</v>
      </c>
      <c r="H59" s="34">
        <f>IFERROR(__xludf.DUMMYFUNCTION("MIN(QUERY(SORT(GOOGLEFINANCE(A59,""low"",TODAY()-40,TODAY()),1,0),""select Col2 limit 20""))"),255.3)</f>
        <v>255.3</v>
      </c>
      <c r="I59" s="34">
        <f t="shared" si="1"/>
        <v>17.9373849</v>
      </c>
      <c r="J59" s="35" t="str">
        <f t="shared" si="2"/>
        <v>No need to fresh start</v>
      </c>
    </row>
    <row r="60">
      <c r="A60" s="44" t="s">
        <v>97</v>
      </c>
      <c r="B60" s="45">
        <f>IFERROR(__xludf.DUMMYFUNCTION("GOOGLEFINANCE(A60,""price"")"),106.44)</f>
        <v>106.44</v>
      </c>
      <c r="C60" s="31">
        <f>IFERROR(__xludf.DUMMYFUNCTION("MAX(QUERY(SORT(GOOGLEFINANCE(A60,""high"",TODAY()-100,TODAY()),1,0),""select Col2 limit 55""))"),124.9)</f>
        <v>124.9</v>
      </c>
      <c r="D60" s="46">
        <f>IFERROR(__xludf.DUMMYFUNCTION("GOOGLEFINANCE(A60,""high52"")"),135.15)</f>
        <v>135.15</v>
      </c>
      <c r="E60" s="47">
        <f>IFERROR(__xludf.DUMMYFUNCTION("to_date(index(sort(GOOGLEFINANCE(A60, ""high"", today()-52*7, today(), ""DAILY""),2,0),2,1))"),46041.64583333333)</f>
        <v>46041.64583</v>
      </c>
      <c r="F60" s="48">
        <f>IFERROR(__xludf.DUMMYFUNCTION("GOOGLEFINANCE(A60,""low52"")"),98.5)</f>
        <v>98.5</v>
      </c>
      <c r="G60" s="47">
        <f>IFERROR(__xludf.DUMMYFUNCTION("to_date(index(sort(GOOGLEFINANCE(A60, ""low"", today()-52*7, today(), ""DAILY""),2,1),1,1))"),46160.64583333333)</f>
        <v>46160.64583</v>
      </c>
      <c r="H60" s="34">
        <f>IFERROR(__xludf.DUMMYFUNCTION("MIN(QUERY(SORT(GOOGLEFINANCE(A60,""low"",TODAY()-40,TODAY()),1,0),""select Col2 limit 20""))"),98.5)</f>
        <v>98.5</v>
      </c>
      <c r="I60" s="34">
        <f t="shared" si="1"/>
        <v>17.3431041</v>
      </c>
      <c r="J60" s="35" t="str">
        <f t="shared" si="2"/>
        <v>Start GTT Order</v>
      </c>
    </row>
    <row r="61">
      <c r="A61" s="44" t="s">
        <v>98</v>
      </c>
      <c r="B61" s="45">
        <f>IFERROR(__xludf.DUMMYFUNCTION("GOOGLEFINANCE(A61,""price"")"),486.05)</f>
        <v>486.05</v>
      </c>
      <c r="C61" s="31">
        <f>IFERROR(__xludf.DUMMYFUNCTION("MAX(QUERY(SORT(GOOGLEFINANCE(A61,""high"",TODAY()-100,TODAY()),1,0),""select Col2 limit 55""))"),531.0)</f>
        <v>531</v>
      </c>
      <c r="D61" s="46">
        <f>IFERROR(__xludf.DUMMYFUNCTION("GOOGLEFINANCE(A61,""high52"")"),531.0)</f>
        <v>531</v>
      </c>
      <c r="E61" s="47">
        <f>IFERROR(__xludf.DUMMYFUNCTION("to_date(index(sort(GOOGLEFINANCE(A61, ""high"", today()-52*7, today(), ""DAILY""),2,0),2,1))"),46156.64583333333)</f>
        <v>46156.64583</v>
      </c>
      <c r="F61" s="48">
        <f>IFERROR(__xludf.DUMMYFUNCTION("GOOGLEFINANCE(A61,""low52"")"),384.6)</f>
        <v>384.6</v>
      </c>
      <c r="G61" s="47">
        <f>IFERROR(__xludf.DUMMYFUNCTION("to_date(index(sort(GOOGLEFINANCE(A61, ""low"", today()-52*7, today(), ""DAILY""),2,1),1,1))"),45898.64583333333)</f>
        <v>45898.64583</v>
      </c>
      <c r="H61" s="34">
        <f>IFERROR(__xludf.DUMMYFUNCTION("MIN(QUERY(SORT(GOOGLEFINANCE(A61,""low"",TODAY()-40,TODAY()),1,0),""select Col2 limit 20""))"),448.15)</f>
        <v>448.15</v>
      </c>
      <c r="I61" s="34">
        <f t="shared" si="1"/>
        <v>9.248019751</v>
      </c>
      <c r="J61" s="35" t="str">
        <f t="shared" si="2"/>
        <v>No need to fresh start</v>
      </c>
    </row>
  </sheetData>
  <conditionalFormatting sqref="J2:J61">
    <cfRule type="cellIs" dxfId="0" priority="1" operator="equal">
      <formula>"Update GTT Order"</formula>
    </cfRule>
  </conditionalFormatting>
  <conditionalFormatting sqref="J2:J61">
    <cfRule type="cellIs" dxfId="0" priority="2" operator="equal">
      <formula>"Start GTT Order"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1.13"/>
  </cols>
  <sheetData>
    <row r="1">
      <c r="A1" s="49"/>
      <c r="B1" s="21" t="s">
        <v>17</v>
      </c>
      <c r="C1" s="22" t="s">
        <v>18</v>
      </c>
      <c r="D1" s="40" t="s">
        <v>19</v>
      </c>
      <c r="E1" s="41" t="s">
        <v>20</v>
      </c>
      <c r="F1" s="42" t="s">
        <v>21</v>
      </c>
      <c r="G1" s="42" t="s">
        <v>22</v>
      </c>
      <c r="H1" s="26" t="s">
        <v>23</v>
      </c>
      <c r="I1" s="27" t="s">
        <v>24</v>
      </c>
      <c r="J1" s="27" t="s">
        <v>25</v>
      </c>
    </row>
    <row r="2">
      <c r="A2" s="7" t="s">
        <v>99</v>
      </c>
      <c r="B2" s="30">
        <f>IFERROR(__xludf.DUMMYFUNCTION("GOOGLEFINANCE(A2,""price"")"),129.48)</f>
        <v>129.48</v>
      </c>
      <c r="C2" s="31">
        <f>IFERROR(__xludf.DUMMYFUNCTION("MAX(QUERY(SORT(GOOGLEFINANCE(A2,""high"",TODAY()-100,TODAY()),1,0),""select Col2 limit 55""))"),137.3)</f>
        <v>137.3</v>
      </c>
      <c r="D2" s="46">
        <f>IFERROR(__xludf.DUMMYFUNCTION("GOOGLEFINANCE(A2,""high52"")"),148.14)</f>
        <v>148.14</v>
      </c>
      <c r="E2" s="47">
        <f>IFERROR(__xludf.DUMMYFUNCTION("to_date(index(sort(GOOGLEFINANCE(A2, ""high"", today()-52*7, today(), ""DAILY""),2,0),2,1))"),46051.64583333333)</f>
        <v>46051.64583</v>
      </c>
      <c r="F2" s="48">
        <f>IFERROR(__xludf.DUMMYFUNCTION("GOOGLEFINANCE(A2,""low52"")"),77.38)</f>
        <v>77.38</v>
      </c>
      <c r="G2" s="47">
        <f>IFERROR(__xludf.DUMMYFUNCTION("to_date(index(sort(GOOGLEFINANCE(A2, ""low"", today()-52*7, today(), ""DAILY""),2,1),1,1))"),45807.64583333333)</f>
        <v>45807.64583</v>
      </c>
      <c r="H2" s="34">
        <f>IFERROR(__xludf.DUMMYFUNCTION("MIN(QUERY(SORT(GOOGLEFINANCE(A2,""low"",TODAY()-40,TODAY()),1,0),""select Col2 limit 20""))"),121.4)</f>
        <v>121.4</v>
      </c>
      <c r="I2" s="34">
        <f t="shared" ref="I2:I24" si="1">(C2-B2)*100/B2</f>
        <v>6.039542787</v>
      </c>
      <c r="J2" s="35" t="str">
        <f t="shared" ref="J2:J24" si="2">if(AND(G2&gt;E2,I2&gt;=10,I2&lt;=20),"Start GTT Order","No need to fresh start")</f>
        <v>No need to fresh start</v>
      </c>
    </row>
    <row r="3">
      <c r="A3" s="50" t="s">
        <v>100</v>
      </c>
      <c r="B3" s="30">
        <f>IFERROR(__xludf.DUMMYFUNCTION("GOOGLEFINANCE(A3,""price"")"),103.37)</f>
        <v>103.37</v>
      </c>
      <c r="C3" s="31">
        <f>IFERROR(__xludf.DUMMYFUNCTION("MAX(QUERY(SORT(GOOGLEFINANCE(A3,""high"",TODAY()-100,TODAY()),1,0),""select Col2 limit 55""))"),110.5)</f>
        <v>110.5</v>
      </c>
      <c r="D3" s="46">
        <f>IFERROR(__xludf.DUMMYFUNCTION("GOOGLEFINANCE(A3,""high52"")"),110.5)</f>
        <v>110.5</v>
      </c>
      <c r="E3" s="47">
        <f>IFERROR(__xludf.DUMMYFUNCTION("to_date(index(sort(GOOGLEFINANCE(A3, ""high"", today()-52*7, today(), ""DAILY""),2,0),2,1))"),46146.64583333333)</f>
        <v>46146.64583</v>
      </c>
      <c r="F3" s="48">
        <f>IFERROR(__xludf.DUMMYFUNCTION("GOOGLEFINANCE(A3,""low52"")"),85.67)</f>
        <v>85.67</v>
      </c>
      <c r="G3" s="47">
        <f>IFERROR(__xludf.DUMMYFUNCTION("to_date(index(sort(GOOGLEFINANCE(A3, ""low"", today()-52*7, today(), ""DAILY""),2,1),1,1))"),45898.64583333333)</f>
        <v>45898.64583</v>
      </c>
      <c r="H3" s="34">
        <f>IFERROR(__xludf.DUMMYFUNCTION("MIN(QUERY(SORT(GOOGLEFINANCE(A3,""low"",TODAY()-40,TODAY()),1,0),""select Col2 limit 20""))"),101.85)</f>
        <v>101.85</v>
      </c>
      <c r="I3" s="34">
        <f t="shared" si="1"/>
        <v>6.897552481</v>
      </c>
      <c r="J3" s="35" t="str">
        <f t="shared" si="2"/>
        <v>No need to fresh start</v>
      </c>
    </row>
    <row r="4">
      <c r="A4" s="50" t="s">
        <v>101</v>
      </c>
      <c r="B4" s="30">
        <f>IFERROR(__xludf.DUMMYFUNCTION("GOOGLEFINANCE(A4,""price"")"),271.36)</f>
        <v>271.36</v>
      </c>
      <c r="C4" s="31">
        <f>IFERROR(__xludf.DUMMYFUNCTION("MAX(QUERY(SORT(GOOGLEFINANCE(A4,""high"",TODAY()-100,TODAY()),1,0),""select Col2 limit 55""))"),292.42)</f>
        <v>292.42</v>
      </c>
      <c r="D4" s="46">
        <f>IFERROR(__xludf.DUMMYFUNCTION("GOOGLEFINANCE(A4,""high52"")"),302.25)</f>
        <v>302.25</v>
      </c>
      <c r="E4" s="47">
        <f>IFERROR(__xludf.DUMMYFUNCTION("to_date(index(sort(GOOGLEFINANCE(A4, ""high"", today()-52*7, today(), ""DAILY""),2,0),2,1))"),46000.64583333333)</f>
        <v>46000.64583</v>
      </c>
      <c r="F4" s="48">
        <f>IFERROR(__xludf.DUMMYFUNCTION("GOOGLEFINANCE(A4,""low52"")"),251.7)</f>
        <v>251.7</v>
      </c>
      <c r="G4" s="47">
        <f>IFERROR(__xludf.DUMMYFUNCTION("to_date(index(sort(GOOGLEFINANCE(A4, ""low"", today()-52*7, today(), ""DAILY""),2,1),1,1))"),46114.64583333333)</f>
        <v>46114.64583</v>
      </c>
      <c r="H4" s="34">
        <f>IFERROR(__xludf.DUMMYFUNCTION("MIN(QUERY(SORT(GOOGLEFINANCE(A4,""low"",TODAY()-40,TODAY()),1,0),""select Col2 limit 20""))"),263.53)</f>
        <v>263.53</v>
      </c>
      <c r="I4" s="34">
        <f t="shared" si="1"/>
        <v>7.760908019</v>
      </c>
      <c r="J4" s="35" t="str">
        <f t="shared" si="2"/>
        <v>No need to fresh start</v>
      </c>
    </row>
    <row r="5">
      <c r="A5" s="50" t="s">
        <v>102</v>
      </c>
      <c r="B5" s="30" t="str">
        <f>IFERROR(__xludf.DUMMYFUNCTION("GOOGLEFINANCE(A5,""price"")"),"#N/A")</f>
        <v>#N/A</v>
      </c>
      <c r="C5" s="31" t="str">
        <f>IFERROR(__xludf.DUMMYFUNCTION("MAX(QUERY(SORT(GOOGLEFINANCE(A5,""high"",TODAY()-100,TODAY()),1,0),""select Col2 limit 55""))"),"#N/A")</f>
        <v>#N/A</v>
      </c>
      <c r="D5" s="46" t="str">
        <f>IFERROR(__xludf.DUMMYFUNCTION("GOOGLEFINANCE(A5,""high52"")"),"#N/A")</f>
        <v>#N/A</v>
      </c>
      <c r="E5" s="47" t="str">
        <f>IFERROR(__xludf.DUMMYFUNCTION("to_date(index(sort(GOOGLEFINANCE(A5, ""high"", today()-52*7, today(), ""DAILY""),2,0),2,1))"),"#N/A")</f>
        <v>#N/A</v>
      </c>
      <c r="F5" s="48" t="str">
        <f>IFERROR(__xludf.DUMMYFUNCTION("GOOGLEFINANCE(A5,""low52"")"),"#N/A")</f>
        <v>#N/A</v>
      </c>
      <c r="G5" s="47" t="str">
        <f>IFERROR(__xludf.DUMMYFUNCTION("to_date(index(sort(GOOGLEFINANCE(A5, ""low"", today()-52*7, today(), ""DAILY""),2,1),1,1))"),"#N/A")</f>
        <v>#N/A</v>
      </c>
      <c r="H5" s="34" t="str">
        <f>IFERROR(__xludf.DUMMYFUNCTION("MIN(QUERY(SORT(GOOGLEFINANCE(A5,""low"",TODAY()-40,TODAY()),1,0),""select Col2 limit 20""))"),"#N/A")</f>
        <v>#N/A</v>
      </c>
      <c r="I5" s="34" t="str">
        <f t="shared" si="1"/>
        <v>#N/A</v>
      </c>
      <c r="J5" s="35" t="str">
        <f t="shared" si="2"/>
        <v>#N/A</v>
      </c>
    </row>
    <row r="6">
      <c r="A6" s="50" t="s">
        <v>103</v>
      </c>
      <c r="B6" s="30" t="str">
        <f>IFERROR(__xludf.DUMMYFUNCTION("GOOGLEFINANCE(A6,""price"")"),"#N/A")</f>
        <v>#N/A</v>
      </c>
      <c r="C6" s="31" t="str">
        <f>IFERROR(__xludf.DUMMYFUNCTION("MAX(QUERY(SORT(GOOGLEFINANCE(A6,""high"",TODAY()-100,TODAY()),1,0),""select Col2 limit 55""))"),"#N/A")</f>
        <v>#N/A</v>
      </c>
      <c r="D6" s="46" t="str">
        <f>IFERROR(__xludf.DUMMYFUNCTION("GOOGLEFINANCE(A6,""high52"")"),"#N/A")</f>
        <v>#N/A</v>
      </c>
      <c r="E6" s="47" t="str">
        <f>IFERROR(__xludf.DUMMYFUNCTION("to_date(index(sort(GOOGLEFINANCE(A6, ""high"", today()-52*7, today(), ""DAILY""),2,0),2,1))"),"#N/A")</f>
        <v>#N/A</v>
      </c>
      <c r="F6" s="48" t="str">
        <f>IFERROR(__xludf.DUMMYFUNCTION("GOOGLEFINANCE(A6,""low52"")"),"#N/A")</f>
        <v>#N/A</v>
      </c>
      <c r="G6" s="47" t="str">
        <f>IFERROR(__xludf.DUMMYFUNCTION("to_date(index(sort(GOOGLEFINANCE(A6, ""low"", today()-52*7, today(), ""DAILY""),2,1),1,1))"),"#N/A")</f>
        <v>#N/A</v>
      </c>
      <c r="H6" s="34" t="str">
        <f>IFERROR(__xludf.DUMMYFUNCTION("MIN(QUERY(SORT(GOOGLEFINANCE(A6,""low"",TODAY()-40,TODAY()),1,0),""select Col2 limit 20""))"),"#N/A")</f>
        <v>#N/A</v>
      </c>
      <c r="I6" s="34" t="str">
        <f t="shared" si="1"/>
        <v>#N/A</v>
      </c>
      <c r="J6" s="35" t="str">
        <f t="shared" si="2"/>
        <v>#N/A</v>
      </c>
    </row>
    <row r="7">
      <c r="A7" s="50" t="s">
        <v>104</v>
      </c>
      <c r="B7" s="30">
        <f>IFERROR(__xludf.DUMMYFUNCTION("GOOGLEFINANCE(A7,""price"")"),569.17)</f>
        <v>569.17</v>
      </c>
      <c r="C7" s="31">
        <f>IFERROR(__xludf.DUMMYFUNCTION("MAX(QUERY(SORT(GOOGLEFINANCE(A7,""high"",TODAY()-100,TODAY()),1,0),""select Col2 limit 55""))"),611.75)</f>
        <v>611.75</v>
      </c>
      <c r="D7" s="46">
        <f>IFERROR(__xludf.DUMMYFUNCTION("GOOGLEFINANCE(A7,""high52"")"),638.99)</f>
        <v>638.99</v>
      </c>
      <c r="E7" s="47">
        <f>IFERROR(__xludf.DUMMYFUNCTION("to_date(index(sort(GOOGLEFINANCE(A7, ""high"", today()-52*7, today(), ""DAILY""),2,0),2,1))"),46072.64583333333)</f>
        <v>46072.64583</v>
      </c>
      <c r="F7" s="48">
        <f>IFERROR(__xludf.DUMMYFUNCTION("GOOGLEFINANCE(A7,""low52"")"),515.98)</f>
        <v>515.98</v>
      </c>
      <c r="G7" s="47">
        <f>IFERROR(__xludf.DUMMYFUNCTION("to_date(index(sort(GOOGLEFINANCE(A7, ""low"", today()-52*7, today(), ""DAILY""),2,1),1,1))"),46114.64583333333)</f>
        <v>46114.64583</v>
      </c>
      <c r="H7" s="34">
        <f>IFERROR(__xludf.DUMMYFUNCTION("MIN(QUERY(SORT(GOOGLEFINANCE(A7,""low"",TODAY()-40,TODAY()),1,0),""select Col2 limit 20""))"),545.95)</f>
        <v>545.95</v>
      </c>
      <c r="I7" s="34">
        <f t="shared" si="1"/>
        <v>7.481068925</v>
      </c>
      <c r="J7" s="35" t="str">
        <f t="shared" si="2"/>
        <v>No need to fresh start</v>
      </c>
    </row>
    <row r="8">
      <c r="A8" s="50" t="s">
        <v>105</v>
      </c>
      <c r="B8" s="30">
        <f>IFERROR(__xludf.DUMMYFUNCTION("GOOGLEFINANCE(A8,""price"")"),564.86)</f>
        <v>564.86</v>
      </c>
      <c r="C8" s="31">
        <f>IFERROR(__xludf.DUMMYFUNCTION("MAX(QUERY(SORT(GOOGLEFINANCE(A8,""high"",TODAY()-100,TODAY()),1,0),""select Col2 limit 55""))"),607.02)</f>
        <v>607.02</v>
      </c>
      <c r="D8" s="46">
        <f>IFERROR(__xludf.DUMMYFUNCTION("GOOGLEFINANCE(A8,""high52"")"),646.11)</f>
        <v>646.11</v>
      </c>
      <c r="E8" s="47">
        <f>IFERROR(__xludf.DUMMYFUNCTION("to_date(index(sort(GOOGLEFINANCE(A8, ""high"", today()-52*7, today(), ""DAILY""),2,0),2,1))"),46072.64583333333)</f>
        <v>46072.64583</v>
      </c>
      <c r="F8" s="48">
        <f>IFERROR(__xludf.DUMMYFUNCTION("GOOGLEFINANCE(A8,""low52"")"),465.64)</f>
        <v>465.64</v>
      </c>
      <c r="G8" s="47">
        <f>IFERROR(__xludf.DUMMYFUNCTION("to_date(index(sort(GOOGLEFINANCE(A8, ""low"", today()-52*7, today(), ""DAILY""),2,1),1,1))"),45945.64583333333)</f>
        <v>45945.64583</v>
      </c>
      <c r="H8" s="34">
        <f>IFERROR(__xludf.DUMMYFUNCTION("MIN(QUERY(SORT(GOOGLEFINANCE(A8,""low"",TODAY()-40,TODAY()),1,0),""select Col2 limit 20""))"),541.11)</f>
        <v>541.11</v>
      </c>
      <c r="I8" s="34">
        <f t="shared" si="1"/>
        <v>7.463796339</v>
      </c>
      <c r="J8" s="35" t="str">
        <f t="shared" si="2"/>
        <v>No need to fresh start</v>
      </c>
    </row>
    <row r="9">
      <c r="A9" s="50" t="s">
        <v>106</v>
      </c>
      <c r="B9" s="30">
        <f>IFERROR(__xludf.DUMMYFUNCTION("GOOGLEFINANCE(A9,""price"")"),256.48)</f>
        <v>256.48</v>
      </c>
      <c r="C9" s="31">
        <f>IFERROR(__xludf.DUMMYFUNCTION("MAX(QUERY(SORT(GOOGLEFINANCE(A9,""high"",TODAY()-100,TODAY()),1,0),""select Col2 limit 55""))"),270.01)</f>
        <v>270.01</v>
      </c>
      <c r="D9" s="46">
        <f>IFERROR(__xludf.DUMMYFUNCTION("GOOGLEFINANCE(A9,""high52"")"),287.33)</f>
        <v>287.33</v>
      </c>
      <c r="E9" s="47">
        <f>IFERROR(__xludf.DUMMYFUNCTION("to_date(index(sort(GOOGLEFINANCE(A9, ""high"", today()-52*7, today(), ""DAILY""),2,0),2,1))"),46028.64583333333)</f>
        <v>46028.64583</v>
      </c>
      <c r="F9" s="48">
        <f>IFERROR(__xludf.DUMMYFUNCTION("GOOGLEFINANCE(A9,""low52"")"),237.9)</f>
        <v>237.9</v>
      </c>
      <c r="G9" s="47">
        <f>IFERROR(__xludf.DUMMYFUNCTION("to_date(index(sort(GOOGLEFINANCE(A9, ""low"", today()-52*7, today(), ""DAILY""),2,1),1,1))"),46114.64583333333)</f>
        <v>46114.64583</v>
      </c>
      <c r="H9" s="34">
        <f>IFERROR(__xludf.DUMMYFUNCTION("MIN(QUERY(SORT(GOOGLEFINANCE(A9,""low"",TODAY()-40,TODAY()),1,0),""select Col2 limit 20""))"),248.62)</f>
        <v>248.62</v>
      </c>
      <c r="I9" s="34">
        <f t="shared" si="1"/>
        <v>5.275265128</v>
      </c>
      <c r="J9" s="35" t="str">
        <f t="shared" si="2"/>
        <v>No need to fresh start</v>
      </c>
    </row>
    <row r="10">
      <c r="A10" s="50" t="s">
        <v>107</v>
      </c>
      <c r="B10" s="30">
        <f>IFERROR(__xludf.DUMMYFUNCTION("GOOGLEFINANCE(A10,""price"")"),121.98)</f>
        <v>121.98</v>
      </c>
      <c r="C10" s="31">
        <f>IFERROR(__xludf.DUMMYFUNCTION("MAX(QUERY(SORT(GOOGLEFINANCE(A10,""high"",TODAY()-100,TODAY()),1,0),""select Col2 limit 55""))"),131.0)</f>
        <v>131</v>
      </c>
      <c r="D10" s="46">
        <f>IFERROR(__xludf.DUMMYFUNCTION("GOOGLEFINANCE(A10,""high52"")"),131.0)</f>
        <v>131</v>
      </c>
      <c r="E10" s="47">
        <f>IFERROR(__xludf.DUMMYFUNCTION("to_date(index(sort(GOOGLEFINANCE(A10, ""high"", today()-52*7, today(), ""DAILY""),2,0),2,1))"),46083.64583333333)</f>
        <v>46083.64583</v>
      </c>
      <c r="F10" s="48">
        <f>IFERROR(__xludf.DUMMYFUNCTION("GOOGLEFINANCE(A10,""low52"")"),103.6)</f>
        <v>103.6</v>
      </c>
      <c r="G10" s="47">
        <f>IFERROR(__xludf.DUMMYFUNCTION("to_date(index(sort(GOOGLEFINANCE(A10, ""low"", today()-52*7, today(), ""DAILY""),2,1),1,1))"),45898.64583333333)</f>
        <v>45898.64583</v>
      </c>
      <c r="H10" s="34">
        <f>IFERROR(__xludf.DUMMYFUNCTION("MIN(QUERY(SORT(GOOGLEFINANCE(A10,""low"",TODAY()-40,TODAY()),1,0),""select Col2 limit 20""))"),119.0)</f>
        <v>119</v>
      </c>
      <c r="I10" s="34">
        <f t="shared" si="1"/>
        <v>7.394654861</v>
      </c>
      <c r="J10" s="35" t="str">
        <f t="shared" si="2"/>
        <v>No need to fresh start</v>
      </c>
    </row>
    <row r="11">
      <c r="A11" s="50" t="s">
        <v>108</v>
      </c>
      <c r="B11" s="30">
        <f>IFERROR(__xludf.DUMMYFUNCTION("GOOGLEFINANCE(A11,""price"")"),92.03)</f>
        <v>92.03</v>
      </c>
      <c r="C11" s="31">
        <f>IFERROR(__xludf.DUMMYFUNCTION("MAX(QUERY(SORT(GOOGLEFINANCE(A11,""high"",TODAY()-100,TODAY()),1,0),""select Col2 limit 55""))"),107.1)</f>
        <v>107.1</v>
      </c>
      <c r="D11" s="46">
        <f>IFERROR(__xludf.DUMMYFUNCTION("GOOGLEFINANCE(A11,""high52"")"),110.4)</f>
        <v>110.4</v>
      </c>
      <c r="E11" s="47">
        <f>IFERROR(__xludf.DUMMYFUNCTION("to_date(index(sort(GOOGLEFINANCE(A11, ""high"", today()-52*7, today(), ""DAILY""),2,0),2,1))"),46078.64583333333)</f>
        <v>46078.64583</v>
      </c>
      <c r="F11" s="48">
        <f>IFERROR(__xludf.DUMMYFUNCTION("GOOGLEFINANCE(A11,""low52"")"),73.82)</f>
        <v>73.82</v>
      </c>
      <c r="G11" s="47">
        <f>IFERROR(__xludf.DUMMYFUNCTION("to_date(index(sort(GOOGLEFINANCE(A11, ""low"", today()-52*7, today(), ""DAILY""),2,1),1,1))"),45873.64583333333)</f>
        <v>45873.64583</v>
      </c>
      <c r="H11" s="34">
        <f>IFERROR(__xludf.DUMMYFUNCTION("MIN(QUERY(SORT(GOOGLEFINANCE(A11,""low"",TODAY()-40,TODAY()),1,0),""select Col2 limit 20""))"),86.7)</f>
        <v>86.7</v>
      </c>
      <c r="I11" s="34">
        <f t="shared" si="1"/>
        <v>16.37509508</v>
      </c>
      <c r="J11" s="35" t="str">
        <f t="shared" si="2"/>
        <v>No need to fresh start</v>
      </c>
    </row>
    <row r="12">
      <c r="A12" s="50" t="s">
        <v>109</v>
      </c>
      <c r="B12" s="30" t="str">
        <f>IFERROR(__xludf.DUMMYFUNCTION("GOOGLEFINANCE(A12,""price"")"),"#N/A")</f>
        <v>#N/A</v>
      </c>
      <c r="C12" s="31" t="str">
        <f>IFERROR(__xludf.DUMMYFUNCTION("MAX(QUERY(SORT(GOOGLEFINANCE(A12,""high"",TODAY()-100,TODAY()),1,0),""select Col2 limit 55""))"),"#N/A")</f>
        <v>#N/A</v>
      </c>
      <c r="D12" s="46" t="str">
        <f>IFERROR(__xludf.DUMMYFUNCTION("GOOGLEFINANCE(A12,""high52"")"),"#N/A")</f>
        <v>#N/A</v>
      </c>
      <c r="E12" s="47" t="str">
        <f>IFERROR(__xludf.DUMMYFUNCTION("to_date(index(sort(GOOGLEFINANCE(A12, ""high"", today()-52*7, today(), ""DAILY""),2,0),2,1))"),"#N/A")</f>
        <v>#N/A</v>
      </c>
      <c r="F12" s="48" t="str">
        <f>IFERROR(__xludf.DUMMYFUNCTION("GOOGLEFINANCE(A12,""low52"")"),"#N/A")</f>
        <v>#N/A</v>
      </c>
      <c r="G12" s="47" t="str">
        <f>IFERROR(__xludf.DUMMYFUNCTION("to_date(index(sort(GOOGLEFINANCE(A12, ""low"", today()-52*7, today(), ""DAILY""),2,1),1,1))"),"#N/A")</f>
        <v>#N/A</v>
      </c>
      <c r="H12" s="34" t="str">
        <f>IFERROR(__xludf.DUMMYFUNCTION("MIN(QUERY(SORT(GOOGLEFINANCE(A12,""low"",TODAY()-40,TODAY()),1,0),""select Col2 limit 20""))"),"#N/A")</f>
        <v>#N/A</v>
      </c>
      <c r="I12" s="34" t="str">
        <f t="shared" si="1"/>
        <v>#N/A</v>
      </c>
      <c r="J12" s="35" t="str">
        <f t="shared" si="2"/>
        <v>#N/A</v>
      </c>
    </row>
    <row r="13">
      <c r="A13" s="51" t="s">
        <v>110</v>
      </c>
      <c r="B13" s="30">
        <f>IFERROR(__xludf.DUMMYFUNCTION("GOOGLEFINANCE(A13,""price"")"),328.74)</f>
        <v>328.74</v>
      </c>
      <c r="C13" s="31">
        <f>IFERROR(__xludf.DUMMYFUNCTION("MAX(QUERY(SORT(GOOGLEFINANCE(A13,""high"",TODAY()-100,TODAY()),1,0),""select Col2 limit 55""))"),332.13)</f>
        <v>332.13</v>
      </c>
      <c r="D13" s="46">
        <f>IFERROR(__xludf.DUMMYFUNCTION("GOOGLEFINANCE(A13,""high52"")"),332.13)</f>
        <v>332.13</v>
      </c>
      <c r="E13" s="47">
        <f>IFERROR(__xludf.DUMMYFUNCTION("to_date(index(sort(GOOGLEFINANCE(A13, ""high"", today()-52*7, today(), ""DAILY""),2,0),2,1))"),46164.64583333333)</f>
        <v>46164.64583</v>
      </c>
      <c r="F13" s="48">
        <f>IFERROR(__xludf.DUMMYFUNCTION("GOOGLEFINANCE(A13,""low52"")"),176.11)</f>
        <v>176.11</v>
      </c>
      <c r="G13" s="47">
        <f>IFERROR(__xludf.DUMMYFUNCTION("to_date(index(sort(GOOGLEFINANCE(A13, ""low"", today()-52*7, today(), ""DAILY""),2,1),1,1))"),45805.64583333333)</f>
        <v>45805.64583</v>
      </c>
      <c r="H13" s="34">
        <f>IFERROR(__xludf.DUMMYFUNCTION("MIN(QUERY(SORT(GOOGLEFINANCE(A13,""low"",TODAY()-40,TODAY()),1,0),""select Col2 limit 20""))"),297.02)</f>
        <v>297.02</v>
      </c>
      <c r="I13" s="34">
        <f t="shared" si="1"/>
        <v>1.031210075</v>
      </c>
      <c r="J13" s="35" t="str">
        <f t="shared" si="2"/>
        <v>No need to fresh start</v>
      </c>
    </row>
    <row r="14">
      <c r="A14" s="50" t="s">
        <v>111</v>
      </c>
      <c r="B14" s="30" t="str">
        <f>IFERROR(__xludf.DUMMYFUNCTION("GOOGLEFINANCE(A14,""price"")"),"#N/A")</f>
        <v>#N/A</v>
      </c>
      <c r="C14" s="31" t="str">
        <f>IFERROR(__xludf.DUMMYFUNCTION("MAX(QUERY(SORT(GOOGLEFINANCE(A14,""high"",TODAY()-100,TODAY()),1,0),""select Col2 limit 55""))"),"#N/A")</f>
        <v>#N/A</v>
      </c>
      <c r="D14" s="46" t="str">
        <f>IFERROR(__xludf.DUMMYFUNCTION("GOOGLEFINANCE(A14,""high52"")"),"#N/A")</f>
        <v>#N/A</v>
      </c>
      <c r="E14" s="47" t="str">
        <f>IFERROR(__xludf.DUMMYFUNCTION("to_date(index(sort(GOOGLEFINANCE(A14, ""high"", today()-52*7, today(), ""DAILY""),2,0),2,1))"),"#N/A")</f>
        <v>#N/A</v>
      </c>
      <c r="F14" s="48" t="str">
        <f>IFERROR(__xludf.DUMMYFUNCTION("GOOGLEFINANCE(A14,""low52"")"),"#N/A")</f>
        <v>#N/A</v>
      </c>
      <c r="G14" s="47" t="str">
        <f>IFERROR(__xludf.DUMMYFUNCTION("to_date(index(sort(GOOGLEFINANCE(A14, ""low"", today()-52*7, today(), ""DAILY""),2,1),1,1))"),"#N/A")</f>
        <v>#N/A</v>
      </c>
      <c r="H14" s="34" t="str">
        <f>IFERROR(__xludf.DUMMYFUNCTION("MIN(QUERY(SORT(GOOGLEFINANCE(A14,""low"",TODAY()-40,TODAY()),1,0),""select Col2 limit 20""))"),"#N/A")</f>
        <v>#N/A</v>
      </c>
      <c r="I14" s="34" t="str">
        <f t="shared" si="1"/>
        <v>#N/A</v>
      </c>
      <c r="J14" s="35" t="str">
        <f t="shared" si="2"/>
        <v>#N/A</v>
      </c>
    </row>
    <row r="15">
      <c r="A15" s="50" t="s">
        <v>112</v>
      </c>
      <c r="B15" s="30" t="str">
        <f>IFERROR(__xludf.DUMMYFUNCTION("GOOGLEFINANCE(A15,""price"")"),"#N/A")</f>
        <v>#N/A</v>
      </c>
      <c r="C15" s="31" t="str">
        <f>IFERROR(__xludf.DUMMYFUNCTION("MAX(QUERY(SORT(GOOGLEFINANCE(A15,""high"",TODAY()-100,TODAY()),1,0),""select Col2 limit 55""))"),"#N/A")</f>
        <v>#N/A</v>
      </c>
      <c r="D15" s="46" t="str">
        <f>IFERROR(__xludf.DUMMYFUNCTION("GOOGLEFINANCE(A15,""high52"")"),"#N/A")</f>
        <v>#N/A</v>
      </c>
      <c r="E15" s="47" t="str">
        <f>IFERROR(__xludf.DUMMYFUNCTION("to_date(index(sort(GOOGLEFINANCE(A15, ""high"", today()-52*7, today(), ""DAILY""),2,0),2,1))"),"#N/A")</f>
        <v>#N/A</v>
      </c>
      <c r="F15" s="48" t="str">
        <f>IFERROR(__xludf.DUMMYFUNCTION("GOOGLEFINANCE(A15,""low52"")"),"#N/A")</f>
        <v>#N/A</v>
      </c>
      <c r="G15" s="47" t="str">
        <f>IFERROR(__xludf.DUMMYFUNCTION("to_date(index(sort(GOOGLEFINANCE(A15, ""low"", today()-52*7, today(), ""DAILY""),2,1),1,1))"),"#N/A")</f>
        <v>#N/A</v>
      </c>
      <c r="H15" s="34" t="str">
        <f>IFERROR(__xludf.DUMMYFUNCTION("MIN(QUERY(SORT(GOOGLEFINANCE(A15,""low"",TODAY()-40,TODAY()),1,0),""select Col2 limit 20""))"),"#N/A")</f>
        <v>#N/A</v>
      </c>
      <c r="I15" s="34" t="str">
        <f t="shared" si="1"/>
        <v>#N/A</v>
      </c>
      <c r="J15" s="35" t="str">
        <f t="shared" si="2"/>
        <v>#N/A</v>
      </c>
    </row>
    <row r="16">
      <c r="A16" s="51" t="s">
        <v>113</v>
      </c>
      <c r="B16" s="30">
        <f>IFERROR(__xludf.DUMMYFUNCTION("GOOGLEFINANCE(A16,""price"")"),67.35)</f>
        <v>67.35</v>
      </c>
      <c r="C16" s="31">
        <f>IFERROR(__xludf.DUMMYFUNCTION("MAX(QUERY(SORT(GOOGLEFINANCE(A16,""high"",TODAY()-100,TODAY()),1,0),""select Col2 limit 55""))"),69.2)</f>
        <v>69.2</v>
      </c>
      <c r="D16" s="46">
        <f>IFERROR(__xludf.DUMMYFUNCTION("GOOGLEFINANCE(A16,""high52"")"),69.2)</f>
        <v>69.2</v>
      </c>
      <c r="E16" s="47">
        <f>IFERROR(__xludf.DUMMYFUNCTION("to_date(index(sort(GOOGLEFINANCE(A16, ""high"", today()-52*7, today(), ""DAILY""),2,0),2,1))"),46090.64583333333)</f>
        <v>46090.64583</v>
      </c>
      <c r="F16" s="48">
        <f>IFERROR(__xludf.DUMMYFUNCTION("GOOGLEFINANCE(A16,""low52"")"),56.15)</f>
        <v>56.15</v>
      </c>
      <c r="G16" s="47">
        <f>IFERROR(__xludf.DUMMYFUNCTION("to_date(index(sort(GOOGLEFINANCE(A16, ""low"", today()-52*7, today(), ""DAILY""),2,1),1,1))"),46114.64583333333)</f>
        <v>46114.64583</v>
      </c>
      <c r="H16" s="34">
        <f>IFERROR(__xludf.DUMMYFUNCTION("MIN(QUERY(SORT(GOOGLEFINANCE(A16,""low"",TODAY()-40,TODAY()),1,0),""select Col2 limit 20""))"),63.8)</f>
        <v>63.8</v>
      </c>
      <c r="I16" s="34">
        <f t="shared" si="1"/>
        <v>2.74684484</v>
      </c>
      <c r="J16" s="35" t="str">
        <f t="shared" si="2"/>
        <v>No need to fresh start</v>
      </c>
    </row>
    <row r="17">
      <c r="A17" s="50" t="s">
        <v>114</v>
      </c>
      <c r="B17" s="30" t="str">
        <f>IFERROR(__xludf.DUMMYFUNCTION("GOOGLEFINANCE(A17,""price"")"),"#N/A")</f>
        <v>#N/A</v>
      </c>
      <c r="C17" s="31" t="str">
        <f>IFERROR(__xludf.DUMMYFUNCTION("MAX(QUERY(SORT(GOOGLEFINANCE(A17,""high"",TODAY()-100,TODAY()),1,0),""select Col2 limit 55""))"),"#N/A")</f>
        <v>#N/A</v>
      </c>
      <c r="D17" s="46" t="str">
        <f>IFERROR(__xludf.DUMMYFUNCTION("GOOGLEFINANCE(A17,""high52"")"),"#N/A")</f>
        <v>#N/A</v>
      </c>
      <c r="E17" s="47" t="str">
        <f>IFERROR(__xludf.DUMMYFUNCTION("to_date(index(sort(GOOGLEFINANCE(A17, ""high"", today()-52*7, today(), ""DAILY""),2,0),2,1))"),"#N/A")</f>
        <v>#N/A</v>
      </c>
      <c r="F17" s="48" t="str">
        <f>IFERROR(__xludf.DUMMYFUNCTION("GOOGLEFINANCE(A17,""low52"")"),"#N/A")</f>
        <v>#N/A</v>
      </c>
      <c r="G17" s="47" t="str">
        <f>IFERROR(__xludf.DUMMYFUNCTION("to_date(index(sort(GOOGLEFINANCE(A17, ""low"", today()-52*7, today(), ""DAILY""),2,1),1,1))"),"#N/A")</f>
        <v>#N/A</v>
      </c>
      <c r="H17" s="34" t="str">
        <f>IFERROR(__xludf.DUMMYFUNCTION("MIN(QUERY(SORT(GOOGLEFINANCE(A17,""low"",TODAY()-40,TODAY()),1,0),""select Col2 limit 20""))"),"#N/A")</f>
        <v>#N/A</v>
      </c>
      <c r="I17" s="34" t="str">
        <f t="shared" si="1"/>
        <v>#N/A</v>
      </c>
      <c r="J17" s="35" t="str">
        <f t="shared" si="2"/>
        <v>#N/A</v>
      </c>
    </row>
    <row r="18">
      <c r="A18" s="50" t="s">
        <v>115</v>
      </c>
      <c r="B18" s="30">
        <f>IFERROR(__xludf.DUMMYFUNCTION("GOOGLEFINANCE(A18,""price"")"),130.5)</f>
        <v>130.5</v>
      </c>
      <c r="C18" s="31">
        <f>IFERROR(__xludf.DUMMYFUNCTION("MAX(QUERY(SORT(GOOGLEFINANCE(A18,""high"",TODAY()-100,TODAY()),1,0),""select Col2 limit 55""))"),144.29)</f>
        <v>144.29</v>
      </c>
      <c r="D18" s="46">
        <f>IFERROR(__xludf.DUMMYFUNCTION("GOOGLEFINANCE(A18,""high52"")"),150.0)</f>
        <v>150</v>
      </c>
      <c r="E18" s="47">
        <f>IFERROR(__xludf.DUMMYFUNCTION("to_date(index(sort(GOOGLEFINANCE(A18, ""high"", today()-52*7, today(), ""DAILY""),2,0),2,1))"),46051.64583333333)</f>
        <v>46051.64583</v>
      </c>
      <c r="F18" s="48">
        <f>IFERROR(__xludf.DUMMYFUNCTION("GOOGLEFINANCE(A18,""low52"")"),79.0)</f>
        <v>79</v>
      </c>
      <c r="G18" s="47">
        <f>IFERROR(__xludf.DUMMYFUNCTION("to_date(index(sort(GOOGLEFINANCE(A18, ""low"", today()-52*7, today(), ""DAILY""),2,1),1,1))"),45817.64583333333)</f>
        <v>45817.64583</v>
      </c>
      <c r="H18" s="34">
        <f>IFERROR(__xludf.DUMMYFUNCTION("MIN(QUERY(SORT(GOOGLEFINANCE(A18,""low"",TODAY()-40,TODAY()),1,0),""select Col2 limit 20""))"),119.34)</f>
        <v>119.34</v>
      </c>
      <c r="I18" s="34">
        <f t="shared" si="1"/>
        <v>10.56704981</v>
      </c>
      <c r="J18" s="35" t="str">
        <f t="shared" si="2"/>
        <v>No need to fresh start</v>
      </c>
    </row>
    <row r="19">
      <c r="A19" s="50" t="s">
        <v>116</v>
      </c>
      <c r="B19" s="30">
        <f>IFERROR(__xludf.DUMMYFUNCTION("GOOGLEFINANCE(A19,""price"")"),770.1)</f>
        <v>770.1</v>
      </c>
      <c r="C19" s="31">
        <f>IFERROR(__xludf.DUMMYFUNCTION("MAX(QUERY(SORT(GOOGLEFINANCE(A19,""high"",TODAY()-100,TODAY()),1,0),""select Col2 limit 55""))"),777.3)</f>
        <v>777.3</v>
      </c>
      <c r="D19" s="46">
        <f>IFERROR(__xludf.DUMMYFUNCTION("GOOGLEFINANCE(A19,""high52"")"),777.3)</f>
        <v>777.3</v>
      </c>
      <c r="E19" s="47">
        <f>IFERROR(__xludf.DUMMYFUNCTION("to_date(index(sort(GOOGLEFINANCE(A19, ""high"", today()-52*7, today(), ""DAILY""),2,0),2,1))"),46149.64583333333)</f>
        <v>46149.64583</v>
      </c>
      <c r="F19" s="48">
        <f>IFERROR(__xludf.DUMMYFUNCTION("GOOGLEFINANCE(A19,""low52"")"),632.34)</f>
        <v>632.34</v>
      </c>
      <c r="G19" s="47">
        <f>IFERROR(__xludf.DUMMYFUNCTION("to_date(index(sort(GOOGLEFINANCE(A19, ""low"", today()-52*7, today(), ""DAILY""),2,1),1,1))"),46113.64583333333)</f>
        <v>46113.64583</v>
      </c>
      <c r="H19" s="34">
        <f>IFERROR(__xludf.DUMMYFUNCTION("MIN(QUERY(SORT(GOOGLEFINANCE(A19,""low"",TODAY()-40,TODAY()),1,0),""select Col2 limit 20""))"),728.65)</f>
        <v>728.65</v>
      </c>
      <c r="I19" s="34">
        <f t="shared" si="1"/>
        <v>0.9349435138</v>
      </c>
      <c r="J19" s="35" t="str">
        <f t="shared" si="2"/>
        <v>No need to fresh start</v>
      </c>
    </row>
    <row r="20">
      <c r="A20" s="50" t="s">
        <v>117</v>
      </c>
      <c r="B20" s="30" t="str">
        <f>IFERROR(__xludf.DUMMYFUNCTION("GOOGLEFINANCE(A20,""price"")"),"#N/A")</f>
        <v>#N/A</v>
      </c>
      <c r="C20" s="31" t="str">
        <f>IFERROR(__xludf.DUMMYFUNCTION("MAX(QUERY(SORT(GOOGLEFINANCE(A20,""high"",TODAY()-100,TODAY()),1,0),""select Col2 limit 55""))"),"#N/A")</f>
        <v>#N/A</v>
      </c>
      <c r="D20" s="46" t="str">
        <f>IFERROR(__xludf.DUMMYFUNCTION("GOOGLEFINANCE(A20,""high52"")"),"#N/A")</f>
        <v>#N/A</v>
      </c>
      <c r="E20" s="47" t="str">
        <f>IFERROR(__xludf.DUMMYFUNCTION("to_date(index(sort(GOOGLEFINANCE(A20, ""high"", today()-52*7, today(), ""DAILY""),2,0),2,1))"),"#N/A")</f>
        <v>#N/A</v>
      </c>
      <c r="F20" s="48" t="str">
        <f>IFERROR(__xludf.DUMMYFUNCTION("GOOGLEFINANCE(A20,""low52"")"),"#N/A")</f>
        <v>#N/A</v>
      </c>
      <c r="G20" s="47" t="str">
        <f>IFERROR(__xludf.DUMMYFUNCTION("to_date(index(sort(GOOGLEFINANCE(A20, ""low"", today()-52*7, today(), ""DAILY""),2,1),1,1))"),"#N/A")</f>
        <v>#N/A</v>
      </c>
      <c r="H20" s="34" t="str">
        <f>IFERROR(__xludf.DUMMYFUNCTION("MIN(QUERY(SORT(GOOGLEFINANCE(A20,""low"",TODAY()-40,TODAY()),1,0),""select Col2 limit 20""))"),"#N/A")</f>
        <v>#N/A</v>
      </c>
      <c r="I20" s="34" t="str">
        <f t="shared" si="1"/>
        <v>#N/A</v>
      </c>
      <c r="J20" s="35" t="str">
        <f t="shared" si="2"/>
        <v>#N/A</v>
      </c>
    </row>
    <row r="21">
      <c r="A21" s="50" t="s">
        <v>118</v>
      </c>
      <c r="B21" s="30" t="str">
        <f>IFERROR(__xludf.DUMMYFUNCTION("GOOGLEFINANCE(A21,""price"")"),"#N/A")</f>
        <v>#N/A</v>
      </c>
      <c r="C21" s="31" t="str">
        <f>IFERROR(__xludf.DUMMYFUNCTION("MAX(QUERY(SORT(GOOGLEFINANCE(A21,""high"",TODAY()-100,TODAY()),1,0),""select Col2 limit 55""))"),"#N/A")</f>
        <v>#N/A</v>
      </c>
      <c r="D21" s="46" t="str">
        <f>IFERROR(__xludf.DUMMYFUNCTION("GOOGLEFINANCE(A21,""high52"")"),"#N/A")</f>
        <v>#N/A</v>
      </c>
      <c r="E21" s="47" t="str">
        <f>IFERROR(__xludf.DUMMYFUNCTION("to_date(index(sort(GOOGLEFINANCE(A21, ""high"", today()-52*7, today(), ""DAILY""),2,0),2,1))"),"#N/A")</f>
        <v>#N/A</v>
      </c>
      <c r="F21" s="48" t="str">
        <f>IFERROR(__xludf.DUMMYFUNCTION("GOOGLEFINANCE(A21,""low52"")"),"#N/A")</f>
        <v>#N/A</v>
      </c>
      <c r="G21" s="47" t="str">
        <f>IFERROR(__xludf.DUMMYFUNCTION("to_date(index(sort(GOOGLEFINANCE(A21, ""low"", today()-52*7, today(), ""DAILY""),2,1),1,1))"),"#N/A")</f>
        <v>#N/A</v>
      </c>
      <c r="H21" s="34" t="str">
        <f>IFERROR(__xludf.DUMMYFUNCTION("MIN(QUERY(SORT(GOOGLEFINANCE(A21,""low"",TODAY()-40,TODAY()),1,0),""select Col2 limit 20""))"),"#N/A")</f>
        <v>#N/A</v>
      </c>
      <c r="I21" s="34" t="str">
        <f t="shared" si="1"/>
        <v>#N/A</v>
      </c>
      <c r="J21" s="35" t="str">
        <f t="shared" si="2"/>
        <v>#N/A</v>
      </c>
    </row>
    <row r="22">
      <c r="A22" s="50" t="s">
        <v>119</v>
      </c>
      <c r="B22" s="30" t="str">
        <f>IFERROR(__xludf.DUMMYFUNCTION("GOOGLEFINANCE(A22,""price"")"),"#N/A")</f>
        <v>#N/A</v>
      </c>
      <c r="C22" s="31" t="str">
        <f>IFERROR(__xludf.DUMMYFUNCTION("MAX(QUERY(SORT(GOOGLEFINANCE(A22,""high"",TODAY()-100,TODAY()),1,0),""select Col2 limit 55""))"),"#N/A")</f>
        <v>#N/A</v>
      </c>
      <c r="D22" s="46" t="str">
        <f>IFERROR(__xludf.DUMMYFUNCTION("GOOGLEFINANCE(A22,""high52"")"),"#N/A")</f>
        <v>#N/A</v>
      </c>
      <c r="E22" s="47" t="str">
        <f>IFERROR(__xludf.DUMMYFUNCTION("to_date(index(sort(GOOGLEFINANCE(A22, ""high"", today()-52*7, today(), ""DAILY""),2,0),2,1))"),"#N/A")</f>
        <v>#N/A</v>
      </c>
      <c r="F22" s="48" t="str">
        <f>IFERROR(__xludf.DUMMYFUNCTION("GOOGLEFINANCE(A22,""low52"")"),"#N/A")</f>
        <v>#N/A</v>
      </c>
      <c r="G22" s="47" t="str">
        <f>IFERROR(__xludf.DUMMYFUNCTION("to_date(index(sort(GOOGLEFINANCE(A22, ""low"", today()-52*7, today(), ""DAILY""),2,1),1,1))"),"#N/A")</f>
        <v>#N/A</v>
      </c>
      <c r="H22" s="34" t="str">
        <f>IFERROR(__xludf.DUMMYFUNCTION("MIN(QUERY(SORT(GOOGLEFINANCE(A22,""low"",TODAY()-40,TODAY()),1,0),""select Col2 limit 20""))"),"#N/A")</f>
        <v>#N/A</v>
      </c>
      <c r="I22" s="34" t="str">
        <f t="shared" si="1"/>
        <v>#N/A</v>
      </c>
      <c r="J22" s="35" t="str">
        <f t="shared" si="2"/>
        <v>#N/A</v>
      </c>
    </row>
    <row r="23">
      <c r="A23" s="50" t="s">
        <v>120</v>
      </c>
      <c r="B23" s="30" t="str">
        <f>IFERROR(__xludf.DUMMYFUNCTION("GOOGLEFINANCE(A23,""price"")"),"#N/A")</f>
        <v>#N/A</v>
      </c>
      <c r="C23" s="31" t="str">
        <f>IFERROR(__xludf.DUMMYFUNCTION("MAX(QUERY(SORT(GOOGLEFINANCE(A23,""high"",TODAY()-100,TODAY()),1,0),""select Col2 limit 55""))"),"#N/A")</f>
        <v>#N/A</v>
      </c>
      <c r="D23" s="46" t="str">
        <f>IFERROR(__xludf.DUMMYFUNCTION("GOOGLEFINANCE(A23,""high52"")"),"#N/A")</f>
        <v>#N/A</v>
      </c>
      <c r="E23" s="47" t="str">
        <f>IFERROR(__xludf.DUMMYFUNCTION("to_date(index(sort(GOOGLEFINANCE(A23, ""high"", today()-52*7, today(), ""DAILY""),2,0),2,1))"),"#N/A")</f>
        <v>#N/A</v>
      </c>
      <c r="F23" s="48" t="str">
        <f>IFERROR(__xludf.DUMMYFUNCTION("GOOGLEFINANCE(A23,""low52"")"),"#N/A")</f>
        <v>#N/A</v>
      </c>
      <c r="G23" s="47" t="str">
        <f>IFERROR(__xludf.DUMMYFUNCTION("to_date(index(sort(GOOGLEFINANCE(A23, ""low"", today()-52*7, today(), ""DAILY""),2,1),1,1))"),"#N/A")</f>
        <v>#N/A</v>
      </c>
      <c r="H23" s="34" t="str">
        <f>IFERROR(__xludf.DUMMYFUNCTION("MIN(QUERY(SORT(GOOGLEFINANCE(A23,""low"",TODAY()-40,TODAY()),1,0),""select Col2 limit 20""))"),"#N/A")</f>
        <v>#N/A</v>
      </c>
      <c r="I23" s="34" t="str">
        <f t="shared" si="1"/>
        <v>#N/A</v>
      </c>
      <c r="J23" s="35" t="str">
        <f t="shared" si="2"/>
        <v>#N/A</v>
      </c>
    </row>
    <row r="24">
      <c r="A24" s="50" t="s">
        <v>121</v>
      </c>
      <c r="B24" s="30" t="str">
        <f>IFERROR(__xludf.DUMMYFUNCTION("GOOGLEFINANCE(A24,""price"")"),"#N/A")</f>
        <v>#N/A</v>
      </c>
      <c r="C24" s="31" t="str">
        <f>IFERROR(__xludf.DUMMYFUNCTION("MAX(QUERY(SORT(GOOGLEFINANCE(A24,""high"",TODAY()-100,TODAY()),1,0),""select Col2 limit 55""))"),"#N/A")</f>
        <v>#N/A</v>
      </c>
      <c r="D24" s="46" t="str">
        <f>IFERROR(__xludf.DUMMYFUNCTION("GOOGLEFINANCE(A24,""high52"")"),"#N/A")</f>
        <v>#N/A</v>
      </c>
      <c r="E24" s="47" t="str">
        <f>IFERROR(__xludf.DUMMYFUNCTION("to_date(index(sort(GOOGLEFINANCE(A24, ""high"", today()-52*7, today(), ""DAILY""),2,0),2,1))"),"#N/A")</f>
        <v>#N/A</v>
      </c>
      <c r="F24" s="48" t="str">
        <f>IFERROR(__xludf.DUMMYFUNCTION("GOOGLEFINANCE(A24,""low52"")"),"#N/A")</f>
        <v>#N/A</v>
      </c>
      <c r="G24" s="47" t="str">
        <f>IFERROR(__xludf.DUMMYFUNCTION("to_date(index(sort(GOOGLEFINANCE(A24, ""low"", today()-52*7, today(), ""DAILY""),2,1),1,1))"),"#N/A")</f>
        <v>#N/A</v>
      </c>
      <c r="H24" s="34" t="str">
        <f>IFERROR(__xludf.DUMMYFUNCTION("MIN(QUERY(SORT(GOOGLEFINANCE(A24,""low"",TODAY()-40,TODAY()),1,0),""select Col2 limit 20""))"),"#N/A")</f>
        <v>#N/A</v>
      </c>
      <c r="I24" s="34" t="str">
        <f t="shared" si="1"/>
        <v>#N/A</v>
      </c>
      <c r="J24" s="35" t="str">
        <f t="shared" si="2"/>
        <v>#N/A</v>
      </c>
    </row>
    <row r="25">
      <c r="C25" s="36"/>
    </row>
    <row r="26">
      <c r="C26" s="36"/>
    </row>
    <row r="27">
      <c r="C27" s="36"/>
    </row>
    <row r="28">
      <c r="C28" s="36"/>
    </row>
    <row r="29">
      <c r="C29" s="36"/>
    </row>
    <row r="30">
      <c r="C30" s="36"/>
    </row>
    <row r="31">
      <c r="C31" s="36"/>
    </row>
    <row r="32">
      <c r="C32" s="36"/>
    </row>
    <row r="33">
      <c r="C33" s="36"/>
    </row>
    <row r="34">
      <c r="C34" s="36"/>
    </row>
    <row r="35">
      <c r="C35" s="36"/>
    </row>
    <row r="36">
      <c r="C36" s="36"/>
    </row>
    <row r="37">
      <c r="C37" s="36"/>
    </row>
    <row r="38">
      <c r="C38" s="36"/>
    </row>
    <row r="39">
      <c r="C39" s="36"/>
    </row>
    <row r="40">
      <c r="C40" s="36"/>
    </row>
    <row r="41">
      <c r="C41" s="36"/>
    </row>
    <row r="42">
      <c r="C42" s="36"/>
    </row>
    <row r="43">
      <c r="C43" s="36"/>
    </row>
    <row r="44">
      <c r="C44" s="36"/>
    </row>
    <row r="45">
      <c r="C45" s="36"/>
    </row>
    <row r="46">
      <c r="C46" s="36"/>
    </row>
    <row r="47">
      <c r="C47" s="36"/>
    </row>
    <row r="48">
      <c r="C48" s="36"/>
    </row>
    <row r="49">
      <c r="C49" s="36"/>
    </row>
    <row r="50">
      <c r="C50" s="36"/>
    </row>
    <row r="51">
      <c r="C51" s="36"/>
    </row>
    <row r="52">
      <c r="C52" s="36"/>
    </row>
    <row r="53">
      <c r="C53" s="36"/>
    </row>
    <row r="54">
      <c r="C54" s="36"/>
    </row>
    <row r="55">
      <c r="C55" s="36"/>
    </row>
    <row r="56">
      <c r="C56" s="36"/>
    </row>
    <row r="57">
      <c r="C57" s="36"/>
    </row>
    <row r="58">
      <c r="C58" s="36"/>
    </row>
    <row r="59">
      <c r="C59" s="36"/>
    </row>
    <row r="60">
      <c r="C60" s="36"/>
    </row>
    <row r="61">
      <c r="C61" s="36"/>
    </row>
    <row r="62">
      <c r="C62" s="36"/>
    </row>
    <row r="63">
      <c r="C63" s="36"/>
    </row>
    <row r="64">
      <c r="C64" s="36"/>
    </row>
    <row r="65">
      <c r="C65" s="36"/>
    </row>
    <row r="66">
      <c r="C66" s="36"/>
    </row>
    <row r="67">
      <c r="C67" s="36"/>
    </row>
    <row r="68">
      <c r="C68" s="36"/>
    </row>
    <row r="69">
      <c r="C69" s="36"/>
    </row>
    <row r="70">
      <c r="C70" s="36"/>
    </row>
    <row r="71">
      <c r="C71" s="36"/>
    </row>
    <row r="72">
      <c r="C72" s="36"/>
    </row>
    <row r="73">
      <c r="C73" s="36"/>
    </row>
    <row r="74">
      <c r="C74" s="36"/>
    </row>
    <row r="75">
      <c r="C75" s="36"/>
    </row>
    <row r="76">
      <c r="C76" s="36"/>
    </row>
    <row r="77">
      <c r="C77" s="36"/>
    </row>
    <row r="78">
      <c r="C78" s="36"/>
    </row>
    <row r="79">
      <c r="C79" s="36"/>
    </row>
    <row r="80">
      <c r="C80" s="36"/>
    </row>
    <row r="81">
      <c r="C81" s="36"/>
    </row>
    <row r="82">
      <c r="C82" s="36"/>
    </row>
    <row r="83">
      <c r="C83" s="36"/>
    </row>
    <row r="84">
      <c r="C84" s="36"/>
    </row>
    <row r="85">
      <c r="C85" s="36"/>
    </row>
    <row r="86">
      <c r="C86" s="36"/>
    </row>
    <row r="87">
      <c r="C87" s="36"/>
    </row>
    <row r="88">
      <c r="C88" s="36"/>
    </row>
    <row r="89">
      <c r="C89" s="36"/>
    </row>
    <row r="90">
      <c r="C90" s="36"/>
    </row>
    <row r="91">
      <c r="C91" s="36"/>
    </row>
    <row r="92">
      <c r="C92" s="36"/>
    </row>
    <row r="93">
      <c r="C93" s="36"/>
    </row>
    <row r="94">
      <c r="C94" s="36"/>
    </row>
    <row r="95">
      <c r="C95" s="36"/>
    </row>
    <row r="96">
      <c r="C96" s="36"/>
    </row>
    <row r="97">
      <c r="C97" s="36"/>
    </row>
    <row r="98">
      <c r="C98" s="36"/>
    </row>
    <row r="99">
      <c r="C99" s="36"/>
    </row>
    <row r="100">
      <c r="C100" s="36"/>
    </row>
    <row r="101">
      <c r="C101" s="36"/>
    </row>
    <row r="102">
      <c r="C102" s="36"/>
    </row>
    <row r="103">
      <c r="C103" s="36"/>
    </row>
    <row r="104">
      <c r="C104" s="36"/>
    </row>
    <row r="105">
      <c r="C105" s="36"/>
    </row>
    <row r="106">
      <c r="C106" s="36"/>
    </row>
    <row r="107">
      <c r="C107" s="36"/>
    </row>
    <row r="108">
      <c r="C108" s="36"/>
    </row>
    <row r="109">
      <c r="C109" s="36"/>
    </row>
    <row r="110">
      <c r="C110" s="36"/>
    </row>
    <row r="111">
      <c r="C111" s="36"/>
    </row>
    <row r="112">
      <c r="C112" s="36"/>
    </row>
    <row r="113">
      <c r="C113" s="36"/>
    </row>
    <row r="114">
      <c r="C114" s="36"/>
    </row>
    <row r="115">
      <c r="C115" s="36"/>
    </row>
    <row r="116">
      <c r="C116" s="36"/>
    </row>
    <row r="117">
      <c r="C117" s="36"/>
    </row>
    <row r="118">
      <c r="C118" s="36"/>
    </row>
    <row r="119">
      <c r="C119" s="36"/>
    </row>
    <row r="120">
      <c r="C120" s="36"/>
    </row>
    <row r="121">
      <c r="C121" s="36"/>
    </row>
    <row r="122">
      <c r="C122" s="36"/>
    </row>
    <row r="123">
      <c r="C123" s="36"/>
    </row>
    <row r="124">
      <c r="C124" s="36"/>
    </row>
    <row r="125">
      <c r="C125" s="36"/>
    </row>
    <row r="126">
      <c r="C126" s="36"/>
    </row>
    <row r="127">
      <c r="C127" s="36"/>
    </row>
    <row r="128">
      <c r="C128" s="36"/>
    </row>
    <row r="129">
      <c r="C129" s="36"/>
    </row>
    <row r="130">
      <c r="C130" s="36"/>
    </row>
    <row r="131">
      <c r="C131" s="36"/>
    </row>
    <row r="132">
      <c r="C132" s="36"/>
    </row>
    <row r="133">
      <c r="C133" s="36"/>
    </row>
    <row r="134">
      <c r="C134" s="36"/>
    </row>
    <row r="135">
      <c r="C135" s="36"/>
    </row>
    <row r="136">
      <c r="C136" s="36"/>
    </row>
    <row r="137">
      <c r="C137" s="36"/>
    </row>
    <row r="138">
      <c r="C138" s="36"/>
    </row>
    <row r="139">
      <c r="C139" s="36"/>
    </row>
    <row r="140">
      <c r="C140" s="36"/>
    </row>
    <row r="141">
      <c r="C141" s="36"/>
    </row>
    <row r="142">
      <c r="C142" s="36"/>
    </row>
    <row r="143">
      <c r="C143" s="36"/>
    </row>
    <row r="144">
      <c r="C144" s="36"/>
    </row>
    <row r="145">
      <c r="C145" s="36"/>
    </row>
    <row r="146">
      <c r="C146" s="36"/>
    </row>
    <row r="147">
      <c r="C147" s="36"/>
    </row>
    <row r="148">
      <c r="C148" s="36"/>
    </row>
    <row r="149">
      <c r="C149" s="36"/>
    </row>
    <row r="150">
      <c r="C150" s="36"/>
    </row>
    <row r="151">
      <c r="C151" s="36"/>
    </row>
    <row r="152">
      <c r="C152" s="36"/>
    </row>
    <row r="153">
      <c r="C153" s="36"/>
    </row>
    <row r="154">
      <c r="C154" s="36"/>
    </row>
    <row r="155">
      <c r="C155" s="36"/>
    </row>
    <row r="156">
      <c r="C156" s="36"/>
    </row>
    <row r="157">
      <c r="C157" s="36"/>
    </row>
    <row r="158">
      <c r="C158" s="36"/>
    </row>
    <row r="159">
      <c r="C159" s="36"/>
    </row>
    <row r="160">
      <c r="C160" s="36"/>
    </row>
    <row r="161">
      <c r="C161" s="36"/>
    </row>
    <row r="162">
      <c r="C162" s="36"/>
    </row>
    <row r="163">
      <c r="C163" s="36"/>
    </row>
    <row r="164">
      <c r="C164" s="36"/>
    </row>
    <row r="165">
      <c r="C165" s="36"/>
    </row>
    <row r="166">
      <c r="C166" s="36"/>
    </row>
    <row r="167">
      <c r="C167" s="36"/>
    </row>
    <row r="168">
      <c r="C168" s="36"/>
    </row>
    <row r="169">
      <c r="C169" s="36"/>
    </row>
    <row r="170">
      <c r="C170" s="36"/>
    </row>
    <row r="171">
      <c r="C171" s="36"/>
    </row>
    <row r="172">
      <c r="C172" s="36"/>
    </row>
    <row r="173">
      <c r="C173" s="36"/>
    </row>
    <row r="174">
      <c r="C174" s="36"/>
    </row>
    <row r="175">
      <c r="C175" s="36"/>
    </row>
    <row r="176">
      <c r="C176" s="36"/>
    </row>
    <row r="177">
      <c r="C177" s="36"/>
    </row>
    <row r="178">
      <c r="C178" s="36"/>
    </row>
    <row r="179">
      <c r="C179" s="36"/>
    </row>
    <row r="180">
      <c r="C180" s="36"/>
    </row>
    <row r="181">
      <c r="C181" s="36"/>
    </row>
    <row r="182">
      <c r="C182" s="36"/>
    </row>
    <row r="183">
      <c r="C183" s="36"/>
    </row>
    <row r="184">
      <c r="C184" s="36"/>
    </row>
    <row r="185">
      <c r="C185" s="36"/>
    </row>
    <row r="186">
      <c r="C186" s="36"/>
    </row>
    <row r="187">
      <c r="C187" s="36"/>
    </row>
    <row r="188">
      <c r="C188" s="36"/>
    </row>
    <row r="189">
      <c r="C189" s="36"/>
    </row>
    <row r="190">
      <c r="C190" s="36"/>
    </row>
    <row r="191">
      <c r="C191" s="36"/>
    </row>
    <row r="192">
      <c r="C192" s="36"/>
    </row>
    <row r="193">
      <c r="C193" s="36"/>
    </row>
    <row r="194">
      <c r="C194" s="36"/>
    </row>
    <row r="195">
      <c r="C195" s="36"/>
    </row>
    <row r="196">
      <c r="C196" s="36"/>
    </row>
    <row r="197">
      <c r="C197" s="36"/>
    </row>
    <row r="198">
      <c r="C198" s="36"/>
    </row>
    <row r="199">
      <c r="C199" s="36"/>
    </row>
    <row r="200">
      <c r="C200" s="36"/>
    </row>
    <row r="201">
      <c r="C201" s="36"/>
    </row>
    <row r="202">
      <c r="C202" s="36"/>
    </row>
    <row r="203">
      <c r="C203" s="36"/>
    </row>
    <row r="204">
      <c r="C204" s="36"/>
    </row>
    <row r="205">
      <c r="C205" s="36"/>
    </row>
    <row r="206">
      <c r="C206" s="36"/>
    </row>
    <row r="207">
      <c r="C207" s="36"/>
    </row>
    <row r="208">
      <c r="C208" s="36"/>
    </row>
    <row r="209">
      <c r="C209" s="36"/>
    </row>
    <row r="210">
      <c r="C210" s="36"/>
    </row>
    <row r="211">
      <c r="C211" s="36"/>
    </row>
    <row r="212">
      <c r="C212" s="36"/>
    </row>
    <row r="213">
      <c r="C213" s="36"/>
    </row>
    <row r="214">
      <c r="C214" s="36"/>
    </row>
    <row r="215">
      <c r="C215" s="36"/>
    </row>
    <row r="216">
      <c r="C216" s="36"/>
    </row>
    <row r="217">
      <c r="C217" s="36"/>
    </row>
    <row r="218">
      <c r="C218" s="36"/>
    </row>
    <row r="219">
      <c r="C219" s="36"/>
    </row>
    <row r="220">
      <c r="C220" s="36"/>
    </row>
    <row r="221">
      <c r="C221" s="36"/>
    </row>
    <row r="222">
      <c r="C222" s="36"/>
    </row>
    <row r="223">
      <c r="C223" s="36"/>
    </row>
    <row r="224">
      <c r="C224" s="36"/>
    </row>
    <row r="225">
      <c r="C225" s="36"/>
    </row>
    <row r="226">
      <c r="C226" s="36"/>
    </row>
    <row r="227">
      <c r="C227" s="36"/>
    </row>
    <row r="228">
      <c r="C228" s="36"/>
    </row>
    <row r="229">
      <c r="C229" s="36"/>
    </row>
    <row r="230">
      <c r="C230" s="36"/>
    </row>
    <row r="231">
      <c r="C231" s="36"/>
    </row>
    <row r="232">
      <c r="C232" s="36"/>
    </row>
    <row r="233">
      <c r="C233" s="36"/>
    </row>
    <row r="234">
      <c r="C234" s="36"/>
    </row>
    <row r="235">
      <c r="C235" s="36"/>
    </row>
    <row r="236">
      <c r="C236" s="36"/>
    </row>
    <row r="237">
      <c r="C237" s="36"/>
    </row>
    <row r="238">
      <c r="C238" s="36"/>
    </row>
    <row r="239">
      <c r="C239" s="36"/>
    </row>
    <row r="240">
      <c r="C240" s="36"/>
    </row>
    <row r="241">
      <c r="C241" s="36"/>
    </row>
    <row r="242">
      <c r="C242" s="36"/>
    </row>
    <row r="243">
      <c r="C243" s="36"/>
    </row>
    <row r="244">
      <c r="C244" s="36"/>
    </row>
    <row r="245">
      <c r="C245" s="36"/>
    </row>
    <row r="246">
      <c r="C246" s="36"/>
    </row>
    <row r="247">
      <c r="C247" s="36"/>
    </row>
    <row r="248">
      <c r="C248" s="36"/>
    </row>
    <row r="249">
      <c r="C249" s="36"/>
    </row>
    <row r="250">
      <c r="C250" s="36"/>
    </row>
    <row r="251">
      <c r="C251" s="36"/>
    </row>
    <row r="252">
      <c r="C252" s="36"/>
    </row>
    <row r="253">
      <c r="C253" s="36"/>
    </row>
    <row r="254">
      <c r="C254" s="36"/>
    </row>
    <row r="255">
      <c r="C255" s="36"/>
    </row>
    <row r="256">
      <c r="C256" s="36"/>
    </row>
    <row r="257">
      <c r="C257" s="36"/>
    </row>
    <row r="258">
      <c r="C258" s="36"/>
    </row>
    <row r="259">
      <c r="C259" s="36"/>
    </row>
    <row r="260">
      <c r="C260" s="36"/>
    </row>
    <row r="261">
      <c r="C261" s="36"/>
    </row>
    <row r="262">
      <c r="C262" s="36"/>
    </row>
    <row r="263">
      <c r="C263" s="36"/>
    </row>
    <row r="264">
      <c r="C264" s="36"/>
    </row>
    <row r="265">
      <c r="C265" s="36"/>
    </row>
    <row r="266">
      <c r="C266" s="36"/>
    </row>
    <row r="267">
      <c r="C267" s="36"/>
    </row>
    <row r="268">
      <c r="C268" s="36"/>
    </row>
    <row r="269">
      <c r="C269" s="36"/>
    </row>
    <row r="270">
      <c r="C270" s="36"/>
    </row>
    <row r="271">
      <c r="C271" s="36"/>
    </row>
    <row r="272">
      <c r="C272" s="36"/>
    </row>
    <row r="273">
      <c r="C273" s="36"/>
    </row>
    <row r="274">
      <c r="C274" s="36"/>
    </row>
    <row r="275">
      <c r="C275" s="36"/>
    </row>
    <row r="276">
      <c r="C276" s="36"/>
    </row>
    <row r="277">
      <c r="C277" s="36"/>
    </row>
    <row r="278">
      <c r="C278" s="36"/>
    </row>
    <row r="279">
      <c r="C279" s="36"/>
    </row>
    <row r="280">
      <c r="C280" s="36"/>
    </row>
    <row r="281">
      <c r="C281" s="36"/>
    </row>
    <row r="282">
      <c r="C282" s="36"/>
    </row>
    <row r="283">
      <c r="C283" s="36"/>
    </row>
    <row r="284">
      <c r="C284" s="36"/>
    </row>
    <row r="285">
      <c r="C285" s="36"/>
    </row>
    <row r="286">
      <c r="C286" s="36"/>
    </row>
    <row r="287">
      <c r="C287" s="36"/>
    </row>
    <row r="288">
      <c r="C288" s="36"/>
    </row>
    <row r="289">
      <c r="C289" s="36"/>
    </row>
    <row r="290">
      <c r="C290" s="36"/>
    </row>
    <row r="291">
      <c r="C291" s="36"/>
    </row>
    <row r="292">
      <c r="C292" s="36"/>
    </row>
    <row r="293">
      <c r="C293" s="36"/>
    </row>
    <row r="294">
      <c r="C294" s="36"/>
    </row>
    <row r="295">
      <c r="C295" s="36"/>
    </row>
    <row r="296">
      <c r="C296" s="36"/>
    </row>
    <row r="297">
      <c r="C297" s="36"/>
    </row>
    <row r="298">
      <c r="C298" s="36"/>
    </row>
    <row r="299">
      <c r="C299" s="36"/>
    </row>
    <row r="300">
      <c r="C300" s="36"/>
    </row>
    <row r="301">
      <c r="C301" s="36"/>
    </row>
    <row r="302">
      <c r="C302" s="36"/>
    </row>
    <row r="303">
      <c r="C303" s="36"/>
    </row>
    <row r="304">
      <c r="C304" s="36"/>
    </row>
    <row r="305">
      <c r="C305" s="36"/>
    </row>
    <row r="306">
      <c r="C306" s="36"/>
    </row>
    <row r="307">
      <c r="C307" s="36"/>
    </row>
    <row r="308">
      <c r="C308" s="36"/>
    </row>
    <row r="309">
      <c r="C309" s="36"/>
    </row>
    <row r="310">
      <c r="C310" s="36"/>
    </row>
    <row r="311">
      <c r="C311" s="36"/>
    </row>
    <row r="312">
      <c r="C312" s="36"/>
    </row>
    <row r="313">
      <c r="C313" s="36"/>
    </row>
    <row r="314">
      <c r="C314" s="36"/>
    </row>
    <row r="315">
      <c r="C315" s="36"/>
    </row>
    <row r="316">
      <c r="C316" s="36"/>
    </row>
    <row r="317">
      <c r="C317" s="36"/>
    </row>
    <row r="318">
      <c r="C318" s="36"/>
    </row>
    <row r="319">
      <c r="C319" s="36"/>
    </row>
    <row r="320">
      <c r="C320" s="36"/>
    </row>
    <row r="321">
      <c r="C321" s="36"/>
    </row>
    <row r="322">
      <c r="C322" s="36"/>
    </row>
    <row r="323">
      <c r="C323" s="36"/>
    </row>
    <row r="324">
      <c r="C324" s="36"/>
    </row>
    <row r="325">
      <c r="C325" s="36"/>
    </row>
    <row r="326">
      <c r="C326" s="36"/>
    </row>
    <row r="327">
      <c r="C327" s="36"/>
    </row>
    <row r="328">
      <c r="C328" s="36"/>
    </row>
    <row r="329">
      <c r="C329" s="36"/>
    </row>
    <row r="330">
      <c r="C330" s="36"/>
    </row>
    <row r="331">
      <c r="C331" s="36"/>
    </row>
    <row r="332">
      <c r="C332" s="36"/>
    </row>
    <row r="333">
      <c r="C333" s="36"/>
    </row>
    <row r="334">
      <c r="C334" s="36"/>
    </row>
    <row r="335">
      <c r="C335" s="36"/>
    </row>
    <row r="336">
      <c r="C336" s="36"/>
    </row>
    <row r="337">
      <c r="C337" s="36"/>
    </row>
    <row r="338">
      <c r="C338" s="36"/>
    </row>
    <row r="339">
      <c r="C339" s="36"/>
    </row>
    <row r="340">
      <c r="C340" s="36"/>
    </row>
    <row r="341">
      <c r="C341" s="36"/>
    </row>
    <row r="342">
      <c r="C342" s="36"/>
    </row>
    <row r="343">
      <c r="C343" s="36"/>
    </row>
    <row r="344">
      <c r="C344" s="36"/>
    </row>
    <row r="345">
      <c r="C345" s="36"/>
    </row>
    <row r="346">
      <c r="C346" s="36"/>
    </row>
    <row r="347">
      <c r="C347" s="36"/>
    </row>
    <row r="348">
      <c r="C348" s="36"/>
    </row>
    <row r="349">
      <c r="C349" s="36"/>
    </row>
    <row r="350">
      <c r="C350" s="36"/>
    </row>
    <row r="351">
      <c r="C351" s="36"/>
    </row>
    <row r="352">
      <c r="C352" s="36"/>
    </row>
    <row r="353">
      <c r="C353" s="36"/>
    </row>
    <row r="354">
      <c r="C354" s="36"/>
    </row>
    <row r="355">
      <c r="C355" s="36"/>
    </row>
    <row r="356">
      <c r="C356" s="36"/>
    </row>
    <row r="357">
      <c r="C357" s="36"/>
    </row>
    <row r="358">
      <c r="C358" s="36"/>
    </row>
    <row r="359">
      <c r="C359" s="36"/>
    </row>
    <row r="360">
      <c r="C360" s="36"/>
    </row>
    <row r="361">
      <c r="C361" s="36"/>
    </row>
    <row r="362">
      <c r="C362" s="36"/>
    </row>
    <row r="363">
      <c r="C363" s="36"/>
    </row>
    <row r="364">
      <c r="C364" s="36"/>
    </row>
    <row r="365">
      <c r="C365" s="36"/>
    </row>
    <row r="366">
      <c r="C366" s="36"/>
    </row>
    <row r="367">
      <c r="C367" s="36"/>
    </row>
    <row r="368">
      <c r="C368" s="36"/>
    </row>
    <row r="369">
      <c r="C369" s="36"/>
    </row>
    <row r="370">
      <c r="C370" s="36"/>
    </row>
    <row r="371">
      <c r="C371" s="36"/>
    </row>
    <row r="372">
      <c r="C372" s="36"/>
    </row>
    <row r="373">
      <c r="C373" s="36"/>
    </row>
    <row r="374">
      <c r="C374" s="36"/>
    </row>
    <row r="375">
      <c r="C375" s="36"/>
    </row>
    <row r="376">
      <c r="C376" s="36"/>
    </row>
    <row r="377">
      <c r="C377" s="36"/>
    </row>
    <row r="378">
      <c r="C378" s="36"/>
    </row>
    <row r="379">
      <c r="C379" s="36"/>
    </row>
    <row r="380">
      <c r="C380" s="36"/>
    </row>
    <row r="381">
      <c r="C381" s="36"/>
    </row>
    <row r="382">
      <c r="C382" s="36"/>
    </row>
    <row r="383">
      <c r="C383" s="36"/>
    </row>
    <row r="384">
      <c r="C384" s="36"/>
    </row>
    <row r="385">
      <c r="C385" s="36"/>
    </row>
    <row r="386">
      <c r="C386" s="36"/>
    </row>
    <row r="387">
      <c r="C387" s="36"/>
    </row>
    <row r="388">
      <c r="C388" s="36"/>
    </row>
    <row r="389">
      <c r="C389" s="36"/>
    </row>
    <row r="390">
      <c r="C390" s="36"/>
    </row>
    <row r="391">
      <c r="C391" s="36"/>
    </row>
    <row r="392">
      <c r="C392" s="36"/>
    </row>
    <row r="393">
      <c r="C393" s="36"/>
    </row>
    <row r="394">
      <c r="C394" s="36"/>
    </row>
    <row r="395">
      <c r="C395" s="36"/>
    </row>
    <row r="396">
      <c r="C396" s="36"/>
    </row>
    <row r="397">
      <c r="C397" s="36"/>
    </row>
    <row r="398">
      <c r="C398" s="36"/>
    </row>
    <row r="399">
      <c r="C399" s="36"/>
    </row>
    <row r="400">
      <c r="C400" s="36"/>
    </row>
    <row r="401">
      <c r="C401" s="36"/>
    </row>
    <row r="402">
      <c r="C402" s="36"/>
    </row>
    <row r="403">
      <c r="C403" s="36"/>
    </row>
    <row r="404">
      <c r="C404" s="36"/>
    </row>
    <row r="405">
      <c r="C405" s="36"/>
    </row>
    <row r="406">
      <c r="C406" s="36"/>
    </row>
    <row r="407">
      <c r="C407" s="36"/>
    </row>
    <row r="408">
      <c r="C408" s="36"/>
    </row>
    <row r="409">
      <c r="C409" s="36"/>
    </row>
    <row r="410">
      <c r="C410" s="36"/>
    </row>
    <row r="411">
      <c r="C411" s="36"/>
    </row>
    <row r="412">
      <c r="C412" s="36"/>
    </row>
    <row r="413">
      <c r="C413" s="36"/>
    </row>
    <row r="414">
      <c r="C414" s="36"/>
    </row>
    <row r="415">
      <c r="C415" s="36"/>
    </row>
    <row r="416">
      <c r="C416" s="36"/>
    </row>
    <row r="417">
      <c r="C417" s="36"/>
    </row>
    <row r="418">
      <c r="C418" s="36"/>
    </row>
    <row r="419">
      <c r="C419" s="36"/>
    </row>
    <row r="420">
      <c r="C420" s="36"/>
    </row>
    <row r="421">
      <c r="C421" s="36"/>
    </row>
    <row r="422">
      <c r="C422" s="36"/>
    </row>
    <row r="423">
      <c r="C423" s="36"/>
    </row>
    <row r="424">
      <c r="C424" s="36"/>
    </row>
    <row r="425">
      <c r="C425" s="36"/>
    </row>
    <row r="426">
      <c r="C426" s="36"/>
    </row>
    <row r="427">
      <c r="C427" s="36"/>
    </row>
    <row r="428">
      <c r="C428" s="36"/>
    </row>
    <row r="429">
      <c r="C429" s="36"/>
    </row>
    <row r="430">
      <c r="C430" s="36"/>
    </row>
    <row r="431">
      <c r="C431" s="36"/>
    </row>
    <row r="432">
      <c r="C432" s="36"/>
    </row>
    <row r="433">
      <c r="C433" s="36"/>
    </row>
    <row r="434">
      <c r="C434" s="36"/>
    </row>
    <row r="435">
      <c r="C435" s="36"/>
    </row>
    <row r="436">
      <c r="C436" s="36"/>
    </row>
    <row r="437">
      <c r="C437" s="36"/>
    </row>
    <row r="438">
      <c r="C438" s="36"/>
    </row>
    <row r="439">
      <c r="C439" s="36"/>
    </row>
    <row r="440">
      <c r="C440" s="36"/>
    </row>
    <row r="441">
      <c r="C441" s="36"/>
    </row>
    <row r="442">
      <c r="C442" s="36"/>
    </row>
    <row r="443">
      <c r="C443" s="36"/>
    </row>
    <row r="444">
      <c r="C444" s="36"/>
    </row>
    <row r="445">
      <c r="C445" s="36"/>
    </row>
    <row r="446">
      <c r="C446" s="36"/>
    </row>
    <row r="447">
      <c r="C447" s="36"/>
    </row>
    <row r="448">
      <c r="C448" s="36"/>
    </row>
    <row r="449">
      <c r="C449" s="36"/>
    </row>
    <row r="450">
      <c r="C450" s="36"/>
    </row>
    <row r="451">
      <c r="C451" s="36"/>
    </row>
    <row r="452">
      <c r="C452" s="36"/>
    </row>
    <row r="453">
      <c r="C453" s="36"/>
    </row>
    <row r="454">
      <c r="C454" s="36"/>
    </row>
    <row r="455">
      <c r="C455" s="36"/>
    </row>
    <row r="456">
      <c r="C456" s="36"/>
    </row>
    <row r="457">
      <c r="C457" s="36"/>
    </row>
    <row r="458">
      <c r="C458" s="36"/>
    </row>
    <row r="459">
      <c r="C459" s="36"/>
    </row>
    <row r="460">
      <c r="C460" s="36"/>
    </row>
    <row r="461">
      <c r="C461" s="36"/>
    </row>
    <row r="462">
      <c r="C462" s="36"/>
    </row>
    <row r="463">
      <c r="C463" s="36"/>
    </row>
    <row r="464">
      <c r="C464" s="36"/>
    </row>
    <row r="465">
      <c r="C465" s="36"/>
    </row>
    <row r="466">
      <c r="C466" s="36"/>
    </row>
    <row r="467">
      <c r="C467" s="36"/>
    </row>
    <row r="468">
      <c r="C468" s="36"/>
    </row>
    <row r="469">
      <c r="C469" s="36"/>
    </row>
    <row r="470">
      <c r="C470" s="36"/>
    </row>
    <row r="471">
      <c r="C471" s="36"/>
    </row>
    <row r="472">
      <c r="C472" s="36"/>
    </row>
    <row r="473">
      <c r="C473" s="36"/>
    </row>
    <row r="474">
      <c r="C474" s="36"/>
    </row>
    <row r="475">
      <c r="C475" s="36"/>
    </row>
    <row r="476">
      <c r="C476" s="36"/>
    </row>
    <row r="477">
      <c r="C477" s="36"/>
    </row>
    <row r="478">
      <c r="C478" s="36"/>
    </row>
    <row r="479">
      <c r="C479" s="36"/>
    </row>
    <row r="480">
      <c r="C480" s="36"/>
    </row>
    <row r="481">
      <c r="C481" s="36"/>
    </row>
    <row r="482">
      <c r="C482" s="36"/>
    </row>
    <row r="483">
      <c r="C483" s="36"/>
    </row>
    <row r="484">
      <c r="C484" s="36"/>
    </row>
    <row r="485">
      <c r="C485" s="36"/>
    </row>
    <row r="486">
      <c r="C486" s="36"/>
    </row>
    <row r="487">
      <c r="C487" s="36"/>
    </row>
    <row r="488">
      <c r="C488" s="36"/>
    </row>
    <row r="489">
      <c r="C489" s="36"/>
    </row>
    <row r="490">
      <c r="C490" s="36"/>
    </row>
    <row r="491">
      <c r="C491" s="36"/>
    </row>
    <row r="492">
      <c r="C492" s="36"/>
    </row>
    <row r="493">
      <c r="C493" s="36"/>
    </row>
    <row r="494">
      <c r="C494" s="36"/>
    </row>
    <row r="495">
      <c r="C495" s="36"/>
    </row>
    <row r="496">
      <c r="C496" s="36"/>
    </row>
    <row r="497">
      <c r="C497" s="36"/>
    </row>
    <row r="498">
      <c r="C498" s="36"/>
    </row>
    <row r="499">
      <c r="C499" s="36"/>
    </row>
    <row r="500">
      <c r="C500" s="36"/>
    </row>
    <row r="501">
      <c r="C501" s="36"/>
    </row>
    <row r="502">
      <c r="C502" s="36"/>
    </row>
    <row r="503">
      <c r="C503" s="36"/>
    </row>
    <row r="504">
      <c r="C504" s="36"/>
    </row>
    <row r="505">
      <c r="C505" s="36"/>
    </row>
    <row r="506">
      <c r="C506" s="36"/>
    </row>
    <row r="507">
      <c r="C507" s="36"/>
    </row>
    <row r="508">
      <c r="C508" s="36"/>
    </row>
    <row r="509">
      <c r="C509" s="36"/>
    </row>
    <row r="510">
      <c r="C510" s="36"/>
    </row>
    <row r="511">
      <c r="C511" s="36"/>
    </row>
    <row r="512">
      <c r="C512" s="36"/>
    </row>
    <row r="513">
      <c r="C513" s="36"/>
    </row>
    <row r="514">
      <c r="C514" s="36"/>
    </row>
    <row r="515">
      <c r="C515" s="36"/>
    </row>
    <row r="516">
      <c r="C516" s="36"/>
    </row>
    <row r="517">
      <c r="C517" s="36"/>
    </row>
    <row r="518">
      <c r="C518" s="36"/>
    </row>
    <row r="519">
      <c r="C519" s="36"/>
    </row>
    <row r="520">
      <c r="C520" s="36"/>
    </row>
    <row r="521">
      <c r="C521" s="36"/>
    </row>
    <row r="522">
      <c r="C522" s="36"/>
    </row>
    <row r="523">
      <c r="C523" s="36"/>
    </row>
    <row r="524">
      <c r="C524" s="36"/>
    </row>
    <row r="525">
      <c r="C525" s="36"/>
    </row>
    <row r="526">
      <c r="C526" s="36"/>
    </row>
    <row r="527">
      <c r="C527" s="36"/>
    </row>
    <row r="528">
      <c r="C528" s="36"/>
    </row>
    <row r="529">
      <c r="C529" s="36"/>
    </row>
    <row r="530">
      <c r="C530" s="36"/>
    </row>
    <row r="531">
      <c r="C531" s="36"/>
    </row>
    <row r="532">
      <c r="C532" s="36"/>
    </row>
    <row r="533">
      <c r="C533" s="36"/>
    </row>
    <row r="534">
      <c r="C534" s="36"/>
    </row>
    <row r="535">
      <c r="C535" s="36"/>
    </row>
    <row r="536">
      <c r="C536" s="36"/>
    </row>
    <row r="537">
      <c r="C537" s="36"/>
    </row>
    <row r="538">
      <c r="C538" s="36"/>
    </row>
    <row r="539">
      <c r="C539" s="36"/>
    </row>
    <row r="540">
      <c r="C540" s="36"/>
    </row>
    <row r="541">
      <c r="C541" s="36"/>
    </row>
    <row r="542">
      <c r="C542" s="36"/>
    </row>
    <row r="543">
      <c r="C543" s="36"/>
    </row>
    <row r="544">
      <c r="C544" s="36"/>
    </row>
    <row r="545">
      <c r="C545" s="36"/>
    </row>
    <row r="546">
      <c r="C546" s="36"/>
    </row>
    <row r="547">
      <c r="C547" s="36"/>
    </row>
    <row r="548">
      <c r="C548" s="36"/>
    </row>
    <row r="549">
      <c r="C549" s="36"/>
    </row>
    <row r="550">
      <c r="C550" s="36"/>
    </row>
    <row r="551">
      <c r="C551" s="36"/>
    </row>
    <row r="552">
      <c r="C552" s="36"/>
    </row>
    <row r="553">
      <c r="C553" s="36"/>
    </row>
    <row r="554">
      <c r="C554" s="36"/>
    </row>
    <row r="555">
      <c r="C555" s="36"/>
    </row>
    <row r="556">
      <c r="C556" s="36"/>
    </row>
    <row r="557">
      <c r="C557" s="36"/>
    </row>
    <row r="558">
      <c r="C558" s="36"/>
    </row>
    <row r="559">
      <c r="C559" s="36"/>
    </row>
    <row r="560">
      <c r="C560" s="36"/>
    </row>
    <row r="561">
      <c r="C561" s="36"/>
    </row>
    <row r="562">
      <c r="C562" s="36"/>
    </row>
    <row r="563">
      <c r="C563" s="36"/>
    </row>
    <row r="564">
      <c r="C564" s="36"/>
    </row>
    <row r="565">
      <c r="C565" s="36"/>
    </row>
    <row r="566">
      <c r="C566" s="36"/>
    </row>
    <row r="567">
      <c r="C567" s="36"/>
    </row>
    <row r="568">
      <c r="C568" s="36"/>
    </row>
    <row r="569">
      <c r="C569" s="36"/>
    </row>
    <row r="570">
      <c r="C570" s="36"/>
    </row>
    <row r="571">
      <c r="C571" s="36"/>
    </row>
    <row r="572">
      <c r="C572" s="36"/>
    </row>
    <row r="573">
      <c r="C573" s="36"/>
    </row>
    <row r="574">
      <c r="C574" s="36"/>
    </row>
    <row r="575">
      <c r="C575" s="36"/>
    </row>
    <row r="576">
      <c r="C576" s="36"/>
    </row>
    <row r="577">
      <c r="C577" s="36"/>
    </row>
    <row r="578">
      <c r="C578" s="36"/>
    </row>
    <row r="579">
      <c r="C579" s="36"/>
    </row>
    <row r="580">
      <c r="C580" s="36"/>
    </row>
    <row r="581">
      <c r="C581" s="36"/>
    </row>
    <row r="582">
      <c r="C582" s="36"/>
    </row>
    <row r="583">
      <c r="C583" s="36"/>
    </row>
    <row r="584">
      <c r="C584" s="36"/>
    </row>
    <row r="585">
      <c r="C585" s="36"/>
    </row>
    <row r="586">
      <c r="C586" s="36"/>
    </row>
    <row r="587">
      <c r="C587" s="36"/>
    </row>
    <row r="588">
      <c r="C588" s="36"/>
    </row>
    <row r="589">
      <c r="C589" s="36"/>
    </row>
    <row r="590">
      <c r="C590" s="36"/>
    </row>
    <row r="591">
      <c r="C591" s="36"/>
    </row>
    <row r="592">
      <c r="C592" s="36"/>
    </row>
    <row r="593">
      <c r="C593" s="36"/>
    </row>
    <row r="594">
      <c r="C594" s="36"/>
    </row>
    <row r="595">
      <c r="C595" s="36"/>
    </row>
    <row r="596">
      <c r="C596" s="36"/>
    </row>
    <row r="597">
      <c r="C597" s="36"/>
    </row>
    <row r="598">
      <c r="C598" s="36"/>
    </row>
    <row r="599">
      <c r="C599" s="36"/>
    </row>
    <row r="600">
      <c r="C600" s="36"/>
    </row>
    <row r="601">
      <c r="C601" s="36"/>
    </row>
    <row r="602">
      <c r="C602" s="36"/>
    </row>
    <row r="603">
      <c r="C603" s="36"/>
    </row>
    <row r="604">
      <c r="C604" s="36"/>
    </row>
    <row r="605">
      <c r="C605" s="36"/>
    </row>
    <row r="606">
      <c r="C606" s="36"/>
    </row>
    <row r="607">
      <c r="C607" s="36"/>
    </row>
    <row r="608">
      <c r="C608" s="36"/>
    </row>
    <row r="609">
      <c r="C609" s="36"/>
    </row>
    <row r="610">
      <c r="C610" s="36"/>
    </row>
    <row r="611">
      <c r="C611" s="36"/>
    </row>
    <row r="612">
      <c r="C612" s="36"/>
    </row>
    <row r="613">
      <c r="C613" s="36"/>
    </row>
    <row r="614">
      <c r="C614" s="36"/>
    </row>
    <row r="615">
      <c r="C615" s="36"/>
    </row>
    <row r="616">
      <c r="C616" s="36"/>
    </row>
    <row r="617">
      <c r="C617" s="36"/>
    </row>
    <row r="618">
      <c r="C618" s="36"/>
    </row>
    <row r="619">
      <c r="C619" s="36"/>
    </row>
    <row r="620">
      <c r="C620" s="36"/>
    </row>
    <row r="621">
      <c r="C621" s="36"/>
    </row>
    <row r="622">
      <c r="C622" s="36"/>
    </row>
    <row r="623">
      <c r="C623" s="36"/>
    </row>
    <row r="624">
      <c r="C624" s="36"/>
    </row>
    <row r="625">
      <c r="C625" s="36"/>
    </row>
    <row r="626">
      <c r="C626" s="36"/>
    </row>
    <row r="627">
      <c r="C627" s="36"/>
    </row>
    <row r="628">
      <c r="C628" s="36"/>
    </row>
    <row r="629">
      <c r="C629" s="36"/>
    </row>
    <row r="630">
      <c r="C630" s="36"/>
    </row>
    <row r="631">
      <c r="C631" s="36"/>
    </row>
    <row r="632">
      <c r="C632" s="36"/>
    </row>
    <row r="633">
      <c r="C633" s="36"/>
    </row>
    <row r="634">
      <c r="C634" s="36"/>
    </row>
    <row r="635">
      <c r="C635" s="36"/>
    </row>
    <row r="636">
      <c r="C636" s="36"/>
    </row>
    <row r="637">
      <c r="C637" s="36"/>
    </row>
    <row r="638">
      <c r="C638" s="36"/>
    </row>
    <row r="639">
      <c r="C639" s="36"/>
    </row>
    <row r="640">
      <c r="C640" s="36"/>
    </row>
    <row r="641">
      <c r="C641" s="36"/>
    </row>
    <row r="642">
      <c r="C642" s="36"/>
    </row>
    <row r="643">
      <c r="C643" s="36"/>
    </row>
    <row r="644">
      <c r="C644" s="36"/>
    </row>
    <row r="645">
      <c r="C645" s="36"/>
    </row>
    <row r="646">
      <c r="C646" s="36"/>
    </row>
    <row r="647">
      <c r="C647" s="36"/>
    </row>
    <row r="648">
      <c r="C648" s="36"/>
    </row>
    <row r="649">
      <c r="C649" s="36"/>
    </row>
    <row r="650">
      <c r="C650" s="36"/>
    </row>
    <row r="651">
      <c r="C651" s="36"/>
    </row>
    <row r="652">
      <c r="C652" s="36"/>
    </row>
    <row r="653">
      <c r="C653" s="36"/>
    </row>
    <row r="654">
      <c r="C654" s="36"/>
    </row>
    <row r="655">
      <c r="C655" s="36"/>
    </row>
    <row r="656">
      <c r="C656" s="36"/>
    </row>
    <row r="657">
      <c r="C657" s="36"/>
    </row>
    <row r="658">
      <c r="C658" s="36"/>
    </row>
    <row r="659">
      <c r="C659" s="36"/>
    </row>
    <row r="660">
      <c r="C660" s="36"/>
    </row>
    <row r="661">
      <c r="C661" s="36"/>
    </row>
    <row r="662">
      <c r="C662" s="36"/>
    </row>
    <row r="663">
      <c r="C663" s="36"/>
    </row>
    <row r="664">
      <c r="C664" s="36"/>
    </row>
    <row r="665">
      <c r="C665" s="36"/>
    </row>
    <row r="666">
      <c r="C666" s="36"/>
    </row>
    <row r="667">
      <c r="C667" s="36"/>
    </row>
    <row r="668">
      <c r="C668" s="36"/>
    </row>
    <row r="669">
      <c r="C669" s="36"/>
    </row>
    <row r="670">
      <c r="C670" s="36"/>
    </row>
    <row r="671">
      <c r="C671" s="36"/>
    </row>
    <row r="672">
      <c r="C672" s="36"/>
    </row>
    <row r="673">
      <c r="C673" s="36"/>
    </row>
    <row r="674">
      <c r="C674" s="36"/>
    </row>
    <row r="675">
      <c r="C675" s="36"/>
    </row>
    <row r="676">
      <c r="C676" s="36"/>
    </row>
    <row r="677">
      <c r="C677" s="36"/>
    </row>
    <row r="678">
      <c r="C678" s="36"/>
    </row>
    <row r="679">
      <c r="C679" s="36"/>
    </row>
    <row r="680">
      <c r="C680" s="36"/>
    </row>
    <row r="681">
      <c r="C681" s="36"/>
    </row>
    <row r="682">
      <c r="C682" s="36"/>
    </row>
    <row r="683">
      <c r="C683" s="36"/>
    </row>
    <row r="684">
      <c r="C684" s="36"/>
    </row>
    <row r="685">
      <c r="C685" s="36"/>
    </row>
    <row r="686">
      <c r="C686" s="36"/>
    </row>
    <row r="687">
      <c r="C687" s="36"/>
    </row>
    <row r="688">
      <c r="C688" s="36"/>
    </row>
    <row r="689">
      <c r="C689" s="36"/>
    </row>
    <row r="690">
      <c r="C690" s="36"/>
    </row>
    <row r="691">
      <c r="C691" s="36"/>
    </row>
    <row r="692">
      <c r="C692" s="36"/>
    </row>
    <row r="693">
      <c r="C693" s="36"/>
    </row>
    <row r="694">
      <c r="C694" s="36"/>
    </row>
    <row r="695">
      <c r="C695" s="36"/>
    </row>
    <row r="696">
      <c r="C696" s="36"/>
    </row>
    <row r="697">
      <c r="C697" s="36"/>
    </row>
    <row r="698">
      <c r="C698" s="36"/>
    </row>
    <row r="699">
      <c r="C699" s="36"/>
    </row>
    <row r="700">
      <c r="C700" s="36"/>
    </row>
    <row r="701">
      <c r="C701" s="36"/>
    </row>
    <row r="702">
      <c r="C702" s="36"/>
    </row>
    <row r="703">
      <c r="C703" s="36"/>
    </row>
    <row r="704">
      <c r="C704" s="36"/>
    </row>
    <row r="705">
      <c r="C705" s="36"/>
    </row>
    <row r="706">
      <c r="C706" s="36"/>
    </row>
    <row r="707">
      <c r="C707" s="36"/>
    </row>
    <row r="708">
      <c r="C708" s="36"/>
    </row>
    <row r="709">
      <c r="C709" s="36"/>
    </row>
    <row r="710">
      <c r="C710" s="36"/>
    </row>
    <row r="711">
      <c r="C711" s="36"/>
    </row>
    <row r="712">
      <c r="C712" s="36"/>
    </row>
    <row r="713">
      <c r="C713" s="36"/>
    </row>
    <row r="714">
      <c r="C714" s="36"/>
    </row>
    <row r="715">
      <c r="C715" s="36"/>
    </row>
    <row r="716">
      <c r="C716" s="36"/>
    </row>
    <row r="717">
      <c r="C717" s="36"/>
    </row>
    <row r="718">
      <c r="C718" s="36"/>
    </row>
    <row r="719">
      <c r="C719" s="36"/>
    </row>
    <row r="720">
      <c r="C720" s="36"/>
    </row>
    <row r="721">
      <c r="C721" s="36"/>
    </row>
    <row r="722">
      <c r="C722" s="36"/>
    </row>
    <row r="723">
      <c r="C723" s="36"/>
    </row>
    <row r="724">
      <c r="C724" s="36"/>
    </row>
    <row r="725">
      <c r="C725" s="36"/>
    </row>
    <row r="726">
      <c r="C726" s="36"/>
    </row>
    <row r="727">
      <c r="C727" s="36"/>
    </row>
    <row r="728">
      <c r="C728" s="36"/>
    </row>
    <row r="729">
      <c r="C729" s="36"/>
    </row>
    <row r="730">
      <c r="C730" s="36"/>
    </row>
    <row r="731">
      <c r="C731" s="36"/>
    </row>
    <row r="732">
      <c r="C732" s="36"/>
    </row>
    <row r="733">
      <c r="C733" s="36"/>
    </row>
    <row r="734">
      <c r="C734" s="36"/>
    </row>
    <row r="735">
      <c r="C735" s="36"/>
    </row>
    <row r="736">
      <c r="C736" s="36"/>
    </row>
    <row r="737">
      <c r="C737" s="36"/>
    </row>
    <row r="738">
      <c r="C738" s="36"/>
    </row>
    <row r="739">
      <c r="C739" s="36"/>
    </row>
    <row r="740">
      <c r="C740" s="36"/>
    </row>
    <row r="741">
      <c r="C741" s="36"/>
    </row>
    <row r="742">
      <c r="C742" s="36"/>
    </row>
    <row r="743">
      <c r="C743" s="36"/>
    </row>
    <row r="744">
      <c r="C744" s="36"/>
    </row>
    <row r="745">
      <c r="C745" s="36"/>
    </row>
    <row r="746">
      <c r="C746" s="36"/>
    </row>
    <row r="747">
      <c r="C747" s="36"/>
    </row>
    <row r="748">
      <c r="C748" s="36"/>
    </row>
    <row r="749">
      <c r="C749" s="36"/>
    </row>
    <row r="750">
      <c r="C750" s="36"/>
    </row>
    <row r="751">
      <c r="C751" s="36"/>
    </row>
    <row r="752">
      <c r="C752" s="36"/>
    </row>
    <row r="753">
      <c r="C753" s="36"/>
    </row>
    <row r="754">
      <c r="C754" s="36"/>
    </row>
    <row r="755">
      <c r="C755" s="36"/>
    </row>
    <row r="756">
      <c r="C756" s="36"/>
    </row>
    <row r="757">
      <c r="C757" s="36"/>
    </row>
    <row r="758">
      <c r="C758" s="36"/>
    </row>
    <row r="759">
      <c r="C759" s="36"/>
    </row>
    <row r="760">
      <c r="C760" s="36"/>
    </row>
    <row r="761">
      <c r="C761" s="36"/>
    </row>
    <row r="762">
      <c r="C762" s="36"/>
    </row>
    <row r="763">
      <c r="C763" s="36"/>
    </row>
    <row r="764">
      <c r="C764" s="36"/>
    </row>
    <row r="765">
      <c r="C765" s="36"/>
    </row>
    <row r="766">
      <c r="C766" s="36"/>
    </row>
    <row r="767">
      <c r="C767" s="36"/>
    </row>
    <row r="768">
      <c r="C768" s="36"/>
    </row>
    <row r="769">
      <c r="C769" s="36"/>
    </row>
    <row r="770">
      <c r="C770" s="36"/>
    </row>
    <row r="771">
      <c r="C771" s="36"/>
    </row>
    <row r="772">
      <c r="C772" s="36"/>
    </row>
    <row r="773">
      <c r="C773" s="36"/>
    </row>
    <row r="774">
      <c r="C774" s="36"/>
    </row>
    <row r="775">
      <c r="C775" s="36"/>
    </row>
    <row r="776">
      <c r="C776" s="36"/>
    </row>
    <row r="777">
      <c r="C777" s="36"/>
    </row>
    <row r="778">
      <c r="C778" s="36"/>
    </row>
    <row r="779">
      <c r="C779" s="36"/>
    </row>
    <row r="780">
      <c r="C780" s="36"/>
    </row>
    <row r="781">
      <c r="C781" s="36"/>
    </row>
    <row r="782">
      <c r="C782" s="36"/>
    </row>
    <row r="783">
      <c r="C783" s="36"/>
    </row>
    <row r="784">
      <c r="C784" s="36"/>
    </row>
    <row r="785">
      <c r="C785" s="36"/>
    </row>
    <row r="786">
      <c r="C786" s="36"/>
    </row>
    <row r="787">
      <c r="C787" s="36"/>
    </row>
    <row r="788">
      <c r="C788" s="36"/>
    </row>
    <row r="789">
      <c r="C789" s="36"/>
    </row>
    <row r="790">
      <c r="C790" s="36"/>
    </row>
    <row r="791">
      <c r="C791" s="36"/>
    </row>
    <row r="792">
      <c r="C792" s="36"/>
    </row>
    <row r="793">
      <c r="C793" s="36"/>
    </row>
    <row r="794">
      <c r="C794" s="36"/>
    </row>
    <row r="795">
      <c r="C795" s="36"/>
    </row>
    <row r="796">
      <c r="C796" s="36"/>
    </row>
    <row r="797">
      <c r="C797" s="36"/>
    </row>
    <row r="798">
      <c r="C798" s="36"/>
    </row>
    <row r="799">
      <c r="C799" s="36"/>
    </row>
    <row r="800">
      <c r="C800" s="36"/>
    </row>
    <row r="801">
      <c r="C801" s="36"/>
    </row>
    <row r="802">
      <c r="C802" s="36"/>
    </row>
    <row r="803">
      <c r="C803" s="36"/>
    </row>
    <row r="804">
      <c r="C804" s="36"/>
    </row>
    <row r="805">
      <c r="C805" s="36"/>
    </row>
    <row r="806">
      <c r="C806" s="36"/>
    </row>
    <row r="807">
      <c r="C807" s="36"/>
    </row>
    <row r="808">
      <c r="C808" s="36"/>
    </row>
    <row r="809">
      <c r="C809" s="36"/>
    </row>
    <row r="810">
      <c r="C810" s="36"/>
    </row>
    <row r="811">
      <c r="C811" s="36"/>
    </row>
    <row r="812">
      <c r="C812" s="36"/>
    </row>
    <row r="813">
      <c r="C813" s="36"/>
    </row>
    <row r="814">
      <c r="C814" s="36"/>
    </row>
    <row r="815">
      <c r="C815" s="36"/>
    </row>
    <row r="816">
      <c r="C816" s="36"/>
    </row>
    <row r="817">
      <c r="C817" s="36"/>
    </row>
    <row r="818">
      <c r="C818" s="36"/>
    </row>
    <row r="819">
      <c r="C819" s="36"/>
    </row>
    <row r="820">
      <c r="C820" s="36"/>
    </row>
    <row r="821">
      <c r="C821" s="36"/>
    </row>
    <row r="822">
      <c r="C822" s="36"/>
    </row>
    <row r="823">
      <c r="C823" s="36"/>
    </row>
    <row r="824">
      <c r="C824" s="36"/>
    </row>
    <row r="825">
      <c r="C825" s="36"/>
    </row>
    <row r="826">
      <c r="C826" s="36"/>
    </row>
    <row r="827">
      <c r="C827" s="36"/>
    </row>
    <row r="828">
      <c r="C828" s="36"/>
    </row>
    <row r="829">
      <c r="C829" s="36"/>
    </row>
    <row r="830">
      <c r="C830" s="36"/>
    </row>
    <row r="831">
      <c r="C831" s="36"/>
    </row>
    <row r="832">
      <c r="C832" s="36"/>
    </row>
    <row r="833">
      <c r="C833" s="36"/>
    </row>
    <row r="834">
      <c r="C834" s="36"/>
    </row>
    <row r="835">
      <c r="C835" s="36"/>
    </row>
    <row r="836">
      <c r="C836" s="36"/>
    </row>
    <row r="837">
      <c r="C837" s="36"/>
    </row>
    <row r="838">
      <c r="C838" s="36"/>
    </row>
    <row r="839">
      <c r="C839" s="36"/>
    </row>
    <row r="840">
      <c r="C840" s="36"/>
    </row>
    <row r="841">
      <c r="C841" s="36"/>
    </row>
    <row r="842">
      <c r="C842" s="36"/>
    </row>
    <row r="843">
      <c r="C843" s="36"/>
    </row>
    <row r="844">
      <c r="C844" s="36"/>
    </row>
    <row r="845">
      <c r="C845" s="36"/>
    </row>
    <row r="846">
      <c r="C846" s="36"/>
    </row>
    <row r="847">
      <c r="C847" s="36"/>
    </row>
    <row r="848">
      <c r="C848" s="36"/>
    </row>
    <row r="849">
      <c r="C849" s="36"/>
    </row>
    <row r="850">
      <c r="C850" s="36"/>
    </row>
    <row r="851">
      <c r="C851" s="36"/>
    </row>
    <row r="852">
      <c r="C852" s="36"/>
    </row>
    <row r="853">
      <c r="C853" s="36"/>
    </row>
    <row r="854">
      <c r="C854" s="36"/>
    </row>
    <row r="855">
      <c r="C855" s="36"/>
    </row>
    <row r="856">
      <c r="C856" s="36"/>
    </row>
    <row r="857">
      <c r="C857" s="36"/>
    </row>
    <row r="858">
      <c r="C858" s="36"/>
    </row>
    <row r="859">
      <c r="C859" s="36"/>
    </row>
    <row r="860">
      <c r="C860" s="36"/>
    </row>
    <row r="861">
      <c r="C861" s="36"/>
    </row>
    <row r="862">
      <c r="C862" s="36"/>
    </row>
    <row r="863">
      <c r="C863" s="36"/>
    </row>
    <row r="864">
      <c r="C864" s="36"/>
    </row>
    <row r="865">
      <c r="C865" s="36"/>
    </row>
    <row r="866">
      <c r="C866" s="36"/>
    </row>
    <row r="867">
      <c r="C867" s="36"/>
    </row>
    <row r="868">
      <c r="C868" s="36"/>
    </row>
    <row r="869">
      <c r="C869" s="36"/>
    </row>
    <row r="870">
      <c r="C870" s="36"/>
    </row>
    <row r="871">
      <c r="C871" s="36"/>
    </row>
    <row r="872">
      <c r="C872" s="36"/>
    </row>
    <row r="873">
      <c r="C873" s="36"/>
    </row>
    <row r="874">
      <c r="C874" s="36"/>
    </row>
    <row r="875">
      <c r="C875" s="36"/>
    </row>
    <row r="876">
      <c r="C876" s="36"/>
    </row>
    <row r="877">
      <c r="C877" s="36"/>
    </row>
    <row r="878">
      <c r="C878" s="36"/>
    </row>
    <row r="879">
      <c r="C879" s="36"/>
    </row>
    <row r="880">
      <c r="C880" s="36"/>
    </row>
    <row r="881">
      <c r="C881" s="36"/>
    </row>
    <row r="882">
      <c r="C882" s="36"/>
    </row>
    <row r="883">
      <c r="C883" s="36"/>
    </row>
    <row r="884">
      <c r="C884" s="36"/>
    </row>
    <row r="885">
      <c r="C885" s="36"/>
    </row>
    <row r="886">
      <c r="C886" s="36"/>
    </row>
    <row r="887">
      <c r="C887" s="36"/>
    </row>
    <row r="888">
      <c r="C888" s="36"/>
    </row>
    <row r="889">
      <c r="C889" s="36"/>
    </row>
    <row r="890">
      <c r="C890" s="36"/>
    </row>
    <row r="891">
      <c r="C891" s="36"/>
    </row>
    <row r="892">
      <c r="C892" s="36"/>
    </row>
    <row r="893">
      <c r="C893" s="36"/>
    </row>
    <row r="894">
      <c r="C894" s="36"/>
    </row>
    <row r="895">
      <c r="C895" s="36"/>
    </row>
    <row r="896">
      <c r="C896" s="36"/>
    </row>
    <row r="897">
      <c r="C897" s="36"/>
    </row>
    <row r="898">
      <c r="C898" s="36"/>
    </row>
    <row r="899">
      <c r="C899" s="36"/>
    </row>
    <row r="900">
      <c r="C900" s="36"/>
    </row>
    <row r="901">
      <c r="C901" s="36"/>
    </row>
    <row r="902">
      <c r="C902" s="36"/>
    </row>
    <row r="903">
      <c r="C903" s="36"/>
    </row>
    <row r="904">
      <c r="C904" s="36"/>
    </row>
    <row r="905">
      <c r="C905" s="36"/>
    </row>
    <row r="906">
      <c r="C906" s="36"/>
    </row>
    <row r="907">
      <c r="C907" s="36"/>
    </row>
    <row r="908">
      <c r="C908" s="36"/>
    </row>
    <row r="909">
      <c r="C909" s="36"/>
    </row>
    <row r="910">
      <c r="C910" s="36"/>
    </row>
    <row r="911">
      <c r="C911" s="36"/>
    </row>
    <row r="912">
      <c r="C912" s="36"/>
    </row>
    <row r="913">
      <c r="C913" s="36"/>
    </row>
    <row r="914">
      <c r="C914" s="36"/>
    </row>
    <row r="915">
      <c r="C915" s="36"/>
    </row>
    <row r="916">
      <c r="C916" s="36"/>
    </row>
    <row r="917">
      <c r="C917" s="36"/>
    </row>
    <row r="918">
      <c r="C918" s="36"/>
    </row>
    <row r="919">
      <c r="C919" s="36"/>
    </row>
    <row r="920">
      <c r="C920" s="36"/>
    </row>
    <row r="921">
      <c r="C921" s="36"/>
    </row>
    <row r="922">
      <c r="C922" s="36"/>
    </row>
    <row r="923">
      <c r="C923" s="36"/>
    </row>
    <row r="924">
      <c r="C924" s="36"/>
    </row>
    <row r="925">
      <c r="C925" s="36"/>
    </row>
    <row r="926">
      <c r="C926" s="36"/>
    </row>
    <row r="927">
      <c r="C927" s="36"/>
    </row>
    <row r="928">
      <c r="C928" s="36"/>
    </row>
    <row r="929">
      <c r="C929" s="36"/>
    </row>
    <row r="930">
      <c r="C930" s="36"/>
    </row>
    <row r="931">
      <c r="C931" s="36"/>
    </row>
    <row r="932">
      <c r="C932" s="36"/>
    </row>
    <row r="933">
      <c r="C933" s="36"/>
    </row>
    <row r="934">
      <c r="C934" s="36"/>
    </row>
    <row r="935">
      <c r="C935" s="36"/>
    </row>
    <row r="936">
      <c r="C936" s="36"/>
    </row>
    <row r="937">
      <c r="C937" s="36"/>
    </row>
    <row r="938">
      <c r="C938" s="36"/>
    </row>
    <row r="939">
      <c r="C939" s="36"/>
    </row>
    <row r="940">
      <c r="C940" s="36"/>
    </row>
    <row r="941">
      <c r="C941" s="36"/>
    </row>
    <row r="942">
      <c r="C942" s="36"/>
    </row>
    <row r="943">
      <c r="C943" s="36"/>
    </row>
    <row r="944">
      <c r="C944" s="36"/>
    </row>
    <row r="945">
      <c r="C945" s="36"/>
    </row>
    <row r="946">
      <c r="C946" s="36"/>
    </row>
    <row r="947">
      <c r="C947" s="36"/>
    </row>
    <row r="948">
      <c r="C948" s="36"/>
    </row>
    <row r="949">
      <c r="C949" s="36"/>
    </row>
    <row r="950">
      <c r="C950" s="36"/>
    </row>
    <row r="951">
      <c r="C951" s="36"/>
    </row>
    <row r="952">
      <c r="C952" s="36"/>
    </row>
    <row r="953">
      <c r="C953" s="36"/>
    </row>
    <row r="954">
      <c r="C954" s="36"/>
    </row>
    <row r="955">
      <c r="C955" s="36"/>
    </row>
    <row r="956">
      <c r="C956" s="36"/>
    </row>
    <row r="957">
      <c r="C957" s="36"/>
    </row>
    <row r="958">
      <c r="C958" s="36"/>
    </row>
    <row r="959">
      <c r="C959" s="36"/>
    </row>
    <row r="960">
      <c r="C960" s="36"/>
    </row>
    <row r="961">
      <c r="C961" s="36"/>
    </row>
    <row r="962">
      <c r="C962" s="36"/>
    </row>
    <row r="963">
      <c r="C963" s="36"/>
    </row>
    <row r="964">
      <c r="C964" s="36"/>
    </row>
    <row r="965">
      <c r="C965" s="36"/>
    </row>
    <row r="966">
      <c r="C966" s="36"/>
    </row>
    <row r="967">
      <c r="C967" s="36"/>
    </row>
    <row r="968">
      <c r="C968" s="36"/>
    </row>
    <row r="969">
      <c r="C969" s="36"/>
    </row>
    <row r="970">
      <c r="C970" s="36"/>
    </row>
    <row r="971">
      <c r="C971" s="36"/>
    </row>
    <row r="972">
      <c r="C972" s="36"/>
    </row>
    <row r="973">
      <c r="C973" s="36"/>
    </row>
    <row r="974">
      <c r="C974" s="36"/>
    </row>
    <row r="975">
      <c r="C975" s="36"/>
    </row>
    <row r="976">
      <c r="C976" s="36"/>
    </row>
    <row r="977">
      <c r="C977" s="36"/>
    </row>
    <row r="978">
      <c r="C978" s="36"/>
    </row>
    <row r="979">
      <c r="C979" s="36"/>
    </row>
    <row r="980">
      <c r="C980" s="36"/>
    </row>
    <row r="981">
      <c r="C981" s="36"/>
    </row>
    <row r="982">
      <c r="C982" s="36"/>
    </row>
    <row r="983">
      <c r="C983" s="36"/>
    </row>
    <row r="984">
      <c r="C984" s="36"/>
    </row>
    <row r="985">
      <c r="C985" s="36"/>
    </row>
    <row r="986">
      <c r="C986" s="36"/>
    </row>
    <row r="987">
      <c r="C987" s="36"/>
    </row>
    <row r="988">
      <c r="C988" s="36"/>
    </row>
    <row r="989">
      <c r="C989" s="36"/>
    </row>
    <row r="990">
      <c r="C990" s="36"/>
    </row>
    <row r="991">
      <c r="C991" s="36"/>
    </row>
    <row r="992">
      <c r="C992" s="36"/>
    </row>
    <row r="993">
      <c r="C993" s="36"/>
    </row>
    <row r="994">
      <c r="C994" s="36"/>
    </row>
    <row r="995">
      <c r="C995" s="36"/>
    </row>
    <row r="996">
      <c r="C996" s="36"/>
    </row>
    <row r="997">
      <c r="C997" s="36"/>
    </row>
    <row r="998">
      <c r="C998" s="36"/>
    </row>
    <row r="999">
      <c r="C999" s="36"/>
    </row>
    <row r="1000">
      <c r="C1000" s="36"/>
    </row>
  </sheetData>
  <conditionalFormatting sqref="J2:J24">
    <cfRule type="cellIs" dxfId="0" priority="1" operator="equal">
      <formula>"Update GTT Order"</formula>
    </cfRule>
  </conditionalFormatting>
  <conditionalFormatting sqref="J1:J1000">
    <cfRule type="cellIs" dxfId="0" priority="2" operator="equal">
      <formula>"Start GTT Order"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1.13"/>
  </cols>
  <sheetData>
    <row r="1">
      <c r="A1" s="52" t="s">
        <v>122</v>
      </c>
      <c r="B1" s="21" t="s">
        <v>17</v>
      </c>
      <c r="C1" s="22" t="s">
        <v>18</v>
      </c>
      <c r="D1" s="23" t="s">
        <v>19</v>
      </c>
      <c r="E1" s="24" t="s">
        <v>20</v>
      </c>
      <c r="F1" s="25" t="s">
        <v>21</v>
      </c>
      <c r="G1" s="25" t="s">
        <v>22</v>
      </c>
      <c r="H1" s="26" t="s">
        <v>23</v>
      </c>
      <c r="I1" s="27" t="s">
        <v>24</v>
      </c>
      <c r="J1" s="27" t="s">
        <v>25</v>
      </c>
    </row>
    <row r="2">
      <c r="A2" s="50" t="s">
        <v>123</v>
      </c>
      <c r="B2" s="30">
        <f>IFERROR(__xludf.DUMMYFUNCTION("GOOGLEFINANCE(A2,""price"")"),165.91)</f>
        <v>165.91</v>
      </c>
      <c r="C2" s="31">
        <f>IFERROR(__xludf.DUMMYFUNCTION("MAX(QUERY(SORT(GOOGLEFINANCE(A2,""high"",TODAY()-100,TODAY()),1,0),""select Col2 limit 55""))"),173.29)</f>
        <v>173.29</v>
      </c>
      <c r="D2" s="32">
        <f>IFERROR(__xludf.DUMMYFUNCTION("GOOGLEFINANCE(A2,""high52"")"),229.0)</f>
        <v>229</v>
      </c>
      <c r="E2" s="33">
        <f>IFERROR(__xludf.DUMMYFUNCTION("to_date(index(sort(GOOGLEFINANCE(A2, ""high"", today()-52*7, today(), ""DAILY""),2,0),2,1))"),45842.64583333333)</f>
        <v>45842.64583</v>
      </c>
      <c r="F2" s="32">
        <f>IFERROR(__xludf.DUMMYFUNCTION("GOOGLEFINANCE(A2,""low52"")"),141.74)</f>
        <v>141.74</v>
      </c>
      <c r="G2" s="33">
        <f>IFERROR(__xludf.DUMMYFUNCTION("to_date(index(sort(GOOGLEFINANCE(A2, ""low"", today()-52*7, today(), ""DAILY""),2,1),1,1))"),46114.64583333333)</f>
        <v>46114.64583</v>
      </c>
      <c r="H2" s="34">
        <f>IFERROR(__xludf.DUMMYFUNCTION("MIN(QUERY(SORT(GOOGLEFINANCE(A2,""low"",TODAY()-40,TODAY()),1,0),""select Col2 limit 20""))"),149.61)</f>
        <v>149.61</v>
      </c>
      <c r="I2" s="34">
        <f t="shared" ref="I2:I101" si="1">(C2-B2)*100/B2</f>
        <v>4.448194804</v>
      </c>
      <c r="J2" s="35" t="str">
        <f t="shared" ref="J2:J101" si="2">if(AND(G2&gt;E2,I2&gt;=10,I2&lt;=20),"Start GTT Order","No need to fresh start")</f>
        <v>No need to fresh start</v>
      </c>
    </row>
    <row r="3">
      <c r="A3" s="50" t="s">
        <v>124</v>
      </c>
      <c r="B3" s="30">
        <f>IFERROR(__xludf.DUMMYFUNCTION("GOOGLEFINANCE(A3,""price"")"),206.9)</f>
        <v>206.9</v>
      </c>
      <c r="C3" s="31">
        <f>IFERROR(__xludf.DUMMYFUNCTION("MAX(QUERY(SORT(GOOGLEFINANCE(A3,""high"",TODAY()-100,TODAY()),1,0),""select Col2 limit 55""))"),212.66)</f>
        <v>212.66</v>
      </c>
      <c r="D3" s="32">
        <f>IFERROR(__xludf.DUMMYFUNCTION("GOOGLEFINANCE(A3,""high52"")"),212.66)</f>
        <v>212.66</v>
      </c>
      <c r="E3" s="33">
        <f>IFERROR(__xludf.DUMMYFUNCTION("to_date(index(sort(GOOGLEFINANCE(A3, ""high"", today()-52*7, today(), ""DAILY""),2,0),2,1))"),46146.64583333333)</f>
        <v>46146.64583</v>
      </c>
      <c r="F3" s="32">
        <f>IFERROR(__xludf.DUMMYFUNCTION("GOOGLEFINANCE(A3,""low52"")"),134.25)</f>
        <v>134.25</v>
      </c>
      <c r="G3" s="33">
        <f>IFERROR(__xludf.DUMMYFUNCTION("to_date(index(sort(GOOGLEFINANCE(A3, ""low"", today()-52*7, today(), ""DAILY""),2,1),1,1))"),46000.64583333333)</f>
        <v>46000.64583</v>
      </c>
      <c r="H3" s="34">
        <f>IFERROR(__xludf.DUMMYFUNCTION("MIN(QUERY(SORT(GOOGLEFINANCE(A3,""low"",TODAY()-40,TODAY()),1,0),""select Col2 limit 20""))"),177.7)</f>
        <v>177.7</v>
      </c>
      <c r="I3" s="34">
        <f t="shared" si="1"/>
        <v>2.783953601</v>
      </c>
      <c r="J3" s="35" t="str">
        <f t="shared" si="2"/>
        <v>No need to fresh start</v>
      </c>
    </row>
    <row r="4">
      <c r="A4" s="50" t="s">
        <v>125</v>
      </c>
      <c r="B4" s="30">
        <f>IFERROR(__xludf.DUMMYFUNCTION("GOOGLEFINANCE(A4,""price"")"),1830.6)</f>
        <v>1830.6</v>
      </c>
      <c r="C4" s="31">
        <f>IFERROR(__xludf.DUMMYFUNCTION("MAX(QUERY(SORT(GOOGLEFINANCE(A4,""high"",TODAY()-100,TODAY()),1,0),""select Col2 limit 55""))"),1823.9)</f>
        <v>1823.9</v>
      </c>
      <c r="D4" s="32">
        <f>IFERROR(__xludf.DUMMYFUNCTION("GOOGLEFINANCE(A4,""high52"")"),1842.8)</f>
        <v>1842.8</v>
      </c>
      <c r="E4" s="33">
        <f>IFERROR(__xludf.DUMMYFUNCTION("to_date(index(sort(GOOGLEFINANCE(A4, ""high"", today()-52*7, today(), ""DAILY""),2,0),2,1))"),46157.64583333333)</f>
        <v>46157.64583</v>
      </c>
      <c r="F4" s="32">
        <f>IFERROR(__xludf.DUMMYFUNCTION("GOOGLEFINANCE(A4,""low52"")"),1290.5)</f>
        <v>1290.5</v>
      </c>
      <c r="G4" s="33">
        <f>IFERROR(__xludf.DUMMYFUNCTION("to_date(index(sort(GOOGLEFINANCE(A4, ""low"", today()-52*7, today(), ""DAILY""),2,1),1,1))"),45883.64583333333)</f>
        <v>45883.64583</v>
      </c>
      <c r="H4" s="34">
        <f>IFERROR(__xludf.DUMMYFUNCTION("MIN(QUERY(SORT(GOOGLEFINANCE(A4,""low"",TODAY()-40,TODAY()),1,0),""select Col2 limit 20""))"),1596.8)</f>
        <v>1596.8</v>
      </c>
      <c r="I4" s="34">
        <f t="shared" si="1"/>
        <v>-0.3660002185</v>
      </c>
      <c r="J4" s="35" t="str">
        <f t="shared" si="2"/>
        <v>No need to fresh start</v>
      </c>
    </row>
    <row r="5">
      <c r="A5" s="50" t="s">
        <v>126</v>
      </c>
      <c r="B5" s="30">
        <f>IFERROR(__xludf.DUMMYFUNCTION("GOOGLEFINANCE(A5,""price"")"),1166.7)</f>
        <v>1166.7</v>
      </c>
      <c r="C5" s="31">
        <f>IFERROR(__xludf.DUMMYFUNCTION("MAX(QUERY(SORT(GOOGLEFINANCE(A5,""high"",TODAY()-100,TODAY()),1,0),""select Col2 limit 55""))"),1474.9)</f>
        <v>1474.9</v>
      </c>
      <c r="D5" s="32">
        <f>IFERROR(__xludf.DUMMYFUNCTION("GOOGLEFINANCE(A5,""high52"")"),1780.1)</f>
        <v>1780.1</v>
      </c>
      <c r="E5" s="33">
        <f>IFERROR(__xludf.DUMMYFUNCTION("to_date(index(sort(GOOGLEFINANCE(A5, ""high"", today()-52*7, today(), ""DAILY""),2,0),2,1))"),46056.64583333333)</f>
        <v>46056.64583</v>
      </c>
      <c r="F5" s="32">
        <f>IFERROR(__xludf.DUMMYFUNCTION("GOOGLEFINANCE(A5,""low52"")"),1103.4)</f>
        <v>1103.4</v>
      </c>
      <c r="G5" s="33">
        <f>IFERROR(__xludf.DUMMYFUNCTION("to_date(index(sort(GOOGLEFINANCE(A5, ""low"", today()-52*7, today(), ""DAILY""),2,1),1,1))"),46156.64583333333)</f>
        <v>46156.64583</v>
      </c>
      <c r="H5" s="34">
        <f>IFERROR(__xludf.DUMMYFUNCTION("MIN(QUERY(SORT(GOOGLEFINANCE(A5,""low"",TODAY()-40,TODAY()),1,0),""select Col2 limit 20""))"),1103.4)</f>
        <v>1103.4</v>
      </c>
      <c r="I5" s="34">
        <f t="shared" si="1"/>
        <v>26.4163881</v>
      </c>
      <c r="J5" s="35" t="str">
        <f t="shared" si="2"/>
        <v>No need to fresh start</v>
      </c>
    </row>
    <row r="6">
      <c r="A6" s="50" t="s">
        <v>127</v>
      </c>
      <c r="B6" s="30" t="str">
        <f>IFERROR(__xludf.DUMMYFUNCTION("GOOGLEFINANCE(A6,""price"")"),"#N/A")</f>
        <v>#N/A</v>
      </c>
      <c r="C6" s="31" t="str">
        <f>IFERROR(__xludf.DUMMYFUNCTION("MAX(QUERY(SORT(GOOGLEFINANCE(A6,""high"",TODAY()-100,TODAY()),1,0),""select Col2 limit 55""))"),"#N/A")</f>
        <v>#N/A</v>
      </c>
      <c r="D6" s="32" t="str">
        <f>IFERROR(__xludf.DUMMYFUNCTION("GOOGLEFINANCE(A6,""high52"")"),"#N/A")</f>
        <v>#N/A</v>
      </c>
      <c r="E6" s="33" t="str">
        <f>IFERROR(__xludf.DUMMYFUNCTION("to_date(index(sort(GOOGLEFINANCE(A6, ""high"", today()-52*7, today(), ""DAILY""),2,0),2,1))"),"#N/A")</f>
        <v>#N/A</v>
      </c>
      <c r="F6" s="32" t="str">
        <f>IFERROR(__xludf.DUMMYFUNCTION("GOOGLEFINANCE(A6,""low52"")"),"#N/A")</f>
        <v>#N/A</v>
      </c>
      <c r="G6" s="33" t="str">
        <f>IFERROR(__xludf.DUMMYFUNCTION("to_date(index(sort(GOOGLEFINANCE(A6, ""low"", today()-52*7, today(), ""DAILY""),2,1),1,1))"),"#N/A")</f>
        <v>#N/A</v>
      </c>
      <c r="H6" s="34" t="str">
        <f>IFERROR(__xludf.DUMMYFUNCTION("MIN(QUERY(SORT(GOOGLEFINANCE(A6,""low"",TODAY()-40,TODAY()),1,0),""select Col2 limit 20""))"),"#N/A")</f>
        <v>#N/A</v>
      </c>
      <c r="I6" s="34" t="str">
        <f t="shared" si="1"/>
        <v>#N/A</v>
      </c>
      <c r="J6" s="35" t="str">
        <f t="shared" si="2"/>
        <v>#N/A</v>
      </c>
    </row>
    <row r="7">
      <c r="A7" s="50" t="s">
        <v>128</v>
      </c>
      <c r="B7" s="30">
        <f>IFERROR(__xludf.DUMMYFUNCTION("GOOGLEFINANCE(A7,""price"")"),4496.1)</f>
        <v>4496.1</v>
      </c>
      <c r="C7" s="31">
        <f>IFERROR(__xludf.DUMMYFUNCTION("MAX(QUERY(SORT(GOOGLEFINANCE(A7,""high"",TODAY()-100,TODAY()),1,0),""select Col2 limit 55""))"),4748.3)</f>
        <v>4748.3</v>
      </c>
      <c r="D7" s="32">
        <f>IFERROR(__xludf.DUMMYFUNCTION("GOOGLEFINANCE(A7,""high52"")"),6232.5)</f>
        <v>6232.5</v>
      </c>
      <c r="E7" s="33">
        <f>IFERROR(__xludf.DUMMYFUNCTION("to_date(index(sort(GOOGLEFINANCE(A7, ""high"", today()-52*7, today(), ""DAILY""),2,0),2,1))"),45887.64583333333)</f>
        <v>45887.64583</v>
      </c>
      <c r="F7" s="32">
        <f>IFERROR(__xludf.DUMMYFUNCTION("GOOGLEFINANCE(A7,""low52"")"),3895.2)</f>
        <v>3895.2</v>
      </c>
      <c r="G7" s="33">
        <f>IFERROR(__xludf.DUMMYFUNCTION("to_date(index(sort(GOOGLEFINANCE(A7, ""low"", today()-52*7, today(), ""DAILY""),2,1),1,1))"),46085.64583333333)</f>
        <v>46085.64583</v>
      </c>
      <c r="H7" s="34">
        <f>IFERROR(__xludf.DUMMYFUNCTION("MIN(QUERY(SORT(GOOGLEFINANCE(A7,""low"",TODAY()-40,TODAY()),1,0),""select Col2 limit 20""))"),4146.3)</f>
        <v>4146.3</v>
      </c>
      <c r="I7" s="34">
        <f t="shared" si="1"/>
        <v>5.609305843</v>
      </c>
      <c r="J7" s="35" t="str">
        <f t="shared" si="2"/>
        <v>No need to fresh start</v>
      </c>
    </row>
    <row r="8">
      <c r="A8" s="50" t="s">
        <v>129</v>
      </c>
      <c r="B8" s="30">
        <f>IFERROR(__xludf.DUMMYFUNCTION("GOOGLEFINANCE(A8,""price"")"),1475.7)</f>
        <v>1475.7</v>
      </c>
      <c r="C8" s="31">
        <f>IFERROR(__xludf.DUMMYFUNCTION("MAX(QUERY(SORT(GOOGLEFINANCE(A8,""high"",TODAY()-100,TODAY()),1,0),""select Col2 limit 55""))"),1531.3)</f>
        <v>1531.3</v>
      </c>
      <c r="D8" s="32">
        <f>IFERROR(__xludf.DUMMYFUNCTION("GOOGLEFINANCE(A8,""high52"")"),1854.0)</f>
        <v>1854</v>
      </c>
      <c r="E8" s="33">
        <f>IFERROR(__xludf.DUMMYFUNCTION("to_date(index(sort(GOOGLEFINANCE(A8, ""high"", today()-52*7, today(), ""DAILY""),2,0),2,1))"),46056.64583333333)</f>
        <v>46056.64583</v>
      </c>
      <c r="F8" s="32">
        <f>IFERROR(__xludf.DUMMYFUNCTION("GOOGLEFINANCE(A8,""low52"")"),1304.1)</f>
        <v>1304.1</v>
      </c>
      <c r="G8" s="33">
        <f>IFERROR(__xludf.DUMMYFUNCTION("to_date(index(sort(GOOGLEFINANCE(A8, ""low"", today()-52*7, today(), ""DAILY""),2,1),1,1))"),46090.64583333333)</f>
        <v>46090.64583</v>
      </c>
      <c r="H8" s="34">
        <f>IFERROR(__xludf.DUMMYFUNCTION("MIN(QUERY(SORT(GOOGLEFINANCE(A8,""low"",TODAY()-40,TODAY()),1,0),""select Col2 limit 20""))"),1327.3)</f>
        <v>1327.3</v>
      </c>
      <c r="I8" s="34">
        <f t="shared" si="1"/>
        <v>3.767703463</v>
      </c>
      <c r="J8" s="35" t="str">
        <f t="shared" si="2"/>
        <v>No need to fresh start</v>
      </c>
    </row>
    <row r="9">
      <c r="A9" s="50" t="s">
        <v>130</v>
      </c>
      <c r="B9" s="30">
        <f>IFERROR(__xludf.DUMMYFUNCTION("GOOGLEFINANCE(A9,""price"")"),2712.0)</f>
        <v>2712</v>
      </c>
      <c r="C9" s="31">
        <f>IFERROR(__xludf.DUMMYFUNCTION("MAX(QUERY(SORT(GOOGLEFINANCE(A9,""high"",TODAY()-100,TODAY()),1,0),""select Col2 limit 55""))"),2872.4)</f>
        <v>2872.4</v>
      </c>
      <c r="D9" s="32">
        <f>IFERROR(__xludf.DUMMYFUNCTION("GOOGLEFINANCE(A9,""high52"")"),2967.25)</f>
        <v>2967.25</v>
      </c>
      <c r="E9" s="33">
        <f>IFERROR(__xludf.DUMMYFUNCTION("to_date(index(sort(GOOGLEFINANCE(A9, ""high"", today()-52*7, today(), ""DAILY""),2,0),2,1))"),45946.64583333333)</f>
        <v>45946.64583</v>
      </c>
      <c r="F9" s="32">
        <f>IFERROR(__xludf.DUMMYFUNCTION("GOOGLEFINANCE(A9,""low52"")"),2205.6)</f>
        <v>2205.6</v>
      </c>
      <c r="G9" s="33">
        <f>IFERROR(__xludf.DUMMYFUNCTION("to_date(index(sort(GOOGLEFINANCE(A9, ""low"", today()-52*7, today(), ""DAILY""),2,1),1,1))"),46111.64583333333)</f>
        <v>46111.64583</v>
      </c>
      <c r="H9" s="34">
        <f>IFERROR(__xludf.DUMMYFUNCTION("MIN(QUERY(SORT(GOOGLEFINANCE(A9,""low"",TODAY()-40,TODAY()),1,0),""select Col2 limit 20""))"),2600.1)</f>
        <v>2600.1</v>
      </c>
      <c r="I9" s="34">
        <f t="shared" si="1"/>
        <v>5.914454277</v>
      </c>
      <c r="J9" s="35" t="str">
        <f t="shared" si="2"/>
        <v>No need to fresh start</v>
      </c>
    </row>
    <row r="10">
      <c r="A10" s="50" t="s">
        <v>131</v>
      </c>
      <c r="B10" s="30">
        <f>IFERROR(__xludf.DUMMYFUNCTION("GOOGLEFINANCE(A10,""price"")"),1165.5)</f>
        <v>1165.5</v>
      </c>
      <c r="C10" s="31">
        <f>IFERROR(__xludf.DUMMYFUNCTION("MAX(QUERY(SORT(GOOGLEFINANCE(A10,""high"",TODAY()-100,TODAY()),1,0),""select Col2 limit 55""))"),1376.9)</f>
        <v>1376.9</v>
      </c>
      <c r="D10" s="32">
        <f>IFERROR(__xludf.DUMMYFUNCTION("GOOGLEFINANCE(A10,""high52"")"),1728.0)</f>
        <v>1728</v>
      </c>
      <c r="E10" s="33">
        <f>IFERROR(__xludf.DUMMYFUNCTION("to_date(index(sort(GOOGLEFINANCE(A10, ""high"", today()-52*7, today(), ""DAILY""),2,0),2,1))"),46056.64583333333)</f>
        <v>46056.64583</v>
      </c>
      <c r="F10" s="32">
        <f>IFERROR(__xludf.DUMMYFUNCTION("GOOGLEFINANCE(A10,""low52"")"),1089.0)</f>
        <v>1089</v>
      </c>
      <c r="G10" s="33">
        <f>IFERROR(__xludf.DUMMYFUNCTION("to_date(index(sort(GOOGLEFINANCE(A10, ""low"", today()-52*7, today(), ""DAILY""),2,1),1,1))"),46156.64583333333)</f>
        <v>46156.64583</v>
      </c>
      <c r="H10" s="34">
        <f>IFERROR(__xludf.DUMMYFUNCTION("MIN(QUERY(SORT(GOOGLEFINANCE(A10,""low"",TODAY()-40,TODAY()),1,0),""select Col2 limit 20""))"),1089.0)</f>
        <v>1089</v>
      </c>
      <c r="I10" s="34">
        <f t="shared" si="1"/>
        <v>18.13813814</v>
      </c>
      <c r="J10" s="35" t="str">
        <f t="shared" si="2"/>
        <v>Start GTT Order</v>
      </c>
    </row>
    <row r="11">
      <c r="A11" s="50" t="s">
        <v>132</v>
      </c>
      <c r="B11" s="30" t="str">
        <f>IFERROR(__xludf.DUMMYFUNCTION("GOOGLEFINANCE(A11,""price"")"),"#N/A")</f>
        <v>#N/A</v>
      </c>
      <c r="C11" s="31" t="str">
        <f>IFERROR(__xludf.DUMMYFUNCTION("MAX(QUERY(SORT(GOOGLEFINANCE(A11,""high"",TODAY()-100,TODAY()),1,0),""select Col2 limit 55""))"),"#N/A")</f>
        <v>#N/A</v>
      </c>
      <c r="D11" s="32" t="str">
        <f>IFERROR(__xludf.DUMMYFUNCTION("GOOGLEFINANCE(A11,""high52"")"),"#N/A")</f>
        <v>#N/A</v>
      </c>
      <c r="E11" s="33" t="str">
        <f>IFERROR(__xludf.DUMMYFUNCTION("to_date(index(sort(GOOGLEFINANCE(A11, ""high"", today()-52*7, today(), ""DAILY""),2,0),2,1))"),"#N/A")</f>
        <v>#N/A</v>
      </c>
      <c r="F11" s="32" t="str">
        <f>IFERROR(__xludf.DUMMYFUNCTION("GOOGLEFINANCE(A11,""low52"")"),"#N/A")</f>
        <v>#N/A</v>
      </c>
      <c r="G11" s="33" t="str">
        <f>IFERROR(__xludf.DUMMYFUNCTION("to_date(index(sort(GOOGLEFINANCE(A11, ""low"", today()-52*7, today(), ""DAILY""),2,1),1,1))"),"#N/A")</f>
        <v>#N/A</v>
      </c>
      <c r="H11" s="34" t="str">
        <f>IFERROR(__xludf.DUMMYFUNCTION("MIN(QUERY(SORT(GOOGLEFINANCE(A11,""low"",TODAY()-40,TODAY()),1,0),""select Col2 limit 20""))"),"#N/A")</f>
        <v>#N/A</v>
      </c>
      <c r="I11" s="34" t="str">
        <f t="shared" si="1"/>
        <v>#N/A</v>
      </c>
      <c r="J11" s="35" t="str">
        <f t="shared" si="2"/>
        <v>#N/A</v>
      </c>
    </row>
    <row r="12">
      <c r="A12" s="50" t="s">
        <v>74</v>
      </c>
      <c r="B12" s="30">
        <f>IFERROR(__xludf.DUMMYFUNCTION("GOOGLEFINANCE(A12,""price"")"),168.69)</f>
        <v>168.69</v>
      </c>
      <c r="C12" s="31">
        <f>IFERROR(__xludf.DUMMYFUNCTION("MAX(QUERY(SORT(GOOGLEFINANCE(A12,""high"",TODAY()-100,TODAY()),1,0),""select Col2 limit 55""))"),170.7)</f>
        <v>170.7</v>
      </c>
      <c r="D12" s="32">
        <f>IFERROR(__xludf.DUMMYFUNCTION("GOOGLEFINANCE(A12,""high52"")"),202.79)</f>
        <v>202.79</v>
      </c>
      <c r="E12" s="33">
        <f>IFERROR(__xludf.DUMMYFUNCTION("to_date(index(sort(GOOGLEFINANCE(A12, ""high"", today()-52*7, today(), ""DAILY""),2,0),2,1))"),45820.64583333333)</f>
        <v>45820.64583</v>
      </c>
      <c r="F12" s="32">
        <f>IFERROR(__xludf.DUMMYFUNCTION("GOOGLEFINANCE(A12,""low52"")"),134.36)</f>
        <v>134.36</v>
      </c>
      <c r="G12" s="33">
        <f>IFERROR(__xludf.DUMMYFUNCTION("to_date(index(sort(GOOGLEFINANCE(A12, ""low"", today()-52*7, today(), ""DAILY""),2,1),1,1))"),46104.64583333333)</f>
        <v>46104.64583</v>
      </c>
      <c r="H12" s="34">
        <f>IFERROR(__xludf.DUMMYFUNCTION("MIN(QUERY(SORT(GOOGLEFINANCE(A12,""low"",TODAY()-40,TODAY()),1,0),""select Col2 limit 20""))"),151.41)</f>
        <v>151.41</v>
      </c>
      <c r="I12" s="34">
        <f t="shared" si="1"/>
        <v>1.191534768</v>
      </c>
      <c r="J12" s="35" t="str">
        <f t="shared" si="2"/>
        <v>No need to fresh start</v>
      </c>
    </row>
    <row r="13">
      <c r="A13" s="50" t="s">
        <v>133</v>
      </c>
      <c r="B13" s="30">
        <f>IFERROR(__xludf.DUMMYFUNCTION("GOOGLEFINANCE(A13,""price"")"),1001.55)</f>
        <v>1001.55</v>
      </c>
      <c r="C13" s="31">
        <f>IFERROR(__xludf.DUMMYFUNCTION("MAX(QUERY(SORT(GOOGLEFINANCE(A13,""high"",TODAY()-100,TODAY()),1,0),""select Col2 limit 55""))"),1080.9)</f>
        <v>1080.9</v>
      </c>
      <c r="D13" s="32">
        <f>IFERROR(__xludf.DUMMYFUNCTION("GOOGLEFINANCE(A13,""high52"")"),1550.0)</f>
        <v>1550</v>
      </c>
      <c r="E13" s="33">
        <f>IFERROR(__xludf.DUMMYFUNCTION("to_date(index(sort(GOOGLEFINANCE(A13, ""high"", today()-52*7, today(), ""DAILY""),2,0),2,1))"),45818.64583333333)</f>
        <v>45818.64583</v>
      </c>
      <c r="F13" s="32">
        <f>IFERROR(__xludf.DUMMYFUNCTION("GOOGLEFINANCE(A13,""low52"")"),908.3)</f>
        <v>908.3</v>
      </c>
      <c r="G13" s="33">
        <f>IFERROR(__xludf.DUMMYFUNCTION("to_date(index(sort(GOOGLEFINANCE(A13, ""low"", today()-52*7, today(), ""DAILY""),2,1),1,1))"),46167.64583333333)</f>
        <v>46167.64583</v>
      </c>
      <c r="H13" s="34">
        <f>IFERROR(__xludf.DUMMYFUNCTION("MIN(QUERY(SORT(GOOGLEFINANCE(A13,""low"",TODAY()-40,TODAY()),1,0),""select Col2 limit 20""))"),908.3)</f>
        <v>908.3</v>
      </c>
      <c r="I13" s="34">
        <f t="shared" si="1"/>
        <v>7.922719784</v>
      </c>
      <c r="J13" s="35" t="str">
        <f t="shared" si="2"/>
        <v>No need to fresh start</v>
      </c>
    </row>
    <row r="14">
      <c r="A14" s="50" t="s">
        <v>134</v>
      </c>
      <c r="B14" s="30" t="str">
        <f>IFERROR(__xludf.DUMMYFUNCTION("GOOGLEFINANCE(A14,""price"")"),"#N/A")</f>
        <v>#N/A</v>
      </c>
      <c r="C14" s="31" t="str">
        <f>IFERROR(__xludf.DUMMYFUNCTION("MAX(QUERY(SORT(GOOGLEFINANCE(A14,""high"",TODAY()-100,TODAY()),1,0),""select Col2 limit 55""))"),"#N/A")</f>
        <v>#N/A</v>
      </c>
      <c r="D14" s="32" t="str">
        <f>IFERROR(__xludf.DUMMYFUNCTION("GOOGLEFINANCE(A14,""high52"")"),"#N/A")</f>
        <v>#N/A</v>
      </c>
      <c r="E14" s="33" t="str">
        <f>IFERROR(__xludf.DUMMYFUNCTION("to_date(index(sort(GOOGLEFINANCE(A14, ""high"", today()-52*7, today(), ""DAILY""),2,0),2,1))"),"#N/A")</f>
        <v>#N/A</v>
      </c>
      <c r="F14" s="32" t="str">
        <f>IFERROR(__xludf.DUMMYFUNCTION("GOOGLEFINANCE(A14,""low52"")"),"#N/A")</f>
        <v>#N/A</v>
      </c>
      <c r="G14" s="33" t="str">
        <f>IFERROR(__xludf.DUMMYFUNCTION("to_date(index(sort(GOOGLEFINANCE(A14, ""low"", today()-52*7, today(), ""DAILY""),2,1),1,1))"),"#N/A")</f>
        <v>#N/A</v>
      </c>
      <c r="H14" s="34" t="str">
        <f>IFERROR(__xludf.DUMMYFUNCTION("MIN(QUERY(SORT(GOOGLEFINANCE(A14,""low"",TODAY()-40,TODAY()),1,0),""select Col2 limit 20""))"),"#N/A")</f>
        <v>#N/A</v>
      </c>
      <c r="I14" s="34" t="str">
        <f t="shared" si="1"/>
        <v>#N/A</v>
      </c>
      <c r="J14" s="35" t="str">
        <f t="shared" si="2"/>
        <v>#N/A</v>
      </c>
    </row>
    <row r="15">
      <c r="A15" s="50" t="s">
        <v>135</v>
      </c>
      <c r="B15" s="30">
        <f>IFERROR(__xludf.DUMMYFUNCTION("GOOGLEFINANCE(A15,""price"")"),205.72)</f>
        <v>205.72</v>
      </c>
      <c r="C15" s="31">
        <f>IFERROR(__xludf.DUMMYFUNCTION("MAX(QUERY(SORT(GOOGLEFINANCE(A15,""high"",TODAY()-100,TODAY()),1,0),""select Col2 limit 55""))"),212.98)</f>
        <v>212.98</v>
      </c>
      <c r="D15" s="32">
        <f>IFERROR(__xludf.DUMMYFUNCTION("GOOGLEFINANCE(A15,""high52"")"),273.1)</f>
        <v>273.1</v>
      </c>
      <c r="E15" s="33">
        <f>IFERROR(__xludf.DUMMYFUNCTION("to_date(index(sort(GOOGLEFINANCE(A15, ""high"", today()-52*7, today(), ""DAILY""),2,0),2,1))"),46013.64583333333)</f>
        <v>46013.64583</v>
      </c>
      <c r="F15" s="32">
        <f>IFERROR(__xludf.DUMMYFUNCTION("GOOGLEFINANCE(A15,""low52"")"),186.5)</f>
        <v>186.5</v>
      </c>
      <c r="G15" s="33">
        <f>IFERROR(__xludf.DUMMYFUNCTION("to_date(index(sort(GOOGLEFINANCE(A15, ""low"", today()-52*7, today(), ""DAILY""),2,1),1,1))"),46111.64583333333)</f>
        <v>46111.64583</v>
      </c>
      <c r="H15" s="34">
        <f>IFERROR(__xludf.DUMMYFUNCTION("MIN(QUERY(SORT(GOOGLEFINANCE(A15,""low"",TODAY()-40,TODAY()),1,0),""select Col2 limit 20""))"),187.0)</f>
        <v>187</v>
      </c>
      <c r="I15" s="34">
        <f t="shared" si="1"/>
        <v>3.529068637</v>
      </c>
      <c r="J15" s="35" t="str">
        <f t="shared" si="2"/>
        <v>No need to fresh start</v>
      </c>
    </row>
    <row r="16">
      <c r="A16" s="50" t="s">
        <v>136</v>
      </c>
      <c r="B16" s="30">
        <f>IFERROR(__xludf.DUMMYFUNCTION("GOOGLEFINANCE(A16,""price"")"),4466.4)</f>
        <v>4466.4</v>
      </c>
      <c r="C16" s="31">
        <f>IFERROR(__xludf.DUMMYFUNCTION("MAX(QUERY(SORT(GOOGLEFINANCE(A16,""high"",TODAY()-100,TODAY()),1,0),""select Col2 limit 55""))"),4712.9)</f>
        <v>4712.9</v>
      </c>
      <c r="D16" s="32">
        <f>IFERROR(__xludf.DUMMYFUNCTION("GOOGLEFINANCE(A16,""high52"")"),4712.9)</f>
        <v>4712.9</v>
      </c>
      <c r="E16" s="33">
        <f>IFERROR(__xludf.DUMMYFUNCTION("to_date(index(sort(GOOGLEFINANCE(A16, ""high"", today()-52*7, today(), ""DAILY""),2,0),2,1))"),46167.64583333333)</f>
        <v>46167.64583</v>
      </c>
      <c r="F16" s="32">
        <f>IFERROR(__xludf.DUMMYFUNCTION("GOOGLEFINANCE(A16,""low52"")"),3102.0)</f>
        <v>3102</v>
      </c>
      <c r="G16" s="33">
        <f>IFERROR(__xludf.DUMMYFUNCTION("to_date(index(sort(GOOGLEFINANCE(A16, ""low"", today()-52*7, today(), ""DAILY""),2,1),1,1))"),45810.64583333333)</f>
        <v>45810.64583</v>
      </c>
      <c r="H16" s="34">
        <f>IFERROR(__xludf.DUMMYFUNCTION("MIN(QUERY(SORT(GOOGLEFINANCE(A16,""low"",TODAY()-40,TODAY()),1,0),""select Col2 limit 20""))"),4146.1)</f>
        <v>4146.1</v>
      </c>
      <c r="I16" s="34">
        <f t="shared" si="1"/>
        <v>5.518986208</v>
      </c>
      <c r="J16" s="35" t="str">
        <f t="shared" si="2"/>
        <v>No need to fresh start</v>
      </c>
    </row>
    <row r="17">
      <c r="A17" s="50" t="s">
        <v>137</v>
      </c>
      <c r="B17" s="30">
        <f>IFERROR(__xludf.DUMMYFUNCTION("GOOGLEFINANCE(A17,""price"")"),521.55)</f>
        <v>521.55</v>
      </c>
      <c r="C17" s="31">
        <f>IFERROR(__xludf.DUMMYFUNCTION("MAX(QUERY(SORT(GOOGLEFINANCE(A17,""high"",TODAY()-100,TODAY()),1,0),""select Col2 limit 55""))"),650.0)</f>
        <v>650</v>
      </c>
      <c r="D17" s="32">
        <f>IFERROR(__xludf.DUMMYFUNCTION("GOOGLEFINANCE(A17,""high52"")"),706.8)</f>
        <v>706.8</v>
      </c>
      <c r="E17" s="33">
        <f>IFERROR(__xludf.DUMMYFUNCTION("to_date(index(sort(GOOGLEFINANCE(A17, ""high"", today()-52*7, today(), ""DAILY""),2,0),2,1))"),46035.64583333333)</f>
        <v>46035.64583</v>
      </c>
      <c r="F17" s="32">
        <f>IFERROR(__xludf.DUMMYFUNCTION("GOOGLEFINANCE(A17,""low52"")"),488.6)</f>
        <v>488.6</v>
      </c>
      <c r="G17" s="33">
        <f>IFERROR(__xludf.DUMMYFUNCTION("to_date(index(sort(GOOGLEFINANCE(A17, ""low"", today()-52*7, today(), ""DAILY""),2,1),1,1))"),46160.64583333333)</f>
        <v>46160.64583</v>
      </c>
      <c r="H17" s="34">
        <f>IFERROR(__xludf.DUMMYFUNCTION("MIN(QUERY(SORT(GOOGLEFINANCE(A17,""low"",TODAY()-40,TODAY()),1,0),""select Col2 limit 20""))"),488.6)</f>
        <v>488.6</v>
      </c>
      <c r="I17" s="34">
        <f t="shared" si="1"/>
        <v>24.62851117</v>
      </c>
      <c r="J17" s="35" t="str">
        <f t="shared" si="2"/>
        <v>No need to fresh start</v>
      </c>
    </row>
    <row r="18">
      <c r="A18" s="50" t="s">
        <v>59</v>
      </c>
      <c r="B18" s="30">
        <f>IFERROR(__xludf.DUMMYFUNCTION("GOOGLEFINANCE(A18,""price"")"),298.05)</f>
        <v>298.05</v>
      </c>
      <c r="C18" s="31">
        <f>IFERROR(__xludf.DUMMYFUNCTION("MAX(QUERY(SORT(GOOGLEFINANCE(A18,""high"",TODAY()-100,TODAY()),1,0),""select Col2 limit 55""))"),324.95)</f>
        <v>324.95</v>
      </c>
      <c r="D18" s="32">
        <f>IFERROR(__xludf.DUMMYFUNCTION("GOOGLEFINANCE(A18,""high52"")"),324.95)</f>
        <v>324.95</v>
      </c>
      <c r="E18" s="33">
        <f>IFERROR(__xludf.DUMMYFUNCTION("to_date(index(sort(GOOGLEFINANCE(A18, ""high"", today()-52*7, today(), ""DAILY""),2,0),2,1))"),46139.64583333333)</f>
        <v>46139.64583</v>
      </c>
      <c r="F18" s="32">
        <f>IFERROR(__xludf.DUMMYFUNCTION("GOOGLEFINANCE(A18,""low52"")"),250.0)</f>
        <v>250</v>
      </c>
      <c r="G18" s="33">
        <f>IFERROR(__xludf.DUMMYFUNCTION("to_date(index(sort(GOOGLEFINANCE(A18, ""low"", today()-52*7, today(), ""DAILY""),2,1),1,1))"),46055.64583333333)</f>
        <v>46055.64583</v>
      </c>
      <c r="H18" s="34">
        <f>IFERROR(__xludf.DUMMYFUNCTION("MIN(QUERY(SORT(GOOGLEFINANCE(A18,""low"",TODAY()-40,TODAY()),1,0),""select Col2 limit 20""))"),290.2)</f>
        <v>290.2</v>
      </c>
      <c r="I18" s="34">
        <f t="shared" si="1"/>
        <v>9.02533132</v>
      </c>
      <c r="J18" s="35" t="str">
        <f t="shared" si="2"/>
        <v>No need to fresh start</v>
      </c>
    </row>
    <row r="19">
      <c r="A19" s="50" t="s">
        <v>138</v>
      </c>
      <c r="B19" s="30">
        <f>IFERROR(__xludf.DUMMYFUNCTION("GOOGLEFINANCE(A19,""price"")"),433.8)</f>
        <v>433.8</v>
      </c>
      <c r="C19" s="31">
        <f>IFERROR(__xludf.DUMMYFUNCTION("MAX(QUERY(SORT(GOOGLEFINANCE(A19,""high"",TODAY()-100,TODAY()),1,0),""select Col2 limit 55""))"),440.4)</f>
        <v>440.4</v>
      </c>
      <c r="D19" s="32">
        <f>IFERROR(__xludf.DUMMYFUNCTION("GOOGLEFINANCE(A19,""high52"")"),438.45)</f>
        <v>438.45</v>
      </c>
      <c r="E19" s="33">
        <f>IFERROR(__xludf.DUMMYFUNCTION("to_date(index(sort(GOOGLEFINANCE(A19, ""high"", today()-52*7, today(), ""DAILY""),2,0),2,1))"),46168.64583333333)</f>
        <v>46168.64583</v>
      </c>
      <c r="F19" s="32">
        <f>IFERROR(__xludf.DUMMYFUNCTION("GOOGLEFINANCE(A19,""low52"")"),327.6)</f>
        <v>327.6</v>
      </c>
      <c r="G19" s="33">
        <f>IFERROR(__xludf.DUMMYFUNCTION("to_date(index(sort(GOOGLEFINANCE(A19, ""low"", today()-52*7, today(), ""DAILY""),2,1),1,1))"),45814.64583333333)</f>
        <v>45814.64583</v>
      </c>
      <c r="H19" s="34">
        <f>IFERROR(__xludf.DUMMYFUNCTION("MIN(QUERY(SORT(GOOGLEFINANCE(A19,""low"",TODAY()-40,TODAY()),1,0),""select Col2 limit 20""))"),354.25)</f>
        <v>354.25</v>
      </c>
      <c r="I19" s="34">
        <f t="shared" si="1"/>
        <v>1.521438451</v>
      </c>
      <c r="J19" s="35" t="str">
        <f t="shared" si="2"/>
        <v>No need to fresh start</v>
      </c>
    </row>
    <row r="20">
      <c r="A20" s="50" t="s">
        <v>139</v>
      </c>
      <c r="B20" s="30">
        <f>IFERROR(__xludf.DUMMYFUNCTION("GOOGLEFINANCE(A20,""price"")"),597.45)</f>
        <v>597.45</v>
      </c>
      <c r="C20" s="31">
        <f>IFERROR(__xludf.DUMMYFUNCTION("MAX(QUERY(SORT(GOOGLEFINANCE(A20,""high"",TODAY()-100,TODAY()),1,0),""select Col2 limit 55""))"),620.0)</f>
        <v>620</v>
      </c>
      <c r="D20" s="32">
        <f>IFERROR(__xludf.DUMMYFUNCTION("GOOGLEFINANCE(A20,""high52"")"),886.8)</f>
        <v>886.8</v>
      </c>
      <c r="E20" s="33">
        <f>IFERROR(__xludf.DUMMYFUNCTION("to_date(index(sort(GOOGLEFINANCE(A20, ""high"", today()-52*7, today(), ""DAILY""),2,0),2,1))"),45817.64583333333)</f>
        <v>45817.64583</v>
      </c>
      <c r="F20" s="32">
        <f>IFERROR(__xludf.DUMMYFUNCTION("GOOGLEFINANCE(A20,""low52"")"),489.4)</f>
        <v>489.4</v>
      </c>
      <c r="G20" s="33">
        <f>IFERROR(__xludf.DUMMYFUNCTION("to_date(index(sort(GOOGLEFINANCE(A20, ""low"", today()-52*7, today(), ""DAILY""),2,1),1,1))"),46114.64583333333)</f>
        <v>46114.64583</v>
      </c>
      <c r="H20" s="34">
        <f>IFERROR(__xludf.DUMMYFUNCTION("MIN(QUERY(SORT(GOOGLEFINANCE(A20,""low"",TODAY()-40,TODAY()),1,0),""select Col2 limit 20""))"),553.8)</f>
        <v>553.8</v>
      </c>
      <c r="I20" s="34">
        <f t="shared" si="1"/>
        <v>3.774374425</v>
      </c>
      <c r="J20" s="35" t="str">
        <f t="shared" si="2"/>
        <v>No need to fresh start</v>
      </c>
    </row>
    <row r="21">
      <c r="A21" s="50" t="s">
        <v>140</v>
      </c>
      <c r="B21" s="30">
        <f>IFERROR(__xludf.DUMMYFUNCTION("GOOGLEFINANCE(A21,""price"")"),1478.2)</f>
        <v>1478.2</v>
      </c>
      <c r="C21" s="31">
        <f>IFERROR(__xludf.DUMMYFUNCTION("MAX(QUERY(SORT(GOOGLEFINANCE(A21,""high"",TODAY()-100,TODAY()),1,0),""select Col2 limit 55""))"),1515.0)</f>
        <v>1515</v>
      </c>
      <c r="D21" s="32">
        <f>IFERROR(__xludf.DUMMYFUNCTION("GOOGLEFINANCE(A21,""high52"")"),1574.95)</f>
        <v>1574.95</v>
      </c>
      <c r="E21" s="33">
        <f>IFERROR(__xludf.DUMMYFUNCTION("to_date(index(sort(GOOGLEFINANCE(A21, ""high"", today()-52*7, today(), ""DAILY""),2,0),2,1))"),45903.64583333333)</f>
        <v>45903.64583</v>
      </c>
      <c r="F21" s="32">
        <f>IFERROR(__xludf.DUMMYFUNCTION("GOOGLEFINANCE(A21,""low52"")"),1259.0)</f>
        <v>1259</v>
      </c>
      <c r="G21" s="33">
        <f>IFERROR(__xludf.DUMMYFUNCTION("to_date(index(sort(GOOGLEFINANCE(A21, ""low"", today()-52*7, today(), ""DAILY""),2,1),1,1))"),46118.64583333333)</f>
        <v>46118.64583</v>
      </c>
      <c r="H21" s="34">
        <f>IFERROR(__xludf.DUMMYFUNCTION("MIN(QUERY(SORT(GOOGLEFINANCE(A21,""low"",TODAY()-40,TODAY()),1,0),""select Col2 limit 20""))"),1347.7)</f>
        <v>1347.7</v>
      </c>
      <c r="I21" s="34">
        <f t="shared" si="1"/>
        <v>2.489514274</v>
      </c>
      <c r="J21" s="35" t="str">
        <f t="shared" si="2"/>
        <v>No need to fresh start</v>
      </c>
    </row>
    <row r="22">
      <c r="A22" s="50" t="s">
        <v>141</v>
      </c>
      <c r="B22" s="30">
        <f>IFERROR(__xludf.DUMMYFUNCTION("GOOGLEFINANCE(A22,""price"")"),1835.1)</f>
        <v>1835.1</v>
      </c>
      <c r="C22" s="31">
        <f>IFERROR(__xludf.DUMMYFUNCTION("MAX(QUERY(SORT(GOOGLEFINANCE(A22,""high"",TODAY()-100,TODAY()),1,0),""select Col2 limit 55""))"),1916.6)</f>
        <v>1916.6</v>
      </c>
      <c r="D22" s="32">
        <f>IFERROR(__xludf.DUMMYFUNCTION("GOOGLEFINANCE(A22,""high52"")"),1916.6)</f>
        <v>1916.6</v>
      </c>
      <c r="E22" s="33">
        <f>IFERROR(__xludf.DUMMYFUNCTION("to_date(index(sort(GOOGLEFINANCE(A22, ""high"", today()-52*7, today(), ""DAILY""),2,0),2,1))"),46161.64583333333)</f>
        <v>46161.64583</v>
      </c>
      <c r="F22" s="32">
        <f>IFERROR(__xludf.DUMMYFUNCTION("GOOGLEFINANCE(A22,""low52"")"),1548.0)</f>
        <v>1548</v>
      </c>
      <c r="G22" s="33">
        <f>IFERROR(__xludf.DUMMYFUNCTION("to_date(index(sort(GOOGLEFINANCE(A22, ""low"", today()-52*7, today(), ""DAILY""),2,1),1,1))"),45926.64583333333)</f>
        <v>45926.64583</v>
      </c>
      <c r="H22" s="34">
        <f>IFERROR(__xludf.DUMMYFUNCTION("MIN(QUERY(SORT(GOOGLEFINANCE(A22,""low"",TODAY()-40,TODAY()),1,0),""select Col2 limit 20""))"),1714.3)</f>
        <v>1714.3</v>
      </c>
      <c r="I22" s="34">
        <f t="shared" si="1"/>
        <v>4.441174868</v>
      </c>
      <c r="J22" s="35" t="str">
        <f t="shared" si="2"/>
        <v>No need to fresh start</v>
      </c>
    </row>
    <row r="23">
      <c r="A23" s="50" t="s">
        <v>47</v>
      </c>
      <c r="B23" s="30">
        <f>IFERROR(__xludf.DUMMYFUNCTION("GOOGLEFINANCE(A23,""price"")"),397.5)</f>
        <v>397.5</v>
      </c>
      <c r="C23" s="31">
        <f>IFERROR(__xludf.DUMMYFUNCTION("MAX(QUERY(SORT(GOOGLEFINANCE(A23,""high"",TODAY()-100,TODAY()),1,0),""select Col2 limit 55""))"),417.95)</f>
        <v>417.95</v>
      </c>
      <c r="D23" s="32">
        <f>IFERROR(__xludf.DUMMYFUNCTION("GOOGLEFINANCE(A23,""high52"")"),435.8)</f>
        <v>435.8</v>
      </c>
      <c r="E23" s="33">
        <f>IFERROR(__xludf.DUMMYFUNCTION("to_date(index(sort(GOOGLEFINANCE(A23, ""high"", today()-52*7, today(), ""DAILY""),2,0),2,1))"),45805.64583333333)</f>
        <v>45805.64583</v>
      </c>
      <c r="F23" s="32">
        <f>IFERROR(__xludf.DUMMYFUNCTION("GOOGLEFINANCE(A23,""low52"")"),350.25)</f>
        <v>350.25</v>
      </c>
      <c r="G23" s="33">
        <f>IFERROR(__xludf.DUMMYFUNCTION("to_date(index(sort(GOOGLEFINANCE(A23, ""low"", today()-52*7, today(), ""DAILY""),2,1),1,1))"),46090.64583333333)</f>
        <v>46090.64583</v>
      </c>
      <c r="H23" s="34">
        <f>IFERROR(__xludf.DUMMYFUNCTION("MIN(QUERY(SORT(GOOGLEFINANCE(A23,""low"",TODAY()-40,TODAY()),1,0),""select Col2 limit 20""))"),378.2)</f>
        <v>378.2</v>
      </c>
      <c r="I23" s="34">
        <f t="shared" si="1"/>
        <v>5.144654088</v>
      </c>
      <c r="J23" s="35" t="str">
        <f t="shared" si="2"/>
        <v>No need to fresh start</v>
      </c>
    </row>
    <row r="24">
      <c r="A24" s="50" t="s">
        <v>142</v>
      </c>
      <c r="B24" s="30">
        <f>IFERROR(__xludf.DUMMYFUNCTION("GOOGLEFINANCE(A24,""price"")"),2251.3)</f>
        <v>2251.3</v>
      </c>
      <c r="C24" s="31">
        <f>IFERROR(__xludf.DUMMYFUNCTION("MAX(QUERY(SORT(GOOGLEFINANCE(A24,""high"",TODAY()-100,TODAY()),1,0),""select Col2 limit 55""))"),2494.0)</f>
        <v>2494</v>
      </c>
      <c r="D24" s="32">
        <f>IFERROR(__xludf.DUMMYFUNCTION("GOOGLEFINANCE(A24,""high52"")"),2494.0)</f>
        <v>2494</v>
      </c>
      <c r="E24" s="33">
        <f>IFERROR(__xludf.DUMMYFUNCTION("to_date(index(sort(GOOGLEFINANCE(A24, ""high"", today()-52*7, today(), ""DAILY""),2,0),2,1))"),46149.64583333333)</f>
        <v>46149.64583</v>
      </c>
      <c r="F24" s="32">
        <f>IFERROR(__xludf.DUMMYFUNCTION("GOOGLEFINANCE(A24,""low52"")"),1836.8)</f>
        <v>1836.8</v>
      </c>
      <c r="G24" s="33">
        <f>IFERROR(__xludf.DUMMYFUNCTION("to_date(index(sort(GOOGLEFINANCE(A24, ""low"", today()-52*7, today(), ""DAILY""),2,1),1,1))"),45875.64583333333)</f>
        <v>45875.64583</v>
      </c>
      <c r="H24" s="34">
        <f>IFERROR(__xludf.DUMMYFUNCTION("MIN(QUERY(SORT(GOOGLEFINANCE(A24,""low"",TODAY()-40,TODAY()),1,0),""select Col2 limit 20""))"),2210.6)</f>
        <v>2210.6</v>
      </c>
      <c r="I24" s="34">
        <f t="shared" si="1"/>
        <v>10.78043797</v>
      </c>
      <c r="J24" s="35" t="str">
        <f t="shared" si="2"/>
        <v>No need to fresh start</v>
      </c>
    </row>
    <row r="25">
      <c r="A25" s="50" t="s">
        <v>143</v>
      </c>
      <c r="B25" s="30">
        <f>IFERROR(__xludf.DUMMYFUNCTION("GOOGLEFINANCE(A25,""price"")"),4068.6)</f>
        <v>4068.6</v>
      </c>
      <c r="C25" s="31">
        <f>IFERROR(__xludf.DUMMYFUNCTION("MAX(QUERY(SORT(GOOGLEFINANCE(A25,""high"",TODAY()-100,TODAY()),1,0),""select Col2 limit 55""))"),4149.0)</f>
        <v>4149</v>
      </c>
      <c r="D25" s="32">
        <f>IFERROR(__xludf.DUMMYFUNCTION("GOOGLEFINANCE(A25,""high52"")"),4440.0)</f>
        <v>4440</v>
      </c>
      <c r="E25" s="33">
        <f>IFERROR(__xludf.DUMMYFUNCTION("to_date(index(sort(GOOGLEFINANCE(A25, ""high"", today()-52*7, today(), ""DAILY""),2,0),2,1))"),46077.64583333333)</f>
        <v>46077.64583</v>
      </c>
      <c r="F25" s="32">
        <f>IFERROR(__xludf.DUMMYFUNCTION("GOOGLEFINANCE(A25,""low52"")"),3288.1)</f>
        <v>3288.1</v>
      </c>
      <c r="G25" s="33">
        <f>IFERROR(__xludf.DUMMYFUNCTION("to_date(index(sort(GOOGLEFINANCE(A25, ""low"", today()-52*7, today(), ""DAILY""),2,1),1,1))"),46085.64583333333)</f>
        <v>46085.64583</v>
      </c>
      <c r="H25" s="34">
        <f>IFERROR(__xludf.DUMMYFUNCTION("MIN(QUERY(SORT(GOOGLEFINANCE(A25,""low"",TODAY()-40,TODAY()),1,0),""select Col2 limit 20""))"),3847.0)</f>
        <v>3847</v>
      </c>
      <c r="I25" s="34">
        <f t="shared" si="1"/>
        <v>1.976109718</v>
      </c>
      <c r="J25" s="35" t="str">
        <f t="shared" si="2"/>
        <v>No need to fresh start</v>
      </c>
    </row>
    <row r="26">
      <c r="A26" s="50" t="s">
        <v>144</v>
      </c>
      <c r="B26" s="30">
        <f>IFERROR(__xludf.DUMMYFUNCTION("GOOGLEFINANCE(A26,""price"")"),1438.3)</f>
        <v>1438.3</v>
      </c>
      <c r="C26" s="31">
        <f>IFERROR(__xludf.DUMMYFUNCTION("MAX(QUERY(SORT(GOOGLEFINANCE(A26,""high"",TODAY()-100,TODAY()),1,0),""select Col2 limit 55""))"),1498.1)</f>
        <v>1498.1</v>
      </c>
      <c r="D26" s="32">
        <f>IFERROR(__xludf.DUMMYFUNCTION("GOOGLEFINANCE(A26,""high52"")"),1498.1)</f>
        <v>1498.1</v>
      </c>
      <c r="E26" s="33">
        <f>IFERROR(__xludf.DUMMYFUNCTION("to_date(index(sort(GOOGLEFINANCE(A26, ""high"", today()-52*7, today(), ""DAILY""),2,0),2,1))"),46153.64583333333)</f>
        <v>46153.64583</v>
      </c>
      <c r="F26" s="32">
        <f>IFERROR(__xludf.DUMMYFUNCTION("GOOGLEFINANCE(A26,""low52"")"),1084.7)</f>
        <v>1084.7</v>
      </c>
      <c r="G26" s="33">
        <f>IFERROR(__xludf.DUMMYFUNCTION("to_date(index(sort(GOOGLEFINANCE(A26, ""low"", today()-52*7, today(), ""DAILY""),2,1),1,1))"),45883.64583333333)</f>
        <v>45883.64583</v>
      </c>
      <c r="H26" s="34">
        <f>IFERROR(__xludf.DUMMYFUNCTION("MIN(QUERY(SORT(GOOGLEFINANCE(A26,""low"",TODAY()-40,TODAY()),1,0),""select Col2 limit 20""))"),1398.5)</f>
        <v>1398.5</v>
      </c>
      <c r="I26" s="34">
        <f t="shared" si="1"/>
        <v>4.157686157</v>
      </c>
      <c r="J26" s="35" t="str">
        <f t="shared" si="2"/>
        <v>No need to fresh start</v>
      </c>
    </row>
    <row r="27">
      <c r="A27" s="50" t="s">
        <v>145</v>
      </c>
      <c r="B27" s="30">
        <f>IFERROR(__xludf.DUMMYFUNCTION("GOOGLEFINANCE(A27,""price"")"),1424.5)</f>
        <v>1424.5</v>
      </c>
      <c r="C27" s="31">
        <f>IFERROR(__xludf.DUMMYFUNCTION("MAX(QUERY(SORT(GOOGLEFINANCE(A27,""high"",TODAY()-100,TODAY()),1,0),""select Col2 limit 55""))"),1444.5)</f>
        <v>1444.5</v>
      </c>
      <c r="D27" s="32">
        <f>IFERROR(__xludf.DUMMYFUNCTION("GOOGLEFINANCE(A27,""high52"")"),1673.0)</f>
        <v>1673</v>
      </c>
      <c r="E27" s="33">
        <f>IFERROR(__xludf.DUMMYFUNCTION("to_date(index(sort(GOOGLEFINANCE(A27, ""high"", today()-52*7, today(), ""DAILY""),2,0),2,1))"),45953.64583333333)</f>
        <v>45953.64583</v>
      </c>
      <c r="F27" s="32">
        <f>IFERROR(__xludf.DUMMYFUNCTION("GOOGLEFINANCE(A27,""low52"")"),1165.7)</f>
        <v>1165.7</v>
      </c>
      <c r="G27" s="33">
        <f>IFERROR(__xludf.DUMMYFUNCTION("to_date(index(sort(GOOGLEFINANCE(A27, ""low"", today()-52*7, today(), ""DAILY""),2,1),1,1))"),46114.64583333333)</f>
        <v>46114.64583</v>
      </c>
      <c r="H27" s="34">
        <f>IFERROR(__xludf.DUMMYFUNCTION("MIN(QUERY(SORT(GOOGLEFINANCE(A27,""low"",TODAY()-40,TODAY()),1,0),""select Col2 limit 20""))"),1274.7)</f>
        <v>1274.7</v>
      </c>
      <c r="I27" s="34">
        <f t="shared" si="1"/>
        <v>1.404001404</v>
      </c>
      <c r="J27" s="35" t="str">
        <f t="shared" si="2"/>
        <v>No need to fresh start</v>
      </c>
    </row>
    <row r="28">
      <c r="A28" s="50" t="s">
        <v>146</v>
      </c>
      <c r="B28" s="30">
        <f>IFERROR(__xludf.DUMMYFUNCTION("GOOGLEFINANCE(A28,""price"")"),1202.7)</f>
        <v>1202.7</v>
      </c>
      <c r="C28" s="31">
        <f>IFERROR(__xludf.DUMMYFUNCTION("MAX(QUERY(SORT(GOOGLEFINANCE(A28,""high"",TODAY()-100,TODAY()),1,0),""select Col2 limit 55""))"),1282.7)</f>
        <v>1282.7</v>
      </c>
      <c r="D28" s="32">
        <f>IFERROR(__xludf.DUMMYFUNCTION("GOOGLEFINANCE(A28,""high52"")"),1282.7)</f>
        <v>1282.7</v>
      </c>
      <c r="E28" s="33">
        <f>IFERROR(__xludf.DUMMYFUNCTION("to_date(index(sort(GOOGLEFINANCE(A28, ""high"", today()-52*7, today(), ""DAILY""),2,0),2,1))"),46154.64583333333)</f>
        <v>46154.64583</v>
      </c>
      <c r="F28" s="32">
        <f>IFERROR(__xludf.DUMMYFUNCTION("GOOGLEFINANCE(A28,""low52"")"),1007.2)</f>
        <v>1007.2</v>
      </c>
      <c r="G28" s="33">
        <f>IFERROR(__xludf.DUMMYFUNCTION("to_date(index(sort(GOOGLEFINANCE(A28, ""low"", today()-52*7, today(), ""DAILY""),2,1),1,1))"),46114.64583333333)</f>
        <v>46114.64583</v>
      </c>
      <c r="H28" s="34">
        <f>IFERROR(__xludf.DUMMYFUNCTION("MIN(QUERY(SORT(GOOGLEFINANCE(A28,""low"",TODAY()-40,TODAY()),1,0),""select Col2 limit 20""))"),1135.6)</f>
        <v>1135.6</v>
      </c>
      <c r="I28" s="34">
        <f t="shared" si="1"/>
        <v>6.651700341</v>
      </c>
      <c r="J28" s="35" t="str">
        <f t="shared" si="2"/>
        <v>No need to fresh start</v>
      </c>
    </row>
    <row r="29">
      <c r="A29" s="50" t="s">
        <v>147</v>
      </c>
      <c r="B29" s="30">
        <f>IFERROR(__xludf.DUMMYFUNCTION("GOOGLEFINANCE(A29,""price"")"),4127.1)</f>
        <v>4127.1</v>
      </c>
      <c r="C29" s="31">
        <f>IFERROR(__xludf.DUMMYFUNCTION("MAX(QUERY(SORT(GOOGLEFINANCE(A29,""high"",TODAY()-100,TODAY()),1,0),""select Col2 limit 55""))"),4605.0)</f>
        <v>4605</v>
      </c>
      <c r="D29" s="32">
        <f>IFERROR(__xludf.DUMMYFUNCTION("GOOGLEFINANCE(A29,""high52"")"),4605.0)</f>
        <v>4605</v>
      </c>
      <c r="E29" s="33">
        <f>IFERROR(__xludf.DUMMYFUNCTION("to_date(index(sort(GOOGLEFINANCE(A29, ""high"", today()-52*7, today(), ""DAILY""),2,0),2,1))"),46150.64583333333)</f>
        <v>46150.64583</v>
      </c>
      <c r="F29" s="32">
        <f>IFERROR(__xludf.DUMMYFUNCTION("GOOGLEFINANCE(A29,""low52"")"),3303.1)</f>
        <v>3303.1</v>
      </c>
      <c r="G29" s="33">
        <f>IFERROR(__xludf.DUMMYFUNCTION("to_date(index(sort(GOOGLEFINANCE(A29, ""low"", today()-52*7, today(), ""DAILY""),2,1),1,1))"),45926.64583333333)</f>
        <v>45926.64583</v>
      </c>
      <c r="H29" s="34">
        <f>IFERROR(__xludf.DUMMYFUNCTION("MIN(QUERY(SORT(GOOGLEFINANCE(A29,""low"",TODAY()-40,TODAY()),1,0),""select Col2 limit 20""))"),3985.1)</f>
        <v>3985.1</v>
      </c>
      <c r="I29" s="34">
        <f t="shared" si="1"/>
        <v>11.5795595</v>
      </c>
      <c r="J29" s="35" t="str">
        <f t="shared" si="2"/>
        <v>No need to fresh start</v>
      </c>
    </row>
    <row r="30">
      <c r="A30" s="50" t="s">
        <v>148</v>
      </c>
      <c r="B30" s="30">
        <f>IFERROR(__xludf.DUMMYFUNCTION("GOOGLEFINANCE(A30,""price"")"),1859.2)</f>
        <v>1859.2</v>
      </c>
      <c r="C30" s="31">
        <f>IFERROR(__xludf.DUMMYFUNCTION("MAX(QUERY(SORT(GOOGLEFINANCE(A30,""high"",TODAY()-100,TODAY()),1,0),""select Col2 limit 55""))"),1910.7)</f>
        <v>1910.7</v>
      </c>
      <c r="D30" s="32">
        <f>IFERROR(__xludf.DUMMYFUNCTION("GOOGLEFINANCE(A30,""high52"")"),2068.7)</f>
        <v>2068.7</v>
      </c>
      <c r="E30" s="33">
        <f>IFERROR(__xludf.DUMMYFUNCTION("to_date(index(sort(GOOGLEFINANCE(A30, ""high"", today()-52*7, today(), ""DAILY""),2,0),2,1))"),45839.64583333333)</f>
        <v>45839.64583</v>
      </c>
      <c r="F30" s="32">
        <f>IFERROR(__xludf.DUMMYFUNCTION("GOOGLEFINANCE(A30,""low52"")"),1629.5)</f>
        <v>1629.5</v>
      </c>
      <c r="G30" s="33">
        <f>IFERROR(__xludf.DUMMYFUNCTION("to_date(index(sort(GOOGLEFINANCE(A30, ""low"", today()-52*7, today(), ""DAILY""),2,1),1,1))"),46114.64583333333)</f>
        <v>46114.64583</v>
      </c>
      <c r="H30" s="34">
        <f>IFERROR(__xludf.DUMMYFUNCTION("MIN(QUERY(SORT(GOOGLEFINANCE(A30,""low"",TODAY()-40,TODAY()),1,0),""select Col2 limit 20""))"),1736.3)</f>
        <v>1736.3</v>
      </c>
      <c r="I30" s="34">
        <f t="shared" si="1"/>
        <v>2.770008606</v>
      </c>
      <c r="J30" s="35" t="str">
        <f t="shared" si="2"/>
        <v>No need to fresh start</v>
      </c>
    </row>
    <row r="31">
      <c r="A31" s="50" t="s">
        <v>149</v>
      </c>
      <c r="B31" s="30">
        <f>IFERROR(__xludf.DUMMYFUNCTION("GOOGLEFINANCE(A31,""price"")"),1317.0)</f>
        <v>1317</v>
      </c>
      <c r="C31" s="31">
        <f>IFERROR(__xludf.DUMMYFUNCTION("MAX(QUERY(SORT(GOOGLEFINANCE(A31,""high"",TODAY()-100,TODAY()),1,0),""select Col2 limit 55""))"),1314.0)</f>
        <v>1314</v>
      </c>
      <c r="D31" s="32">
        <f>IFERROR(__xludf.DUMMYFUNCTION("GOOGLEFINANCE(A31,""high52"")"),1328.0)</f>
        <v>1328</v>
      </c>
      <c r="E31" s="33">
        <f>IFERROR(__xludf.DUMMYFUNCTION("to_date(index(sort(GOOGLEFINANCE(A31, ""high"", today()-52*7, today(), ""DAILY""),2,0),2,1))"),46157.64583333333)</f>
        <v>46157.64583</v>
      </c>
      <c r="F31" s="32">
        <f>IFERROR(__xludf.DUMMYFUNCTION("GOOGLEFINANCE(A31,""low52"")"),962.15)</f>
        <v>962.15</v>
      </c>
      <c r="G31" s="33">
        <f>IFERROR(__xludf.DUMMYFUNCTION("to_date(index(sort(GOOGLEFINANCE(A31, ""low"", today()-52*7, today(), ""DAILY""),2,1),1,1))"),45812.64583333333)</f>
        <v>45812.64583</v>
      </c>
      <c r="H31" s="34">
        <f>IFERROR(__xludf.DUMMYFUNCTION("MIN(QUERY(SORT(GOOGLEFINANCE(A31,""low"",TODAY()-40,TODAY()),1,0),""select Col2 limit 20""))"),1245.8)</f>
        <v>1245.8</v>
      </c>
      <c r="I31" s="34">
        <f t="shared" si="1"/>
        <v>-0.2277904328</v>
      </c>
      <c r="J31" s="35" t="str">
        <f t="shared" si="2"/>
        <v>No need to fresh start</v>
      </c>
    </row>
    <row r="32">
      <c r="A32" s="50" t="s">
        <v>150</v>
      </c>
      <c r="B32" s="30">
        <f>IFERROR(__xludf.DUMMYFUNCTION("GOOGLEFINANCE(A32,""price"")"),6783.0)</f>
        <v>6783</v>
      </c>
      <c r="C32" s="31">
        <f>IFERROR(__xludf.DUMMYFUNCTION("MAX(QUERY(SORT(GOOGLEFINANCE(A32,""high"",TODAY()-100,TODAY()),1,0),""select Col2 limit 55""))"),6968.0)</f>
        <v>6968</v>
      </c>
      <c r="D32" s="32">
        <f>IFERROR(__xludf.DUMMYFUNCTION("GOOGLEFINANCE(A32,""high52"")"),7071.5)</f>
        <v>7071.5</v>
      </c>
      <c r="E32" s="33">
        <f>IFERROR(__xludf.DUMMYFUNCTION("to_date(index(sort(GOOGLEFINANCE(A32, ""high"", today()-52*7, today(), ""DAILY""),2,0),2,1))"),45846.64583333333)</f>
        <v>45846.64583</v>
      </c>
      <c r="F32" s="32">
        <f>IFERROR(__xludf.DUMMYFUNCTION("GOOGLEFINANCE(A32,""low52"")"),5636.5)</f>
        <v>5636.5</v>
      </c>
      <c r="G32" s="33">
        <f>IFERROR(__xludf.DUMMYFUNCTION("to_date(index(sort(GOOGLEFINANCE(A32, ""low"", today()-52*7, today(), ""DAILY""),2,1),1,1))"),45929.64583333333)</f>
        <v>45929.64583</v>
      </c>
      <c r="H32" s="34">
        <f>IFERROR(__xludf.DUMMYFUNCTION("MIN(QUERY(SORT(GOOGLEFINANCE(A32,""low"",TODAY()-40,TODAY()),1,0),""select Col2 limit 20""))"),6416.5)</f>
        <v>6416.5</v>
      </c>
      <c r="I32" s="34">
        <f t="shared" si="1"/>
        <v>2.727406752</v>
      </c>
      <c r="J32" s="35" t="str">
        <f t="shared" si="2"/>
        <v>No need to fresh start</v>
      </c>
    </row>
    <row r="33">
      <c r="A33" s="50" t="s">
        <v>151</v>
      </c>
      <c r="B33" s="30">
        <f>IFERROR(__xludf.DUMMYFUNCTION("GOOGLEFINANCE(A33,""price"")"),7357.5)</f>
        <v>7357.5</v>
      </c>
      <c r="C33" s="31">
        <f>IFERROR(__xludf.DUMMYFUNCTION("MAX(QUERY(SORT(GOOGLEFINANCE(A33,""high"",TODAY()-100,TODAY()),1,0),""select Col2 limit 55""))"),7801.5)</f>
        <v>7801.5</v>
      </c>
      <c r="D33" s="32">
        <f>IFERROR(__xludf.DUMMYFUNCTION("GOOGLEFINANCE(A33,""high52"")"),8230.0)</f>
        <v>8230</v>
      </c>
      <c r="E33" s="33">
        <f>IFERROR(__xludf.DUMMYFUNCTION("to_date(index(sort(GOOGLEFINANCE(A33, ""high"", today()-52*7, today(), ""DAILY""),2,0),2,1))"),46080.64583333333)</f>
        <v>46080.64583</v>
      </c>
      <c r="F33" s="32">
        <f>IFERROR(__xludf.DUMMYFUNCTION("GOOGLEFINANCE(A33,""low52"")"),5219.5)</f>
        <v>5219.5</v>
      </c>
      <c r="G33" s="33">
        <f>IFERROR(__xludf.DUMMYFUNCTION("to_date(index(sort(GOOGLEFINANCE(A33, ""low"", today()-52*7, today(), ""DAILY""),2,1),1,1))"),45821.64583333333)</f>
        <v>45821.64583</v>
      </c>
      <c r="H33" s="34">
        <f>IFERROR(__xludf.DUMMYFUNCTION("MIN(QUERY(SORT(GOOGLEFINANCE(A33,""low"",TODAY()-40,TODAY()),1,0),""select Col2 limit 20""))"),6752.5)</f>
        <v>6752.5</v>
      </c>
      <c r="I33" s="34">
        <f t="shared" si="1"/>
        <v>6.034658512</v>
      </c>
      <c r="J33" s="35" t="str">
        <f t="shared" si="2"/>
        <v>No need to fresh start</v>
      </c>
    </row>
    <row r="34">
      <c r="A34" s="50" t="s">
        <v>152</v>
      </c>
      <c r="B34" s="30">
        <f>IFERROR(__xludf.DUMMYFUNCTION("GOOGLEFINANCE(A34,""price"")"),525.35)</f>
        <v>525.35</v>
      </c>
      <c r="C34" s="31">
        <f>IFERROR(__xludf.DUMMYFUNCTION("MAX(QUERY(SORT(GOOGLEFINANCE(A34,""high"",TODAY()-100,TODAY()),1,0),""select Col2 limit 55""))"),540.35)</f>
        <v>540.35</v>
      </c>
      <c r="D34" s="32">
        <f>IFERROR(__xludf.DUMMYFUNCTION("GOOGLEFINANCE(A34,""high52"")"),605.0)</f>
        <v>605</v>
      </c>
      <c r="E34" s="33">
        <f>IFERROR(__xludf.DUMMYFUNCTION("to_date(index(sort(GOOGLEFINANCE(A34, ""high"", today()-52*7, today(), ""DAILY""),2,0),2,1))"),45841.64583333333)</f>
        <v>45841.64583</v>
      </c>
      <c r="F34" s="32">
        <f>IFERROR(__xludf.DUMMYFUNCTION("GOOGLEFINANCE(A34,""low52"")"),391.1)</f>
        <v>391.1</v>
      </c>
      <c r="G34" s="33">
        <f>IFERROR(__xludf.DUMMYFUNCTION("to_date(index(sort(GOOGLEFINANCE(A34, ""low"", today()-52*7, today(), ""DAILY""),2,1),1,1))"),46097.64583333333)</f>
        <v>46097.64583</v>
      </c>
      <c r="H34" s="34">
        <f>IFERROR(__xludf.DUMMYFUNCTION("MIN(QUERY(SORT(GOOGLEFINANCE(A34,""low"",TODAY()-40,TODAY()),1,0),""select Col2 limit 20""))"),455.75)</f>
        <v>455.75</v>
      </c>
      <c r="I34" s="34">
        <f t="shared" si="1"/>
        <v>2.855239364</v>
      </c>
      <c r="J34" s="35" t="str">
        <f t="shared" si="2"/>
        <v>No need to fresh start</v>
      </c>
    </row>
    <row r="35">
      <c r="A35" s="50" t="s">
        <v>153</v>
      </c>
      <c r="B35" s="30">
        <f>IFERROR(__xludf.DUMMYFUNCTION("GOOGLEFINANCE(A35,""price"")"),3802.0)</f>
        <v>3802</v>
      </c>
      <c r="C35" s="31">
        <f>IFERROR(__xludf.DUMMYFUNCTION("MAX(QUERY(SORT(GOOGLEFINANCE(A35,""high"",TODAY()-100,TODAY()),1,0),""select Col2 limit 55""))"),3930.0)</f>
        <v>3930</v>
      </c>
      <c r="D35" s="32">
        <f>IFERROR(__xludf.DUMMYFUNCTION("GOOGLEFINANCE(A35,""high52"")"),3930.0)</f>
        <v>3930</v>
      </c>
      <c r="E35" s="33">
        <f>IFERROR(__xludf.DUMMYFUNCTION("to_date(index(sort(GOOGLEFINANCE(A35, ""high"", today()-52*7, today(), ""DAILY""),2,0),2,1))"),46146.64583333333)</f>
        <v>46146.64583</v>
      </c>
      <c r="F35" s="32">
        <f>IFERROR(__xludf.DUMMYFUNCTION("GOOGLEFINANCE(A35,""low52"")"),2826.0)</f>
        <v>2826</v>
      </c>
      <c r="G35" s="33">
        <f>IFERROR(__xludf.DUMMYFUNCTION("to_date(index(sort(GOOGLEFINANCE(A35, ""low"", today()-52*7, today(), ""DAILY""),2,1),1,1))"),46043.64583333333)</f>
        <v>46043.64583</v>
      </c>
      <c r="H35" s="34">
        <f>IFERROR(__xludf.DUMMYFUNCTION("MIN(QUERY(SORT(GOOGLEFINANCE(A35,""low"",TODAY()-40,TODAY()),1,0),""select Col2 limit 20""))"),3454.5)</f>
        <v>3454.5</v>
      </c>
      <c r="I35" s="34">
        <f t="shared" si="1"/>
        <v>3.366649132</v>
      </c>
      <c r="J35" s="35" t="str">
        <f t="shared" si="2"/>
        <v>No need to fresh start</v>
      </c>
    </row>
    <row r="36">
      <c r="A36" s="50" t="s">
        <v>154</v>
      </c>
      <c r="B36" s="30">
        <f>IFERROR(__xludf.DUMMYFUNCTION("GOOGLEFINANCE(A36,""price"")"),2680.0)</f>
        <v>2680</v>
      </c>
      <c r="C36" s="31">
        <f>IFERROR(__xludf.DUMMYFUNCTION("MAX(QUERY(SORT(GOOGLEFINANCE(A36,""high"",TODAY()-100,TODAY()),1,0),""select Col2 limit 55""))"),2684.1)</f>
        <v>2684.1</v>
      </c>
      <c r="D36" s="32">
        <f>IFERROR(__xludf.DUMMYFUNCTION("GOOGLEFINANCE(A36,""high52"")"),2985.7)</f>
        <v>2985.7</v>
      </c>
      <c r="E36" s="33">
        <f>IFERROR(__xludf.DUMMYFUNCTION("to_date(index(sort(GOOGLEFINANCE(A36, ""high"", today()-52*7, today(), ""DAILY""),2,0),2,1))"),45995.64583333333)</f>
        <v>45995.64583</v>
      </c>
      <c r="F36" s="32">
        <f>IFERROR(__xludf.DUMMYFUNCTION("GOOGLEFINANCE(A36,""low52"")"),2115.0)</f>
        <v>2115</v>
      </c>
      <c r="G36" s="33">
        <f>IFERROR(__xludf.DUMMYFUNCTION("to_date(index(sort(GOOGLEFINANCE(A36, ""low"", today()-52*7, today(), ""DAILY""),2,1),1,1))"),46104.64583333333)</f>
        <v>46104.64583</v>
      </c>
      <c r="H36" s="34">
        <f>IFERROR(__xludf.DUMMYFUNCTION("MIN(QUERY(SORT(GOOGLEFINANCE(A36,""low"",TODAY()-40,TODAY()),1,0),""select Col2 limit 20""))"),2385.5)</f>
        <v>2385.5</v>
      </c>
      <c r="I36" s="34">
        <f t="shared" si="1"/>
        <v>0.1529850746</v>
      </c>
      <c r="J36" s="35" t="str">
        <f t="shared" si="2"/>
        <v>No need to fresh start</v>
      </c>
    </row>
    <row r="37">
      <c r="A37" s="50" t="s">
        <v>155</v>
      </c>
      <c r="B37" s="30">
        <f>IFERROR(__xludf.DUMMYFUNCTION("GOOGLEFINANCE(A37,""price"")"),1859.5)</f>
        <v>1859.5</v>
      </c>
      <c r="C37" s="31">
        <f>IFERROR(__xludf.DUMMYFUNCTION("MAX(QUERY(SORT(GOOGLEFINANCE(A37,""high"",TODAY()-100,TODAY()),1,0),""select Col2 limit 55""))"),1953.8)</f>
        <v>1953.8</v>
      </c>
      <c r="D37" s="32">
        <f>IFERROR(__xludf.DUMMYFUNCTION("GOOGLEFINANCE(A37,""high52"")"),2174.5)</f>
        <v>2174.5</v>
      </c>
      <c r="E37" s="33">
        <f>IFERROR(__xludf.DUMMYFUNCTION("to_date(index(sort(GOOGLEFINANCE(A37, ""high"", today()-52*7, today(), ""DAILY""),2,0),2,1))"),45982.64583333333)</f>
        <v>45982.64583</v>
      </c>
      <c r="F37" s="32">
        <f>IFERROR(__xludf.DUMMYFUNCTION("GOOGLEFINANCE(A37,""low52"")"),1740.5)</f>
        <v>1740.5</v>
      </c>
      <c r="G37" s="33">
        <f>IFERROR(__xludf.DUMMYFUNCTION("to_date(index(sort(GOOGLEFINANCE(A37, ""low"", today()-52*7, today(), ""DAILY""),2,1),1,1))"),46155.64583333333)</f>
        <v>46155.64583</v>
      </c>
      <c r="H37" s="34">
        <f>IFERROR(__xludf.DUMMYFUNCTION("MIN(QUERY(SORT(GOOGLEFINANCE(A37,""low"",TODAY()-40,TODAY()),1,0),""select Col2 limit 20""))"),1740.5)</f>
        <v>1740.5</v>
      </c>
      <c r="I37" s="34">
        <f t="shared" si="1"/>
        <v>5.071255714</v>
      </c>
      <c r="J37" s="35" t="str">
        <f t="shared" si="2"/>
        <v>No need to fresh start</v>
      </c>
    </row>
    <row r="38">
      <c r="A38" s="50" t="s">
        <v>156</v>
      </c>
      <c r="B38" s="30">
        <f>IFERROR(__xludf.DUMMYFUNCTION("GOOGLEFINANCE(A38,""price"")"),277.65)</f>
        <v>277.65</v>
      </c>
      <c r="C38" s="31">
        <f>IFERROR(__xludf.DUMMYFUNCTION("MAX(QUERY(SORT(GOOGLEFINANCE(A38,""high"",TODAY()-100,TODAY()),1,0),""select Col2 limit 55""))"),301.95)</f>
        <v>301.95</v>
      </c>
      <c r="D38" s="32">
        <f>IFERROR(__xludf.DUMMYFUNCTION("GOOGLEFINANCE(A38,""high52"")"),326.4)</f>
        <v>326.4</v>
      </c>
      <c r="E38" s="33">
        <f>IFERROR(__xludf.DUMMYFUNCTION("to_date(index(sort(GOOGLEFINANCE(A38, ""high"", today()-52*7, today(), ""DAILY""),2,0),2,1))"),46080.64583333333)</f>
        <v>46080.64583</v>
      </c>
      <c r="F38" s="32">
        <f>IFERROR(__xludf.DUMMYFUNCTION("GOOGLEFINANCE(A38,""low52"")"),235.35)</f>
        <v>235.35</v>
      </c>
      <c r="G38" s="33">
        <f>IFERROR(__xludf.DUMMYFUNCTION("to_date(index(sort(GOOGLEFINANCE(A38, ""low"", today()-52*7, today(), ""DAILY""),2,1),1,1))"),46104.64583333333)</f>
        <v>46104.64583</v>
      </c>
      <c r="H38" s="34">
        <f>IFERROR(__xludf.DUMMYFUNCTION("MIN(QUERY(SORT(GOOGLEFINANCE(A38,""low"",TODAY()-40,TODAY()),1,0),""select Col2 limit 20""))"),260.2)</f>
        <v>260.2</v>
      </c>
      <c r="I38" s="34">
        <f t="shared" si="1"/>
        <v>8.752025932</v>
      </c>
      <c r="J38" s="35" t="str">
        <f t="shared" si="2"/>
        <v>No need to fresh start</v>
      </c>
    </row>
    <row r="39">
      <c r="A39" s="50" t="s">
        <v>92</v>
      </c>
      <c r="B39" s="30">
        <f>IFERROR(__xludf.DUMMYFUNCTION("GOOGLEFINANCE(A39,""price"")"),447.55)</f>
        <v>447.55</v>
      </c>
      <c r="C39" s="31">
        <f>IFERROR(__xludf.DUMMYFUNCTION("MAX(QUERY(SORT(GOOGLEFINANCE(A39,""high"",TODAY()-100,TODAY()),1,0),""select Col2 limit 55""))"),491.25)</f>
        <v>491.25</v>
      </c>
      <c r="D39" s="32">
        <f>IFERROR(__xludf.DUMMYFUNCTION("GOOGLEFINANCE(A39,""high52"")"),491.25)</f>
        <v>491.25</v>
      </c>
      <c r="E39" s="33">
        <f>IFERROR(__xludf.DUMMYFUNCTION("to_date(index(sort(GOOGLEFINANCE(A39, ""high"", today()-52*7, today(), ""DAILY""),2,0),2,1))"),46142.64583333333)</f>
        <v>46142.64583</v>
      </c>
      <c r="F39" s="32">
        <f>IFERROR(__xludf.DUMMYFUNCTION("GOOGLEFINANCE(A39,""low52"")"),368.65)</f>
        <v>368.65</v>
      </c>
      <c r="G39" s="33">
        <f>IFERROR(__xludf.DUMMYFUNCTION("to_date(index(sort(GOOGLEFINANCE(A39, ""low"", today()-52*7, today(), ""DAILY""),2,1),1,1))"),46129.64583333333)</f>
        <v>46129.64583</v>
      </c>
      <c r="H39" s="34">
        <f>IFERROR(__xludf.DUMMYFUNCTION("MIN(QUERY(SORT(GOOGLEFINANCE(A39,""low"",TODAY()-40,TODAY()),1,0),""select Col2 limit 20""))"),451.45)</f>
        <v>451.45</v>
      </c>
      <c r="I39" s="34">
        <f t="shared" si="1"/>
        <v>9.764272148</v>
      </c>
      <c r="J39" s="35" t="str">
        <f t="shared" si="2"/>
        <v>No need to fresh start</v>
      </c>
    </row>
    <row r="40">
      <c r="A40" s="50" t="s">
        <v>157</v>
      </c>
      <c r="B40" s="30">
        <f>IFERROR(__xludf.DUMMYFUNCTION("GOOGLEFINANCE(A40,""price"")"),614.8)</f>
        <v>614.8</v>
      </c>
      <c r="C40" s="31">
        <f>IFERROR(__xludf.DUMMYFUNCTION("MAX(QUERY(SORT(GOOGLEFINANCE(A40,""high"",TODAY()-100,TODAY()),1,0),""select Col2 limit 55""))"),736.8)</f>
        <v>736.8</v>
      </c>
      <c r="D40" s="32">
        <f>IFERROR(__xludf.DUMMYFUNCTION("GOOGLEFINANCE(A40,""high52"")"),820.75)</f>
        <v>820.75</v>
      </c>
      <c r="E40" s="33">
        <f>IFERROR(__xludf.DUMMYFUNCTION("to_date(index(sort(GOOGLEFINANCE(A40, ""high"", today()-52*7, today(), ""DAILY""),2,0),2,1))"),45838.64583333333)</f>
        <v>45838.64583</v>
      </c>
      <c r="F40" s="32">
        <f>IFERROR(__xludf.DUMMYFUNCTION("GOOGLEFINANCE(A40,""low52"")"),555.1)</f>
        <v>555.1</v>
      </c>
      <c r="G40" s="33">
        <f>IFERROR(__xludf.DUMMYFUNCTION("to_date(index(sort(GOOGLEFINANCE(A40, ""low"", today()-52*7, today(), ""DAILY""),2,1),1,1))"),46114.64583333333)</f>
        <v>46114.64583</v>
      </c>
      <c r="H40" s="34">
        <f>IFERROR(__xludf.DUMMYFUNCTION("MIN(QUERY(SORT(GOOGLEFINANCE(A40,""low"",TODAY()-40,TODAY()),1,0),""select Col2 limit 20""))"),578.4)</f>
        <v>578.4</v>
      </c>
      <c r="I40" s="34">
        <f t="shared" si="1"/>
        <v>19.84385166</v>
      </c>
      <c r="J40" s="35" t="str">
        <f t="shared" si="2"/>
        <v>Start GTT Order</v>
      </c>
    </row>
    <row r="41">
      <c r="A41" s="50" t="s">
        <v>63</v>
      </c>
      <c r="B41" s="30">
        <f>IFERROR(__xludf.DUMMYFUNCTION("GOOGLEFINANCE(A41,""price"")"),304.9)</f>
        <v>304.9</v>
      </c>
      <c r="C41" s="31">
        <f>IFERROR(__xludf.DUMMYFUNCTION("MAX(QUERY(SORT(GOOGLEFINANCE(A41,""high"",TODAY()-100,TODAY()),1,0),""select Col2 limit 55""))"),367.85)</f>
        <v>367.85</v>
      </c>
      <c r="D41" s="32">
        <f>IFERROR(__xludf.DUMMYFUNCTION("GOOGLEFINANCE(A41,""high52"")"),391.65)</f>
        <v>391.65</v>
      </c>
      <c r="E41" s="33">
        <f>IFERROR(__xludf.DUMMYFUNCTION("to_date(index(sort(GOOGLEFINANCE(A41, ""high"", today()-52*7, today(), ""DAILY""),2,0),2,1))"),46058.64583333333)</f>
        <v>46058.64583</v>
      </c>
      <c r="F41" s="32">
        <f>IFERROR(__xludf.DUMMYFUNCTION("GOOGLEFINANCE(A41,""low52"")"),266.6)</f>
        <v>266.6</v>
      </c>
      <c r="G41" s="33">
        <f>IFERROR(__xludf.DUMMYFUNCTION("to_date(index(sort(GOOGLEFINANCE(A41, ""low"", today()-52*7, today(), ""DAILY""),2,1),1,1))"),46114.64583333333)</f>
        <v>46114.64583</v>
      </c>
      <c r="H41" s="34">
        <f>IFERROR(__xludf.DUMMYFUNCTION("MIN(QUERY(SORT(GOOGLEFINANCE(A41,""low"",TODAY()-40,TODAY()),1,0),""select Col2 limit 20""))"),276.6)</f>
        <v>276.6</v>
      </c>
      <c r="I41" s="34">
        <f t="shared" si="1"/>
        <v>20.64611348</v>
      </c>
      <c r="J41" s="35" t="str">
        <f t="shared" si="2"/>
        <v>No need to fresh start</v>
      </c>
    </row>
    <row r="42">
      <c r="A42" s="50" t="s">
        <v>158</v>
      </c>
      <c r="B42" s="30">
        <f>IFERROR(__xludf.DUMMYFUNCTION("GOOGLEFINANCE(A42,""price"")"),1311.9)</f>
        <v>1311.9</v>
      </c>
      <c r="C42" s="31">
        <f>IFERROR(__xludf.DUMMYFUNCTION("MAX(QUERY(SORT(GOOGLEFINANCE(A42,""high"",TODAY()-100,TODAY()),1,0),""select Col2 limit 55""))"),1391.0)</f>
        <v>1391</v>
      </c>
      <c r="D42" s="32">
        <f>IFERROR(__xludf.DUMMYFUNCTION("GOOGLEFINANCE(A42,""high52"")"),1418.3)</f>
        <v>1418.3</v>
      </c>
      <c r="E42" s="33">
        <f>IFERROR(__xludf.DUMMYFUNCTION("to_date(index(sort(GOOGLEFINANCE(A42, ""high"", today()-52*7, today(), ""DAILY""),2,0),2,1))"),46056.64583333333)</f>
        <v>46056.64583</v>
      </c>
      <c r="F42" s="32">
        <f>IFERROR(__xludf.DUMMYFUNCTION("GOOGLEFINANCE(A42,""low52"")"),1042.5)</f>
        <v>1042.5</v>
      </c>
      <c r="G42" s="33">
        <f>IFERROR(__xludf.DUMMYFUNCTION("to_date(index(sort(GOOGLEFINANCE(A42, ""low"", today()-52*7, today(), ""DAILY""),2,1),1,1))"),45898.64583333333)</f>
        <v>45898.64583</v>
      </c>
      <c r="H42" s="34">
        <f>IFERROR(__xludf.DUMMYFUNCTION("MIN(QUERY(SORT(GOOGLEFINANCE(A42,""low"",TODAY()-40,TODAY()),1,0),""select Col2 limit 20""))"),1222.1)</f>
        <v>1222.1</v>
      </c>
      <c r="I42" s="34">
        <f t="shared" si="1"/>
        <v>6.029422974</v>
      </c>
      <c r="J42" s="35" t="str">
        <f t="shared" si="2"/>
        <v>No need to fresh start</v>
      </c>
    </row>
    <row r="43">
      <c r="A43" s="50" t="s">
        <v>159</v>
      </c>
      <c r="B43" s="30">
        <f>IFERROR(__xludf.DUMMYFUNCTION("GOOGLEFINANCE(A43,""price"")"),2280.0)</f>
        <v>2280</v>
      </c>
      <c r="C43" s="31">
        <f>IFERROR(__xludf.DUMMYFUNCTION("MAX(QUERY(SORT(GOOGLEFINANCE(A43,""high"",TODAY()-100,TODAY()),1,0),""select Col2 limit 55""))"),2635.0)</f>
        <v>2635</v>
      </c>
      <c r="D43" s="32">
        <f>IFERROR(__xludf.DUMMYFUNCTION("GOOGLEFINANCE(A43,""high52"")"),3540.0)</f>
        <v>3540</v>
      </c>
      <c r="E43" s="33">
        <f>IFERROR(__xludf.DUMMYFUNCTION("to_date(index(sort(GOOGLEFINANCE(A43, ""high"", today()-52*7, today(), ""DAILY""),2,0),2,1))"),45826.64583333333)</f>
        <v>45826.64583</v>
      </c>
      <c r="F43" s="32">
        <f>IFERROR(__xludf.DUMMYFUNCTION("GOOGLEFINANCE(A43,""low52"")"),2206.4)</f>
        <v>2206.4</v>
      </c>
      <c r="G43" s="33">
        <f>IFERROR(__xludf.DUMMYFUNCTION("to_date(index(sort(GOOGLEFINANCE(A43, ""low"", today()-52*7, today(), ""DAILY""),2,1),1,1))"),46129.64583333333)</f>
        <v>46129.64583</v>
      </c>
      <c r="H43" s="34">
        <f>IFERROR(__xludf.DUMMYFUNCTION("MIN(QUERY(SORT(GOOGLEFINANCE(A43,""low"",TODAY()-40,TODAY()),1,0),""select Col2 limit 20""))"),2206.4)</f>
        <v>2206.4</v>
      </c>
      <c r="I43" s="34">
        <f t="shared" si="1"/>
        <v>15.57017544</v>
      </c>
      <c r="J43" s="35" t="str">
        <f t="shared" si="2"/>
        <v>Start GTT Order</v>
      </c>
    </row>
    <row r="44">
      <c r="A44" s="50" t="s">
        <v>89</v>
      </c>
      <c r="B44" s="30">
        <f>IFERROR(__xludf.DUMMYFUNCTION("GOOGLEFINANCE(A44,""price"")"),92.23)</f>
        <v>92.23</v>
      </c>
      <c r="C44" s="31">
        <f>IFERROR(__xludf.DUMMYFUNCTION("MAX(QUERY(SORT(GOOGLEFINANCE(A44,""high"",TODAY()-100,TODAY()),1,0),""select Col2 limit 55""))"),94.25)</f>
        <v>94.25</v>
      </c>
      <c r="D44" s="32">
        <f>IFERROR(__xludf.DUMMYFUNCTION("GOOGLEFINANCE(A44,""high52"")"),94.25)</f>
        <v>94.25</v>
      </c>
      <c r="E44" s="33">
        <f>IFERROR(__xludf.DUMMYFUNCTION("to_date(index(sort(GOOGLEFINANCE(A44, ""high"", today()-52*7, today(), ""DAILY""),2,0),2,1))"),46157.64583333333)</f>
        <v>46157.64583</v>
      </c>
      <c r="F44" s="32">
        <f>IFERROR(__xludf.DUMMYFUNCTION("GOOGLEFINANCE(A44,""low52"")"),66.8)</f>
        <v>66.8</v>
      </c>
      <c r="G44" s="33">
        <f>IFERROR(__xludf.DUMMYFUNCTION("to_date(index(sort(GOOGLEFINANCE(A44, ""low"", today()-52*7, today(), ""DAILY""),2,1),1,1))"),45827.64583333333)</f>
        <v>45827.64583</v>
      </c>
      <c r="H44" s="34">
        <f>IFERROR(__xludf.DUMMYFUNCTION("MIN(QUERY(SORT(GOOGLEFINANCE(A44,""low"",TODAY()-40,TODAY()),1,0),""select Col2 limit 20""))"),86.38)</f>
        <v>86.38</v>
      </c>
      <c r="I44" s="34">
        <f t="shared" si="1"/>
        <v>2.190176732</v>
      </c>
      <c r="J44" s="35" t="str">
        <f t="shared" si="2"/>
        <v>No need to fresh start</v>
      </c>
    </row>
    <row r="45">
      <c r="A45" s="50" t="s">
        <v>160</v>
      </c>
      <c r="B45" s="30">
        <f>IFERROR(__xludf.DUMMYFUNCTION("GOOGLEFINANCE(A45,""price"")"),3128.6)</f>
        <v>3128.6</v>
      </c>
      <c r="C45" s="31">
        <f>IFERROR(__xludf.DUMMYFUNCTION("MAX(QUERY(SORT(GOOGLEFINANCE(A45,""high"",TODAY()-100,TODAY()),1,0),""select Col2 limit 55""))"),3399.0)</f>
        <v>3399</v>
      </c>
      <c r="D45" s="32">
        <f>IFERROR(__xludf.DUMMYFUNCTION("GOOGLEFINANCE(A45,""high52"")"),3839.9)</f>
        <v>3839.9</v>
      </c>
      <c r="E45" s="33">
        <f>IFERROR(__xludf.DUMMYFUNCTION("to_date(index(sort(GOOGLEFINANCE(A45, ""high"", today()-52*7, today(), ""DAILY""),2,0),2,1))"),46027.64583333333)</f>
        <v>46027.64583</v>
      </c>
      <c r="F45" s="32">
        <f>IFERROR(__xludf.DUMMYFUNCTION("GOOGLEFINANCE(A45,""low52"")"),2896.0)</f>
        <v>2896</v>
      </c>
      <c r="G45" s="33">
        <f>IFERROR(__xludf.DUMMYFUNCTION("to_date(index(sort(GOOGLEFINANCE(A45, ""low"", today()-52*7, today(), ""DAILY""),2,1),1,1))"),46097.64583333333)</f>
        <v>46097.64583</v>
      </c>
      <c r="H45" s="34">
        <f>IFERROR(__xludf.DUMMYFUNCTION("MIN(QUERY(SORT(GOOGLEFINANCE(A45,""low"",TODAY()-40,TODAY()),1,0),""select Col2 limit 20""))"),3033.0)</f>
        <v>3033</v>
      </c>
      <c r="I45" s="34">
        <f t="shared" si="1"/>
        <v>8.642843444</v>
      </c>
      <c r="J45" s="35" t="str">
        <f t="shared" si="2"/>
        <v>No need to fresh start</v>
      </c>
    </row>
    <row r="46">
      <c r="A46" s="50" t="s">
        <v>69</v>
      </c>
      <c r="B46" s="30">
        <f>IFERROR(__xludf.DUMMYFUNCTION("GOOGLEFINANCE(A46,""price"")"),473.5)</f>
        <v>473.5</v>
      </c>
      <c r="C46" s="31">
        <f>IFERROR(__xludf.DUMMYFUNCTION("MAX(QUERY(SORT(GOOGLEFINANCE(A46,""high"",TODAY()-100,TODAY()),1,0),""select Col2 limit 55""))"),537.0)</f>
        <v>537</v>
      </c>
      <c r="D46" s="32">
        <f>IFERROR(__xludf.DUMMYFUNCTION("GOOGLEFINANCE(A46,""high52"")"),652.04)</f>
        <v>652.04</v>
      </c>
      <c r="E46" s="33">
        <f>IFERROR(__xludf.DUMMYFUNCTION("to_date(index(sort(GOOGLEFINANCE(A46, ""high"", today()-52*7, today(), ""DAILY""),2,0),2,1))"),45813.64583333333)</f>
        <v>45813.64583</v>
      </c>
      <c r="F46" s="32">
        <f>IFERROR(__xludf.DUMMYFUNCTION("GOOGLEFINANCE(A46,""low52"")"),421.45)</f>
        <v>421.45</v>
      </c>
      <c r="G46" s="33">
        <f>IFERROR(__xludf.DUMMYFUNCTION("to_date(index(sort(GOOGLEFINANCE(A46, ""low"", today()-52*7, today(), ""DAILY""),2,1),1,1))"),46104.64583333333)</f>
        <v>46104.64583</v>
      </c>
      <c r="H46" s="34">
        <f>IFERROR(__xludf.DUMMYFUNCTION("MIN(QUERY(SORT(GOOGLEFINANCE(A46,""low"",TODAY()-40,TODAY()),1,0),""select Col2 limit 20""))"),472.6)</f>
        <v>472.6</v>
      </c>
      <c r="I46" s="34">
        <f t="shared" si="1"/>
        <v>13.41077086</v>
      </c>
      <c r="J46" s="35" t="str">
        <f t="shared" si="2"/>
        <v>Start GTT Order</v>
      </c>
    </row>
    <row r="47">
      <c r="A47" s="50" t="s">
        <v>161</v>
      </c>
      <c r="B47" s="30">
        <f>IFERROR(__xludf.DUMMYFUNCTION("GOOGLEFINANCE(A47,""price"")"),1329.1)</f>
        <v>1329.1</v>
      </c>
      <c r="C47" s="31">
        <f>IFERROR(__xludf.DUMMYFUNCTION("MAX(QUERY(SORT(GOOGLEFINANCE(A47,""high"",TODAY()-100,TODAY()),1,0),""select Col2 limit 55""))"),1375.9)</f>
        <v>1375.9</v>
      </c>
      <c r="D47" s="32">
        <f>IFERROR(__xludf.DUMMYFUNCTION("GOOGLEFINANCE(A47,""high52"")"),1379.7)</f>
        <v>1379.7</v>
      </c>
      <c r="E47" s="33">
        <f>IFERROR(__xludf.DUMMYFUNCTION("to_date(index(sort(GOOGLEFINANCE(A47, ""high"", today()-52*7, today(), ""DAILY""),2,0),2,1))"),45820.64583333333)</f>
        <v>45820.64583</v>
      </c>
      <c r="F47" s="32">
        <f>IFERROR(__xludf.DUMMYFUNCTION("GOOGLEFINANCE(A47,""low52"")"),1148.4)</f>
        <v>1148.4</v>
      </c>
      <c r="G47" s="33">
        <f>IFERROR(__xludf.DUMMYFUNCTION("to_date(index(sort(GOOGLEFINANCE(A47, ""low"", today()-52*7, today(), ""DAILY""),2,1),1,1))"),46043.64583333333)</f>
        <v>46043.64583</v>
      </c>
      <c r="H47" s="34">
        <f>IFERROR(__xludf.DUMMYFUNCTION("MIN(QUERY(SORT(GOOGLEFINANCE(A47,""low"",TODAY()-40,TODAY()),1,0),""select Col2 limit 20""))"),1230.0)</f>
        <v>1230</v>
      </c>
      <c r="I47" s="34">
        <f t="shared" si="1"/>
        <v>3.521179746</v>
      </c>
      <c r="J47" s="35" t="str">
        <f t="shared" si="2"/>
        <v>No need to fresh start</v>
      </c>
    </row>
    <row r="48">
      <c r="A48" s="50" t="s">
        <v>162</v>
      </c>
      <c r="B48" s="30">
        <f>IFERROR(__xludf.DUMMYFUNCTION("GOOGLEFINANCE(A48,""price"")"),1878.4)</f>
        <v>1878.4</v>
      </c>
      <c r="C48" s="31">
        <f>IFERROR(__xludf.DUMMYFUNCTION("MAX(QUERY(SORT(GOOGLEFINANCE(A48,""high"",TODAY()-100,TODAY()),1,0),""select Col2 limit 55""))"),1997.2)</f>
        <v>1997.2</v>
      </c>
      <c r="D48" s="32">
        <f>IFERROR(__xludf.DUMMYFUNCTION("GOOGLEFINANCE(A48,""high52"")"),2132.0)</f>
        <v>2132</v>
      </c>
      <c r="E48" s="33">
        <f>IFERROR(__xludf.DUMMYFUNCTION("to_date(index(sort(GOOGLEFINANCE(A48, ""high"", today()-52*7, today(), ""DAILY""),2,0),2,1))"),46076.64583333333)</f>
        <v>46076.64583</v>
      </c>
      <c r="F48" s="32">
        <f>IFERROR(__xludf.DUMMYFUNCTION("GOOGLEFINANCE(A48,""low52"")"),1720.0)</f>
        <v>1720</v>
      </c>
      <c r="G48" s="33">
        <f>IFERROR(__xludf.DUMMYFUNCTION("to_date(index(sort(GOOGLEFINANCE(A48, ""low"", today()-52*7, today(), ""DAILY""),2,1),1,1))"),45821.64583333333)</f>
        <v>45821.64583</v>
      </c>
      <c r="H48" s="34">
        <f>IFERROR(__xludf.DUMMYFUNCTION("MIN(QUERY(SORT(GOOGLEFINANCE(A48,""low"",TODAY()-40,TODAY()),1,0),""select Col2 limit 20""))"),1785.2)</f>
        <v>1785.2</v>
      </c>
      <c r="I48" s="34">
        <f t="shared" si="1"/>
        <v>6.324531516</v>
      </c>
      <c r="J48" s="35" t="str">
        <f t="shared" si="2"/>
        <v>No need to fresh start</v>
      </c>
    </row>
    <row r="49">
      <c r="A49" s="50" t="s">
        <v>163</v>
      </c>
      <c r="B49" s="30">
        <f>IFERROR(__xludf.DUMMYFUNCTION("GOOGLEFINANCE(A49,""price"")"),657.6)</f>
        <v>657.6</v>
      </c>
      <c r="C49" s="31">
        <f>IFERROR(__xludf.DUMMYFUNCTION("MAX(QUERY(SORT(GOOGLEFINANCE(A49,""high"",TODAY()-100,TODAY()),1,0),""select Col2 limit 55""))"),682.6)</f>
        <v>682.6</v>
      </c>
      <c r="D49" s="32">
        <f>IFERROR(__xludf.DUMMYFUNCTION("GOOGLEFINANCE(A49,""high52"")"),812.2)</f>
        <v>812.2</v>
      </c>
      <c r="E49" s="33">
        <f>IFERROR(__xludf.DUMMYFUNCTION("to_date(index(sort(GOOGLEFINANCE(A49, ""high"", today()-52*7, today(), ""DAILY""),2,0),2,1))"),46024.64583333333)</f>
        <v>46024.64583</v>
      </c>
      <c r="F49" s="32">
        <f>IFERROR(__xludf.DUMMYFUNCTION("GOOGLEFINANCE(A49,""low52"")"),565.15)</f>
        <v>565.15</v>
      </c>
      <c r="G49" s="33">
        <f>IFERROR(__xludf.DUMMYFUNCTION("to_date(index(sort(GOOGLEFINANCE(A49, ""low"", today()-52*7, today(), ""DAILY""),2,1),1,1))"),46111.64583333333)</f>
        <v>46111.64583</v>
      </c>
      <c r="H49" s="34">
        <f>IFERROR(__xludf.DUMMYFUNCTION("MIN(QUERY(SORT(GOOGLEFINANCE(A49,""low"",TODAY()-40,TODAY()),1,0),""select Col2 limit 20""))"),618.3)</f>
        <v>618.3</v>
      </c>
      <c r="I49" s="34">
        <f t="shared" si="1"/>
        <v>3.801703163</v>
      </c>
      <c r="J49" s="35" t="str">
        <f t="shared" si="2"/>
        <v>No need to fresh start</v>
      </c>
    </row>
    <row r="50">
      <c r="A50" s="50" t="s">
        <v>57</v>
      </c>
      <c r="B50" s="30">
        <f>IFERROR(__xludf.DUMMYFUNCTION("GOOGLEFINANCE(A50,""price"")"),394.15)</f>
        <v>394.15</v>
      </c>
      <c r="C50" s="31">
        <f>IFERROR(__xludf.DUMMYFUNCTION("MAX(QUERY(SORT(GOOGLEFINANCE(A50,""high"",TODAY()-100,TODAY()),1,0),""select Col2 limit 55""))"),414.4)</f>
        <v>414.4</v>
      </c>
      <c r="D50" s="32">
        <f>IFERROR(__xludf.DUMMYFUNCTION("GOOGLEFINANCE(A50,""high52"")"),414.4)</f>
        <v>414.4</v>
      </c>
      <c r="E50" s="33">
        <f>IFERROR(__xludf.DUMMYFUNCTION("to_date(index(sort(GOOGLEFINANCE(A50, ""high"", today()-52*7, today(), ""DAILY""),2,0),2,1))"),46139.64583333333)</f>
        <v>46139.64583</v>
      </c>
      <c r="F50" s="32">
        <f>IFERROR(__xludf.DUMMYFUNCTION("GOOGLEFINANCE(A50,""low52"")"),315.55)</f>
        <v>315.55</v>
      </c>
      <c r="G50" s="33">
        <f>IFERROR(__xludf.DUMMYFUNCTION("to_date(index(sort(GOOGLEFINANCE(A50, ""low"", today()-52*7, today(), ""DAILY""),2,1),1,1))"),46000.64583333333)</f>
        <v>46000.64583</v>
      </c>
      <c r="H50" s="34">
        <f>IFERROR(__xludf.DUMMYFUNCTION("MIN(QUERY(SORT(GOOGLEFINANCE(A50,""low"",TODAY()-40,TODAY()),1,0),""select Col2 limit 20""))"),384.0)</f>
        <v>384</v>
      </c>
      <c r="I50" s="34">
        <f t="shared" si="1"/>
        <v>5.137637955</v>
      </c>
      <c r="J50" s="35" t="str">
        <f t="shared" si="2"/>
        <v>No need to fresh start</v>
      </c>
    </row>
    <row r="51">
      <c r="A51" s="50" t="s">
        <v>164</v>
      </c>
      <c r="B51" s="30">
        <f>IFERROR(__xludf.DUMMYFUNCTION("GOOGLEFINANCE(A51,""price"")"),36000.0)</f>
        <v>36000</v>
      </c>
      <c r="C51" s="31">
        <f>IFERROR(__xludf.DUMMYFUNCTION("MAX(QUERY(SORT(GOOGLEFINANCE(A51,""high"",TODAY()-100,TODAY()),1,0),""select Col2 limit 55""))"),38855.0)</f>
        <v>38855</v>
      </c>
      <c r="D51" s="32">
        <f>IFERROR(__xludf.DUMMYFUNCTION("GOOGLEFINANCE(A51,""high52"")"),41945.0)</f>
        <v>41945</v>
      </c>
      <c r="E51" s="33">
        <f>IFERROR(__xludf.DUMMYFUNCTION("to_date(index(sort(GOOGLEFINANCE(A51, ""high"", today()-52*7, today(), ""DAILY""),2,0),2,1))"),45910.64583333333)</f>
        <v>45910.64583</v>
      </c>
      <c r="F51" s="32">
        <f>IFERROR(__xludf.DUMMYFUNCTION("GOOGLEFINANCE(A51,""low52"")"),28610.0)</f>
        <v>28610</v>
      </c>
      <c r="G51" s="33">
        <f>IFERROR(__xludf.DUMMYFUNCTION("to_date(index(sort(GOOGLEFINANCE(A51, ""low"", today()-52*7, today(), ""DAILY""),2,1),1,1))"),46111.64583333333)</f>
        <v>46111.64583</v>
      </c>
      <c r="H51" s="34">
        <f>IFERROR(__xludf.DUMMYFUNCTION("MIN(QUERY(SORT(GOOGLEFINANCE(A51,""low"",TODAY()-40,TODAY()),1,0),""select Col2 limit 20""))"),34825.0)</f>
        <v>34825</v>
      </c>
      <c r="I51" s="34">
        <f t="shared" si="1"/>
        <v>7.930555556</v>
      </c>
      <c r="J51" s="35" t="str">
        <f t="shared" si="2"/>
        <v>No need to fresh start</v>
      </c>
    </row>
    <row r="52">
      <c r="A52" s="50" t="s">
        <v>53</v>
      </c>
      <c r="B52" s="30">
        <f>IFERROR(__xludf.DUMMYFUNCTION("GOOGLEFINANCE(A52,""price"")"),142.0)</f>
        <v>142</v>
      </c>
      <c r="C52" s="31">
        <f>IFERROR(__xludf.DUMMYFUNCTION("MAX(QUERY(SORT(GOOGLEFINANCE(A52,""high"",TODAY()-100,TODAY()),1,0),""select Col2 limit 55""))"),176.17)</f>
        <v>176.17</v>
      </c>
      <c r="D52" s="32">
        <f>IFERROR(__xludf.DUMMYFUNCTION("GOOGLEFINANCE(A52,""high52"")"),188.96)</f>
        <v>188.96</v>
      </c>
      <c r="E52" s="33">
        <f>IFERROR(__xludf.DUMMYFUNCTION("to_date(index(sort(GOOGLEFINANCE(A52, ""high"", today()-52*7, today(), ""DAILY""),2,0),2,1))"),46080.64583333333)</f>
        <v>46080.64583</v>
      </c>
      <c r="F52" s="32">
        <f>IFERROR(__xludf.DUMMYFUNCTION("GOOGLEFINANCE(A52,""low52"")"),130.22)</f>
        <v>130.22</v>
      </c>
      <c r="G52" s="33">
        <f>IFERROR(__xludf.DUMMYFUNCTION("to_date(index(sort(GOOGLEFINANCE(A52, ""low"", today()-52*7, today(), ""DAILY""),2,1),1,1))"),46114.64583333333)</f>
        <v>46114.64583</v>
      </c>
      <c r="H52" s="34">
        <f>IFERROR(__xludf.DUMMYFUNCTION("MIN(QUERY(SORT(GOOGLEFINANCE(A52,""low"",TODAY()-40,TODAY()),1,0),""select Col2 limit 20""))"),130.53)</f>
        <v>130.53</v>
      </c>
      <c r="I52" s="34">
        <f t="shared" si="1"/>
        <v>24.06338028</v>
      </c>
      <c r="J52" s="35" t="str">
        <f t="shared" si="2"/>
        <v>No need to fresh start</v>
      </c>
    </row>
    <row r="53">
      <c r="A53" s="50" t="s">
        <v>165</v>
      </c>
      <c r="B53" s="30">
        <f>IFERROR(__xludf.DUMMYFUNCTION("GOOGLEFINANCE(A53,""price"")"),1449.7)</f>
        <v>1449.7</v>
      </c>
      <c r="C53" s="31">
        <f>IFERROR(__xludf.DUMMYFUNCTION("MAX(QUERY(SORT(GOOGLEFINANCE(A53,""high"",TODAY()-100,TODAY()),1,0),""select Col2 limit 55""))"),1550.0)</f>
        <v>1550</v>
      </c>
      <c r="D53" s="32">
        <f>IFERROR(__xludf.DUMMYFUNCTION("GOOGLEFINANCE(A53,""high52"")"),1550.0)</f>
        <v>1550</v>
      </c>
      <c r="E53" s="33">
        <f>IFERROR(__xludf.DUMMYFUNCTION("to_date(index(sort(GOOGLEFINANCE(A53, ""high"", today()-52*7, today(), ""DAILY""),2,0),2,1))"),46163.64583333333)</f>
        <v>46163.64583</v>
      </c>
      <c r="F53" s="32">
        <f>IFERROR(__xludf.DUMMYFUNCTION("GOOGLEFINANCE(A53,""low52"")"),1016.1)</f>
        <v>1016.1</v>
      </c>
      <c r="G53" s="33">
        <f>IFERROR(__xludf.DUMMYFUNCTION("to_date(index(sort(GOOGLEFINANCE(A53, ""low"", today()-52*7, today(), ""DAILY""),2,1),1,1))"),45901.64583333333)</f>
        <v>45901.64583</v>
      </c>
      <c r="H53" s="34">
        <f>IFERROR(__xludf.DUMMYFUNCTION("MIN(QUERY(SORT(GOOGLEFINANCE(A53,""low"",TODAY()-40,TODAY()),1,0),""select Col2 limit 20""))"),1367.0)</f>
        <v>1367</v>
      </c>
      <c r="I53" s="34">
        <f t="shared" si="1"/>
        <v>6.918672829</v>
      </c>
      <c r="J53" s="35" t="str">
        <f t="shared" si="2"/>
        <v>No need to fresh start</v>
      </c>
    </row>
    <row r="54">
      <c r="A54" s="50" t="s">
        <v>166</v>
      </c>
      <c r="B54" s="30">
        <f>IFERROR(__xludf.DUMMYFUNCTION("GOOGLEFINANCE(A54,""price"")"),1028.4)</f>
        <v>1028.4</v>
      </c>
      <c r="C54" s="31">
        <f>IFERROR(__xludf.DUMMYFUNCTION("MAX(QUERY(SORT(GOOGLEFINANCE(A54,""high"",TODAY()-100,TODAY()),1,0),""select Col2 limit 55""))"),1152.9)</f>
        <v>1152.9</v>
      </c>
      <c r="D54" s="32">
        <f>IFERROR(__xludf.DUMMYFUNCTION("GOOGLEFINANCE(A54,""high52"")"),1309.0)</f>
        <v>1309</v>
      </c>
      <c r="E54" s="33">
        <f>IFERROR(__xludf.DUMMYFUNCTION("to_date(index(sort(GOOGLEFINANCE(A54, ""high"", today()-52*7, today(), ""DAILY""),2,0),2,1))"),45904.64583333333)</f>
        <v>45904.64583</v>
      </c>
      <c r="F54" s="32">
        <f>IFERROR(__xludf.DUMMYFUNCTION("GOOGLEFINANCE(A54,""low52"")"),967.05)</f>
        <v>967.05</v>
      </c>
      <c r="G54" s="33">
        <f>IFERROR(__xludf.DUMMYFUNCTION("to_date(index(sort(GOOGLEFINANCE(A54, ""low"", today()-52*7, today(), ""DAILY""),2,1),1,1))"),46114.64583333333)</f>
        <v>46114.64583</v>
      </c>
      <c r="H54" s="34">
        <f>IFERROR(__xludf.DUMMYFUNCTION("MIN(QUERY(SORT(GOOGLEFINANCE(A54,""low"",TODAY()-40,TODAY()),1,0),""select Col2 limit 20""))"),1001.5)</f>
        <v>1001.5</v>
      </c>
      <c r="I54" s="34">
        <f t="shared" si="1"/>
        <v>12.10618436</v>
      </c>
      <c r="J54" s="35" t="str">
        <f t="shared" si="2"/>
        <v>Start GTT Order</v>
      </c>
    </row>
    <row r="55">
      <c r="A55" s="50" t="s">
        <v>167</v>
      </c>
      <c r="B55" s="30">
        <f>IFERROR(__xludf.DUMMYFUNCTION("GOOGLEFINANCE(A55,""price"")"),5031.5)</f>
        <v>5031.5</v>
      </c>
      <c r="C55" s="31">
        <f>IFERROR(__xludf.DUMMYFUNCTION("MAX(QUERY(SORT(GOOGLEFINANCE(A55,""high"",TODAY()-100,TODAY()),1,0),""select Col2 limit 55""))"),5766.0)</f>
        <v>5766</v>
      </c>
      <c r="D55" s="32">
        <f>IFERROR(__xludf.DUMMYFUNCTION("GOOGLEFINANCE(A55,""high52"")"),6388.5)</f>
        <v>6388.5</v>
      </c>
      <c r="E55" s="33">
        <f>IFERROR(__xludf.DUMMYFUNCTION("to_date(index(sort(GOOGLEFINANCE(A55, ""high"", today()-52*7, today(), ""DAILY""),2,0),2,1))"),45996.64583333333)</f>
        <v>45996.64583</v>
      </c>
      <c r="F55" s="32">
        <f>IFERROR(__xludf.DUMMYFUNCTION("GOOGLEFINANCE(A55,""low52"")"),4158.1)</f>
        <v>4158.1</v>
      </c>
      <c r="G55" s="33">
        <f>IFERROR(__xludf.DUMMYFUNCTION("to_date(index(sort(GOOGLEFINANCE(A55, ""low"", today()-52*7, today(), ""DAILY""),2,1),1,1))"),45814.64583333333)</f>
        <v>45814.64583</v>
      </c>
      <c r="H55" s="34">
        <f>IFERROR(__xludf.DUMMYFUNCTION("MIN(QUERY(SORT(GOOGLEFINANCE(A55,""low"",TODAY()-40,TODAY()),1,0),""select Col2 limit 20""))"),4880.0)</f>
        <v>4880</v>
      </c>
      <c r="I55" s="34">
        <f t="shared" si="1"/>
        <v>14.5980324</v>
      </c>
      <c r="J55" s="35" t="str">
        <f t="shared" si="2"/>
        <v>No need to fresh start</v>
      </c>
    </row>
    <row r="56">
      <c r="A56" s="50" t="s">
        <v>46</v>
      </c>
      <c r="B56" s="30">
        <f>IFERROR(__xludf.DUMMYFUNCTION("GOOGLEFINANCE(A56,""price"")"),430.75)</f>
        <v>430.75</v>
      </c>
      <c r="C56" s="31">
        <f>IFERROR(__xludf.DUMMYFUNCTION("MAX(QUERY(SORT(GOOGLEFINANCE(A56,""high"",TODAY()-100,TODAY()),1,0),""select Col2 limit 55""))"),486.5)</f>
        <v>486.5</v>
      </c>
      <c r="D56" s="32">
        <f>IFERROR(__xludf.DUMMYFUNCTION("GOOGLEFINANCE(A56,""high52"")"),486.5)</f>
        <v>486.5</v>
      </c>
      <c r="E56" s="33">
        <f>IFERROR(__xludf.DUMMYFUNCTION("to_date(index(sort(GOOGLEFINANCE(A56, ""high"", today()-52*7, today(), ""DAILY""),2,0),2,1))"),46140.64583333333)</f>
        <v>46140.64583</v>
      </c>
      <c r="F56" s="32">
        <f>IFERROR(__xludf.DUMMYFUNCTION("GOOGLEFINANCE(A56,""low52"")"),329.9)</f>
        <v>329.9</v>
      </c>
      <c r="G56" s="33">
        <f>IFERROR(__xludf.DUMMYFUNCTION("to_date(index(sort(GOOGLEFINANCE(A56, ""low"", today()-52*7, today(), ""DAILY""),2,1),1,1))"),46009.64583333333)</f>
        <v>46009.64583</v>
      </c>
      <c r="H56" s="34">
        <f>IFERROR(__xludf.DUMMYFUNCTION("MIN(QUERY(SORT(GOOGLEFINANCE(A56,""low"",TODAY()-40,TODAY()),1,0),""select Col2 limit 20""))"),422.35)</f>
        <v>422.35</v>
      </c>
      <c r="I56" s="34">
        <f t="shared" si="1"/>
        <v>12.94254208</v>
      </c>
      <c r="J56" s="35" t="str">
        <f t="shared" si="2"/>
        <v>No need to fresh start</v>
      </c>
    </row>
    <row r="57">
      <c r="A57" s="50" t="s">
        <v>168</v>
      </c>
      <c r="B57" s="30">
        <f>IFERROR(__xludf.DUMMYFUNCTION("GOOGLEFINANCE(A57,""price"")"),1288.4)</f>
        <v>1288.4</v>
      </c>
      <c r="C57" s="31">
        <f>IFERROR(__xludf.DUMMYFUNCTION("MAX(QUERY(SORT(GOOGLEFINANCE(A57,""high"",TODAY()-100,TODAY()),1,0),""select Col2 limit 55""))"),1393.1)</f>
        <v>1393.1</v>
      </c>
      <c r="D57" s="32">
        <f>IFERROR(__xludf.DUMMYFUNCTION("GOOGLEFINANCE(A57,""high52"")"),1500.0)</f>
        <v>1500</v>
      </c>
      <c r="E57" s="33">
        <f>IFERROR(__xludf.DUMMYFUNCTION("to_date(index(sort(GOOGLEFINANCE(A57, ""high"", today()-52*7, today(), ""DAILY""),2,0),2,1))"),45863.64583333333)</f>
        <v>45863.64583</v>
      </c>
      <c r="F57" s="32">
        <f>IFERROR(__xludf.DUMMYFUNCTION("GOOGLEFINANCE(A57,""low52"")"),1187.6)</f>
        <v>1187.6</v>
      </c>
      <c r="G57" s="33">
        <f>IFERROR(__xludf.DUMMYFUNCTION("to_date(index(sort(GOOGLEFINANCE(A57, ""low"", today()-52*7, today(), ""DAILY""),2,1),1,1))"),46114.64583333333)</f>
        <v>46114.64583</v>
      </c>
      <c r="H57" s="34">
        <f>IFERROR(__xludf.DUMMYFUNCTION("MIN(QUERY(SORT(GOOGLEFINANCE(A57,""low"",TODAY()-40,TODAY()),1,0),""select Col2 limit 20""))"),1223.3)</f>
        <v>1223.3</v>
      </c>
      <c r="I57" s="34">
        <f t="shared" si="1"/>
        <v>8.126358274</v>
      </c>
      <c r="J57" s="35" t="str">
        <f t="shared" si="2"/>
        <v>No need to fresh start</v>
      </c>
    </row>
    <row r="58">
      <c r="A58" s="51" t="s">
        <v>169</v>
      </c>
      <c r="B58" s="30">
        <f>IFERROR(__xludf.DUMMYFUNCTION("GOOGLEFINANCE(A58,""price"")"),2332.8)</f>
        <v>2332.8</v>
      </c>
      <c r="C58" s="31">
        <f>IFERROR(__xludf.DUMMYFUNCTION("MAX(QUERY(SORT(GOOGLEFINANCE(A58,""high"",TODAY()-100,TODAY()),1,0),""select Col2 limit 55""))"),2396.0)</f>
        <v>2396</v>
      </c>
      <c r="D58" s="32">
        <f>IFERROR(__xludf.DUMMYFUNCTION("GOOGLEFINANCE(A58,""high52"")"),2396.0)</f>
        <v>2396</v>
      </c>
      <c r="E58" s="33">
        <f>IFERROR(__xludf.DUMMYFUNCTION("to_date(index(sort(GOOGLEFINANCE(A58, ""high"", today()-52*7, today(), ""DAILY""),2,0),2,1))"),46167.64583333333)</f>
        <v>46167.64583</v>
      </c>
      <c r="F58" s="32">
        <f>IFERROR(__xludf.DUMMYFUNCTION("GOOGLEFINANCE(A58,""low52"")"),1513.4)</f>
        <v>1513.4</v>
      </c>
      <c r="G58" s="33">
        <f>IFERROR(__xludf.DUMMYFUNCTION("to_date(index(sort(GOOGLEFINANCE(A58, ""low"", today()-52*7, today(), ""DAILY""),2,1),1,1))"),45806.64583333333)</f>
        <v>45806.64583</v>
      </c>
      <c r="H58" s="34">
        <f>IFERROR(__xludf.DUMMYFUNCTION("MIN(QUERY(SORT(GOOGLEFINANCE(A58,""low"",TODAY()-40,TODAY()),1,0),""select Col2 limit 20""))"),1728.4)</f>
        <v>1728.4</v>
      </c>
      <c r="I58" s="34">
        <f t="shared" si="1"/>
        <v>2.709190672</v>
      </c>
      <c r="J58" s="35" t="str">
        <f t="shared" si="2"/>
        <v>No need to fresh start</v>
      </c>
    </row>
    <row r="59">
      <c r="A59" s="50" t="s">
        <v>170</v>
      </c>
      <c r="B59" s="30">
        <f>IFERROR(__xludf.DUMMYFUNCTION("GOOGLEFINANCE(A59,""price"")"),10730.5)</f>
        <v>10730.5</v>
      </c>
      <c r="C59" s="31">
        <f>IFERROR(__xludf.DUMMYFUNCTION("MAX(QUERY(SORT(GOOGLEFINANCE(A59,""high"",TODAY()-100,TODAY()),1,0),""select Col2 limit 55""))"),10785.0)</f>
        <v>10785</v>
      </c>
      <c r="D59" s="32">
        <f>IFERROR(__xludf.DUMMYFUNCTION("GOOGLEFINANCE(A59,""high52"")"),10785.0)</f>
        <v>10785</v>
      </c>
      <c r="E59" s="33">
        <f>IFERROR(__xludf.DUMMYFUNCTION("to_date(index(sort(GOOGLEFINANCE(A59, ""high"", today()-52*7, today(), ""DAILY""),2,0),2,1))"),46150.64583333333)</f>
        <v>46150.64583</v>
      </c>
      <c r="F59" s="32">
        <f>IFERROR(__xludf.DUMMYFUNCTION("GOOGLEFINANCE(A59,""low52"")"),7858.5)</f>
        <v>7858.5</v>
      </c>
      <c r="G59" s="33">
        <f>IFERROR(__xludf.DUMMYFUNCTION("to_date(index(sort(GOOGLEFINANCE(A59, ""low"", today()-52*7, today(), ""DAILY""),2,1),1,1))"),45876.64583333333)</f>
        <v>45876.64583</v>
      </c>
      <c r="H59" s="34">
        <f>IFERROR(__xludf.DUMMYFUNCTION("MIN(QUERY(SORT(GOOGLEFINANCE(A59,""low"",TODAY()-40,TODAY()),1,0),""select Col2 limit 20""))"),9355.0)</f>
        <v>9355</v>
      </c>
      <c r="I59" s="34">
        <f t="shared" si="1"/>
        <v>0.5078980476</v>
      </c>
      <c r="J59" s="35" t="str">
        <f t="shared" si="2"/>
        <v>No need to fresh start</v>
      </c>
    </row>
    <row r="60">
      <c r="A60" s="50" t="s">
        <v>171</v>
      </c>
      <c r="B60" s="30">
        <f>IFERROR(__xludf.DUMMYFUNCTION("GOOGLEFINANCE(A60,""price"")"),971.1)</f>
        <v>971.1</v>
      </c>
      <c r="C60" s="31">
        <f>IFERROR(__xludf.DUMMYFUNCTION("MAX(QUERY(SORT(GOOGLEFINANCE(A60,""high"",TODAY()-100,TODAY()),1,0),""select Col2 limit 55""))"),1183.2)</f>
        <v>1183.2</v>
      </c>
      <c r="D60" s="32">
        <f>IFERROR(__xludf.DUMMYFUNCTION("GOOGLEFINANCE(A60,""high52"")"),1234.7)</f>
        <v>1234.7</v>
      </c>
      <c r="E60" s="33">
        <f>IFERROR(__xludf.DUMMYFUNCTION("to_date(index(sort(GOOGLEFINANCE(A60, ""high"", today()-52*7, today(), ""DAILY""),2,0),2,1))"),46077.64583333333)</f>
        <v>46077.64583</v>
      </c>
      <c r="F60" s="32">
        <f>IFERROR(__xludf.DUMMYFUNCTION("GOOGLEFINANCE(A60,""low52"")"),781.7)</f>
        <v>781.7</v>
      </c>
      <c r="G60" s="33">
        <f>IFERROR(__xludf.DUMMYFUNCTION("to_date(index(sort(GOOGLEFINANCE(A60, ""low"", today()-52*7, today(), ""DAILY""),2,1),1,1))"),45827.64583333333)</f>
        <v>45827.64583</v>
      </c>
      <c r="H60" s="34">
        <f>IFERROR(__xludf.DUMMYFUNCTION("MIN(QUERY(SORT(GOOGLEFINANCE(A60,""low"",TODAY()-40,TODAY()),1,0),""select Col2 limit 20""))"),933.9)</f>
        <v>933.9</v>
      </c>
      <c r="I60" s="34">
        <f t="shared" si="1"/>
        <v>21.841211</v>
      </c>
      <c r="J60" s="35" t="str">
        <f t="shared" si="2"/>
        <v>No need to fresh start</v>
      </c>
    </row>
    <row r="61">
      <c r="A61" s="50" t="s">
        <v>172</v>
      </c>
      <c r="B61" s="30">
        <f>IFERROR(__xludf.DUMMYFUNCTION("GOOGLEFINANCE(A61,""price"")"),627.9)</f>
        <v>627.9</v>
      </c>
      <c r="C61" s="31">
        <f>IFERROR(__xludf.DUMMYFUNCTION("MAX(QUERY(SORT(GOOGLEFINANCE(A61,""high"",TODAY()-100,TODAY()),1,0),""select Col2 limit 55""))"),740.0)</f>
        <v>740</v>
      </c>
      <c r="D61" s="32">
        <f>IFERROR(__xludf.DUMMYFUNCTION("GOOGLEFINANCE(A61,""high52"")"),1027.25)</f>
        <v>1027.25</v>
      </c>
      <c r="E61" s="33">
        <f>IFERROR(__xludf.DUMMYFUNCTION("to_date(index(sort(GOOGLEFINANCE(A61, ""high"", today()-52*7, today(), ""DAILY""),2,0),2,1))"),45818.64583333333)</f>
        <v>45818.64583</v>
      </c>
      <c r="F61" s="32">
        <f>IFERROR(__xludf.DUMMYFUNCTION("GOOGLEFINANCE(A61,""low52"")"),612.1)</f>
        <v>612.1</v>
      </c>
      <c r="G61" s="33">
        <f>IFERROR(__xludf.DUMMYFUNCTION("to_date(index(sort(GOOGLEFINANCE(A61, ""low"", today()-52*7, today(), ""DAILY""),2,1),1,1))"),46160.64583333333)</f>
        <v>46160.64583</v>
      </c>
      <c r="H61" s="34">
        <f>IFERROR(__xludf.DUMMYFUNCTION("MIN(QUERY(SORT(GOOGLEFINANCE(A61,""low"",TODAY()-40,TODAY()),1,0),""select Col2 limit 20""))"),612.1)</f>
        <v>612.1</v>
      </c>
      <c r="I61" s="34">
        <f t="shared" si="1"/>
        <v>17.85316133</v>
      </c>
      <c r="J61" s="35" t="str">
        <f t="shared" si="2"/>
        <v>Start GTT Order</v>
      </c>
    </row>
    <row r="62">
      <c r="A62" s="50" t="s">
        <v>64</v>
      </c>
      <c r="B62" s="30">
        <f>IFERROR(__xludf.DUMMYFUNCTION("GOOGLEFINANCE(A62,""price"")"),276.2)</f>
        <v>276.2</v>
      </c>
      <c r="C62" s="31">
        <f>IFERROR(__xludf.DUMMYFUNCTION("MAX(QUERY(SORT(GOOGLEFINANCE(A62,""high"",TODAY()-100,TODAY()),1,0),""select Col2 limit 55""))"),307.5)</f>
        <v>307.5</v>
      </c>
      <c r="D62" s="32">
        <f>IFERROR(__xludf.DUMMYFUNCTION("GOOGLEFINANCE(A62,""high52"")"),307.5)</f>
        <v>307.5</v>
      </c>
      <c r="E62" s="33">
        <f>IFERROR(__xludf.DUMMYFUNCTION("to_date(index(sort(GOOGLEFINANCE(A62, ""high"", today()-52*7, today(), ""DAILY""),2,0),2,1))"),46141.64583333333)</f>
        <v>46141.64583</v>
      </c>
      <c r="F62" s="32">
        <f>IFERROR(__xludf.DUMMYFUNCTION("GOOGLEFINANCE(A62,""low52"")"),228.61)</f>
        <v>228.61</v>
      </c>
      <c r="G62" s="33">
        <f>IFERROR(__xludf.DUMMYFUNCTION("to_date(index(sort(GOOGLEFINANCE(A62, ""low"", today()-52*7, today(), ""DAILY""),2,1),1,1))"),46008.64583333333)</f>
        <v>46008.64583</v>
      </c>
      <c r="H62" s="34">
        <f>IFERROR(__xludf.DUMMYFUNCTION("MIN(QUERY(SORT(GOOGLEFINANCE(A62,""low"",TODAY()-40,TODAY()),1,0),""select Col2 limit 20""))"),277.65)</f>
        <v>277.65</v>
      </c>
      <c r="I62" s="34">
        <f t="shared" si="1"/>
        <v>11.33236785</v>
      </c>
      <c r="J62" s="35" t="str">
        <f t="shared" si="2"/>
        <v>No need to fresh start</v>
      </c>
    </row>
    <row r="63">
      <c r="A63" s="50" t="s">
        <v>50</v>
      </c>
      <c r="B63" s="30">
        <f>IFERROR(__xludf.DUMMYFUNCTION("GOOGLEFINANCE(A63,""price"")"),393.9)</f>
        <v>393.9</v>
      </c>
      <c r="C63" s="31">
        <f>IFERROR(__xludf.DUMMYFUNCTION("MAX(QUERY(SORT(GOOGLEFINANCE(A63,""high"",TODAY()-100,TODAY()),1,0),""select Col2 limit 55""))"),435.6)</f>
        <v>435.6</v>
      </c>
      <c r="D63" s="32">
        <f>IFERROR(__xludf.DUMMYFUNCTION("GOOGLEFINANCE(A63,""high52"")"),508.45)</f>
        <v>508.45</v>
      </c>
      <c r="E63" s="33">
        <f>IFERROR(__xludf.DUMMYFUNCTION("to_date(index(sort(GOOGLEFINANCE(A63, ""high"", today()-52*7, today(), ""DAILY""),2,0),2,1))"),46027.64583333333)</f>
        <v>46027.64583</v>
      </c>
      <c r="F63" s="32">
        <f>IFERROR(__xludf.DUMMYFUNCTION("GOOGLEFINANCE(A63,""low52"")"),316.2)</f>
        <v>316.2</v>
      </c>
      <c r="G63" s="33">
        <f>IFERROR(__xludf.DUMMYFUNCTION("to_date(index(sort(GOOGLEFINANCE(A63, ""low"", today()-52*7, today(), ""DAILY""),2,1),1,1))"),46085.64583333333)</f>
        <v>46085.64583</v>
      </c>
      <c r="H63" s="34">
        <f>IFERROR(__xludf.DUMMYFUNCTION("MIN(QUERY(SORT(GOOGLEFINANCE(A63,""low"",TODAY()-40,TODAY()),1,0),""select Col2 limit 20""))"),355.8)</f>
        <v>355.8</v>
      </c>
      <c r="I63" s="34">
        <f t="shared" si="1"/>
        <v>10.58644326</v>
      </c>
      <c r="J63" s="35" t="str">
        <f t="shared" si="2"/>
        <v>Start GTT Order</v>
      </c>
    </row>
    <row r="64">
      <c r="A64" s="50" t="s">
        <v>173</v>
      </c>
      <c r="B64" s="30">
        <f>IFERROR(__xludf.DUMMYFUNCTION("GOOGLEFINANCE(A64,""price"")"),3161.9)</f>
        <v>3161.9</v>
      </c>
      <c r="C64" s="31">
        <f>IFERROR(__xludf.DUMMYFUNCTION("MAX(QUERY(SORT(GOOGLEFINANCE(A64,""high"",TODAY()-100,TODAY()),1,0),""select Col2 limit 55""))"),3196.2)</f>
        <v>3196.2</v>
      </c>
      <c r="D64" s="32">
        <f>IFERROR(__xludf.DUMMYFUNCTION("GOOGLEFINANCE(A64,""high52"")"),3197.5)</f>
        <v>3197.5</v>
      </c>
      <c r="E64" s="33">
        <f>IFERROR(__xludf.DUMMYFUNCTION("to_date(index(sort(GOOGLEFINANCE(A64, ""high"", today()-52*7, today(), ""DAILY""),2,0),2,1))"),46168.64583333333)</f>
        <v>46168.64583</v>
      </c>
      <c r="F64" s="32">
        <f>IFERROR(__xludf.DUMMYFUNCTION("GOOGLEFINANCE(A64,""low52"")"),2502.5)</f>
        <v>2502.5</v>
      </c>
      <c r="G64" s="33">
        <f>IFERROR(__xludf.DUMMYFUNCTION("to_date(index(sort(GOOGLEFINANCE(A64, ""low"", today()-52*7, today(), ""DAILY""),2,1),1,1))"),46104.64583333333)</f>
        <v>46104.64583</v>
      </c>
      <c r="H64" s="34">
        <f>IFERROR(__xludf.DUMMYFUNCTION("MIN(QUERY(SORT(GOOGLEFINANCE(A64,""low"",TODAY()-40,TODAY()),1,0),""select Col2 limit 20""))"),2727.0)</f>
        <v>2727</v>
      </c>
      <c r="I64" s="34">
        <f t="shared" si="1"/>
        <v>1.08479079</v>
      </c>
      <c r="J64" s="35" t="str">
        <f t="shared" si="2"/>
        <v>No need to fresh start</v>
      </c>
    </row>
    <row r="65">
      <c r="A65" s="50" t="s">
        <v>174</v>
      </c>
      <c r="B65" s="30">
        <f>IFERROR(__xludf.DUMMYFUNCTION("GOOGLEFINANCE(A65,""price"")"),1808.7)</f>
        <v>1808.7</v>
      </c>
      <c r="C65" s="31">
        <f>IFERROR(__xludf.DUMMYFUNCTION("MAX(QUERY(SORT(GOOGLEFINANCE(A65,""high"",TODAY()-100,TODAY()),1,0),""select Col2 limit 55""))"),1917.9)</f>
        <v>1917.9</v>
      </c>
      <c r="D65" s="32">
        <f>IFERROR(__xludf.DUMMYFUNCTION("GOOGLEFINANCE(A65,""high52"")"),2195.0)</f>
        <v>2195</v>
      </c>
      <c r="E65" s="33">
        <f>IFERROR(__xludf.DUMMYFUNCTION("to_date(index(sort(GOOGLEFINANCE(A65, ""high"", today()-52*7, today(), ""DAILY""),2,0),2,1))"),45953.64583333333)</f>
        <v>45953.64583</v>
      </c>
      <c r="F65" s="32">
        <f>IFERROR(__xludf.DUMMYFUNCTION("GOOGLEFINANCE(A65,""low52"")"),1597.0)</f>
        <v>1597</v>
      </c>
      <c r="G65" s="33">
        <f>IFERROR(__xludf.DUMMYFUNCTION("to_date(index(sort(GOOGLEFINANCE(A65, ""low"", today()-52*7, today(), ""DAILY""),2,1),1,1))"),46114.64583333333)</f>
        <v>46114.64583</v>
      </c>
      <c r="H65" s="34">
        <f>IFERROR(__xludf.DUMMYFUNCTION("MIN(QUERY(SORT(GOOGLEFINANCE(A65,""low"",TODAY()-40,TODAY()),1,0),""select Col2 limit 20""))"),1693.8)</f>
        <v>1693.8</v>
      </c>
      <c r="I65" s="34">
        <f t="shared" si="1"/>
        <v>6.037485487</v>
      </c>
      <c r="J65" s="35" t="str">
        <f t="shared" si="2"/>
        <v>No need to fresh start</v>
      </c>
    </row>
    <row r="66">
      <c r="A66" s="50" t="s">
        <v>175</v>
      </c>
      <c r="B66" s="30">
        <f>IFERROR(__xludf.DUMMYFUNCTION("GOOGLEFINANCE(A66,""price"")"),459.45)</f>
        <v>459.45</v>
      </c>
      <c r="C66" s="31">
        <f>IFERROR(__xludf.DUMMYFUNCTION("MAX(QUERY(SORT(GOOGLEFINANCE(A66,""high"",TODAY()-100,TODAY()),1,0),""select Col2 limit 55""))"),482.4)</f>
        <v>482.4</v>
      </c>
      <c r="D66" s="32">
        <f>IFERROR(__xludf.DUMMYFUNCTION("GOOGLEFINANCE(A66,""high52"")"),624.95)</f>
        <v>624.95</v>
      </c>
      <c r="E66" s="33">
        <f>IFERROR(__xludf.DUMMYFUNCTION("to_date(index(sort(GOOGLEFINANCE(A66, ""high"", today()-52*7, today(), ""DAILY""),2,0),2,1))"),45860.64583333333)</f>
        <v>45860.64583</v>
      </c>
      <c r="F66" s="32">
        <f>IFERROR(__xludf.DUMMYFUNCTION("GOOGLEFINANCE(A66,""low52"")"),394.0)</f>
        <v>394</v>
      </c>
      <c r="G66" s="33">
        <f>IFERROR(__xludf.DUMMYFUNCTION("to_date(index(sort(GOOGLEFINANCE(A66, ""low"", today()-52*7, today(), ""DAILY""),2,1),1,1))"),46104.64583333333)</f>
        <v>46104.64583</v>
      </c>
      <c r="H66" s="34">
        <f>IFERROR(__xludf.DUMMYFUNCTION("MIN(QUERY(SORT(GOOGLEFINANCE(A66,""low"",TODAY()-40,TODAY()),1,0),""select Col2 limit 20""))"),421.1)</f>
        <v>421.1</v>
      </c>
      <c r="I66" s="34">
        <f t="shared" si="1"/>
        <v>4.99510284</v>
      </c>
      <c r="J66" s="35" t="str">
        <f t="shared" si="2"/>
        <v>No need to fresh start</v>
      </c>
    </row>
    <row r="67">
      <c r="A67" s="50" t="s">
        <v>176</v>
      </c>
      <c r="B67" s="30">
        <f>IFERROR(__xludf.DUMMYFUNCTION("GOOGLEFINANCE(A67,""price"")"),293.95)</f>
        <v>293.95</v>
      </c>
      <c r="C67" s="31">
        <f>IFERROR(__xludf.DUMMYFUNCTION("MAX(QUERY(SORT(GOOGLEFINANCE(A67,""high"",TODAY()-100,TODAY()),1,0),""select Col2 limit 55""))"),317.9)</f>
        <v>317.9</v>
      </c>
      <c r="D67" s="32">
        <f>IFERROR(__xludf.DUMMYFUNCTION("GOOGLEFINANCE(A67,""high52"")"),444.2)</f>
        <v>444.2</v>
      </c>
      <c r="E67" s="33">
        <f>IFERROR(__xludf.DUMMYFUNCTION("to_date(index(sort(GOOGLEFINANCE(A67, ""high"", today()-52*7, today(), ""DAILY""),2,0),2,1))"),45818.64583333333)</f>
        <v>45818.64583</v>
      </c>
      <c r="F67" s="32">
        <f>IFERROR(__xludf.DUMMYFUNCTION("GOOGLEFINANCE(A67,""low52"")"),287.0)</f>
        <v>287</v>
      </c>
      <c r="G67" s="33">
        <f>IFERROR(__xludf.DUMMYFUNCTION("to_date(index(sort(GOOGLEFINANCE(A67, ""low"", today()-52*7, today(), ""DAILY""),2,1),1,1))"),46111.64583333333)</f>
        <v>46111.64583</v>
      </c>
      <c r="H67" s="34">
        <f>IFERROR(__xludf.DUMMYFUNCTION("MIN(QUERY(SORT(GOOGLEFINANCE(A67,""low"",TODAY()-40,TODAY()),1,0),""select Col2 limit 20""))"),300.1)</f>
        <v>300.1</v>
      </c>
      <c r="I67" s="34">
        <f t="shared" si="1"/>
        <v>8.147644157</v>
      </c>
      <c r="J67" s="35" t="str">
        <f t="shared" si="2"/>
        <v>No need to fresh start</v>
      </c>
    </row>
    <row r="68">
      <c r="A68" s="50" t="s">
        <v>177</v>
      </c>
      <c r="B68" s="30">
        <f>IFERROR(__xludf.DUMMYFUNCTION("GOOGLEFINANCE(A68,""price"")"),217.26)</f>
        <v>217.26</v>
      </c>
      <c r="C68" s="31">
        <f>IFERROR(__xludf.DUMMYFUNCTION("MAX(QUERY(SORT(GOOGLEFINANCE(A68,""high"",TODAY()-100,TODAY()),1,0),""select Col2 limit 55""))"),224.4)</f>
        <v>224.4</v>
      </c>
      <c r="D68" s="32">
        <f>IFERROR(__xludf.DUMMYFUNCTION("GOOGLEFINANCE(A68,""high52"")"),224.4)</f>
        <v>224.4</v>
      </c>
      <c r="E68" s="33">
        <f>IFERROR(__xludf.DUMMYFUNCTION("to_date(index(sort(GOOGLEFINANCE(A68, ""high"", today()-52*7, today(), ""DAILY""),2,0),2,1))"),46157.64583333333)</f>
        <v>46157.64583</v>
      </c>
      <c r="F68" s="32">
        <f>IFERROR(__xludf.DUMMYFUNCTION("GOOGLEFINANCE(A68,""low52"")"),149.8)</f>
        <v>149.8</v>
      </c>
      <c r="G68" s="33">
        <f>IFERROR(__xludf.DUMMYFUNCTION("to_date(index(sort(GOOGLEFINANCE(A68, ""low"", today()-52*7, today(), ""DAILY""),2,1),1,1))"),45821.64583333333)</f>
        <v>45821.64583</v>
      </c>
      <c r="H68" s="34">
        <f>IFERROR(__xludf.DUMMYFUNCTION("MIN(QUERY(SORT(GOOGLEFINANCE(A68,""low"",TODAY()-40,TODAY()),1,0),""select Col2 limit 20""))"),203.04)</f>
        <v>203.04</v>
      </c>
      <c r="I68" s="34">
        <f t="shared" si="1"/>
        <v>3.286384977</v>
      </c>
      <c r="J68" s="35" t="str">
        <f t="shared" si="2"/>
        <v>No need to fresh start</v>
      </c>
    </row>
    <row r="69">
      <c r="A69" s="50" t="s">
        <v>178</v>
      </c>
      <c r="B69" s="30">
        <f>IFERROR(__xludf.DUMMYFUNCTION("GOOGLEFINANCE(A69,""price"")"),10283.5)</f>
        <v>10283.5</v>
      </c>
      <c r="C69" s="31">
        <f>IFERROR(__xludf.DUMMYFUNCTION("MAX(QUERY(SORT(GOOGLEFINANCE(A69,""high"",TODAY()-100,TODAY()),1,0),""select Col2 limit 55""))"),9999.0)</f>
        <v>9999</v>
      </c>
      <c r="D69" s="32">
        <f>IFERROR(__xludf.DUMMYFUNCTION("GOOGLEFINANCE(A69,""high52"")"),10357.0)</f>
        <v>10357</v>
      </c>
      <c r="E69" s="33">
        <f>IFERROR(__xludf.DUMMYFUNCTION("to_date(index(sort(GOOGLEFINANCE(A69, ""high"", today()-52*7, today(), ""DAILY""),2,0),2,1))"),46161.64583333333)</f>
        <v>46161.64583</v>
      </c>
      <c r="F69" s="32">
        <f>IFERROR(__xludf.DUMMYFUNCTION("GOOGLEFINANCE(A69,""low52"")"),6234.5)</f>
        <v>6234.5</v>
      </c>
      <c r="G69" s="33">
        <f>IFERROR(__xludf.DUMMYFUNCTION("to_date(index(sort(GOOGLEFINANCE(A69, ""low"", today()-52*7, today(), ""DAILY""),2,1),1,1))"),46098.64583333333)</f>
        <v>46098.64583</v>
      </c>
      <c r="H69" s="34">
        <f>IFERROR(__xludf.DUMMYFUNCTION("MIN(QUERY(SORT(GOOGLEFINANCE(A69,""low"",TODAY()-40,TODAY()),1,0),""select Col2 limit 20""))"),8646.5)</f>
        <v>8646.5</v>
      </c>
      <c r="I69" s="34">
        <f t="shared" si="1"/>
        <v>-2.766567803</v>
      </c>
      <c r="J69" s="35" t="str">
        <f t="shared" si="2"/>
        <v>No need to fresh start</v>
      </c>
    </row>
    <row r="70">
      <c r="A70" s="50" t="s">
        <v>179</v>
      </c>
      <c r="B70" s="30">
        <f>IFERROR(__xludf.DUMMYFUNCTION("GOOGLEFINANCE(A70,""price"")"),25560.0)</f>
        <v>25560</v>
      </c>
      <c r="C70" s="31">
        <f>IFERROR(__xludf.DUMMYFUNCTION("MAX(QUERY(SORT(GOOGLEFINANCE(A70,""high"",TODAY()-100,TODAY()),1,0),""select Col2 limit 55""))"),25990.0)</f>
        <v>25990</v>
      </c>
      <c r="D70" s="32">
        <f>IFERROR(__xludf.DUMMYFUNCTION("GOOGLEFINANCE(A70,""high52"")"),32490.0)</f>
        <v>32490</v>
      </c>
      <c r="E70" s="33">
        <f>IFERROR(__xludf.DUMMYFUNCTION("to_date(index(sort(GOOGLEFINANCE(A70, ""high"", today()-52*7, today(), ""DAILY""),2,0),2,1))"),45860.64583333333)</f>
        <v>45860.64583</v>
      </c>
      <c r="F70" s="32">
        <f>IFERROR(__xludf.DUMMYFUNCTION("GOOGLEFINANCE(A70,""low52"")"),22550.0)</f>
        <v>22550</v>
      </c>
      <c r="G70" s="33">
        <f>IFERROR(__xludf.DUMMYFUNCTION("to_date(index(sort(GOOGLEFINANCE(A70, ""low"", today()-52*7, today(), ""DAILY""),2,1),1,1))"),46104.64583333333)</f>
        <v>46104.64583</v>
      </c>
      <c r="H70" s="34">
        <f>IFERROR(__xludf.DUMMYFUNCTION("MIN(QUERY(SORT(GOOGLEFINANCE(A70,""low"",TODAY()-40,TODAY()),1,0),""select Col2 limit 20""))"),23800.0)</f>
        <v>23800</v>
      </c>
      <c r="I70" s="34">
        <f t="shared" si="1"/>
        <v>1.682316119</v>
      </c>
      <c r="J70" s="35" t="str">
        <f t="shared" si="2"/>
        <v>No need to fresh start</v>
      </c>
    </row>
    <row r="71">
      <c r="A71" s="50" t="s">
        <v>180</v>
      </c>
      <c r="B71" s="30">
        <f>IFERROR(__xludf.DUMMYFUNCTION("GOOGLEFINANCE(A71,""price"")"),5322.0)</f>
        <v>5322</v>
      </c>
      <c r="C71" s="31">
        <f>IFERROR(__xludf.DUMMYFUNCTION("MAX(QUERY(SORT(GOOGLEFINANCE(A71,""high"",TODAY()-100,TODAY()),1,0),""select Col2 limit 55""))"),6013.0)</f>
        <v>6013</v>
      </c>
      <c r="D71" s="32">
        <f>IFERROR(__xludf.DUMMYFUNCTION("GOOGLEFINANCE(A71,""high52"")"),6336.0)</f>
        <v>6336</v>
      </c>
      <c r="E71" s="33">
        <f>IFERROR(__xludf.DUMMYFUNCTION("to_date(index(sort(GOOGLEFINANCE(A71, ""high"", today()-52*7, today(), ""DAILY""),2,0),2,1))"),45904.64583333333)</f>
        <v>45904.64583</v>
      </c>
      <c r="F71" s="32">
        <f>IFERROR(__xludf.DUMMYFUNCTION("GOOGLEFINANCE(A71,""low52"")"),5279.5)</f>
        <v>5279.5</v>
      </c>
      <c r="G71" s="33">
        <f>IFERROR(__xludf.DUMMYFUNCTION("to_date(index(sort(GOOGLEFINANCE(A71, ""low"", today()-52*7, today(), ""DAILY""),2,1),1,1))"),46155.64583333333)</f>
        <v>46155.64583</v>
      </c>
      <c r="H71" s="34">
        <f>IFERROR(__xludf.DUMMYFUNCTION("MIN(QUERY(SORT(GOOGLEFINANCE(A71,""low"",TODAY()-40,TODAY()),1,0),""select Col2 limit 20""))"),5279.5)</f>
        <v>5279.5</v>
      </c>
      <c r="I71" s="34">
        <f t="shared" si="1"/>
        <v>12.98384066</v>
      </c>
      <c r="J71" s="35" t="str">
        <f t="shared" si="2"/>
        <v>Start GTT Order</v>
      </c>
    </row>
    <row r="72">
      <c r="A72" s="50" t="s">
        <v>181</v>
      </c>
      <c r="B72" s="30">
        <f>IFERROR(__xludf.DUMMYFUNCTION("GOOGLEFINANCE(A72,""price"")"),3336.3)</f>
        <v>3336.3</v>
      </c>
      <c r="C72" s="31">
        <f>IFERROR(__xludf.DUMMYFUNCTION("MAX(QUERY(SORT(GOOGLEFINANCE(A72,""high"",TODAY()-100,TODAY()),1,0),""select Col2 limit 55""))"),3678.5)</f>
        <v>3678.5</v>
      </c>
      <c r="D72" s="32">
        <f>IFERROR(__xludf.DUMMYFUNCTION("GOOGLEFINANCE(A72,""high52"")"),4149.5)</f>
        <v>4149.5</v>
      </c>
      <c r="E72" s="33">
        <f>IFERROR(__xludf.DUMMYFUNCTION("to_date(index(sort(GOOGLEFINANCE(A72, ""high"", today()-52*7, today(), ""DAILY""),2,0),2,1))"),46051.64583333333)</f>
        <v>46051.64583</v>
      </c>
      <c r="F72" s="32">
        <f>IFERROR(__xludf.DUMMYFUNCTION("GOOGLEFINANCE(A72,""low52"")"),2058.5)</f>
        <v>2058.5</v>
      </c>
      <c r="G72" s="33">
        <f>IFERROR(__xludf.DUMMYFUNCTION("to_date(index(sort(GOOGLEFINANCE(A72, ""low"", today()-52*7, today(), ""DAILY""),2,1),1,1))"),45806.64583333333)</f>
        <v>45806.64583</v>
      </c>
      <c r="H72" s="34">
        <f>IFERROR(__xludf.DUMMYFUNCTION("MIN(QUERY(SORT(GOOGLEFINANCE(A72,""low"",TODAY()-40,TODAY()),1,0),""select Col2 limit 20""))"),3236.0)</f>
        <v>3236</v>
      </c>
      <c r="I72" s="34">
        <f t="shared" si="1"/>
        <v>10.25687138</v>
      </c>
      <c r="J72" s="35" t="str">
        <f t="shared" si="2"/>
        <v>No need to fresh start</v>
      </c>
    </row>
    <row r="73">
      <c r="A73" s="50" t="s">
        <v>182</v>
      </c>
      <c r="B73" s="30">
        <f>IFERROR(__xludf.DUMMYFUNCTION("GOOGLEFINANCE(A73,""price"")"),838.4)</f>
        <v>838.4</v>
      </c>
      <c r="C73" s="31">
        <f>IFERROR(__xludf.DUMMYFUNCTION("MAX(QUERY(SORT(GOOGLEFINANCE(A73,""high"",TODAY()-100,TODAY()),1,0),""select Col2 limit 55""))"),848.8)</f>
        <v>848.8</v>
      </c>
      <c r="D73" s="32">
        <f>IFERROR(__xludf.DUMMYFUNCTION("GOOGLEFINANCE(A73,""high52"")"),848.8)</f>
        <v>848.8</v>
      </c>
      <c r="E73" s="33">
        <f>IFERROR(__xludf.DUMMYFUNCTION("to_date(index(sort(GOOGLEFINANCE(A73, ""high"", today()-52*7, today(), ""DAILY""),2,0),2,1))"),46153.64583333333)</f>
        <v>46153.64583</v>
      </c>
      <c r="F73" s="32">
        <f>IFERROR(__xludf.DUMMYFUNCTION("GOOGLEFINANCE(A73,""low52"")"),680.3)</f>
        <v>680.3</v>
      </c>
      <c r="G73" s="33">
        <f>IFERROR(__xludf.DUMMYFUNCTION("to_date(index(sort(GOOGLEFINANCE(A73, ""low"", today()-52*7, today(), ""DAILY""),2,1),1,1))"),45824.64583333333)</f>
        <v>45824.64583</v>
      </c>
      <c r="H73" s="34">
        <f>IFERROR(__xludf.DUMMYFUNCTION("MIN(QUERY(SORT(GOOGLEFINANCE(A73,""low"",TODAY()-40,TODAY()),1,0),""select Col2 limit 20""))"),760.6)</f>
        <v>760.6</v>
      </c>
      <c r="I73" s="34">
        <f t="shared" si="1"/>
        <v>1.240458015</v>
      </c>
      <c r="J73" s="35" t="str">
        <f t="shared" si="2"/>
        <v>No need to fresh start</v>
      </c>
    </row>
    <row r="74">
      <c r="A74" s="50" t="s">
        <v>183</v>
      </c>
      <c r="B74" s="30">
        <f>IFERROR(__xludf.DUMMYFUNCTION("GOOGLEFINANCE(A74,""price"")"),13187.0)</f>
        <v>13187</v>
      </c>
      <c r="C74" s="31">
        <f>IFERROR(__xludf.DUMMYFUNCTION("MAX(QUERY(SORT(GOOGLEFINANCE(A74,""high"",TODAY()-100,TODAY()),1,0),""select Col2 limit 55""))"),14570.0)</f>
        <v>14570</v>
      </c>
      <c r="D74" s="32">
        <f>IFERROR(__xludf.DUMMYFUNCTION("GOOGLEFINANCE(A74,""high52"")"),17370.0)</f>
        <v>17370</v>
      </c>
      <c r="E74" s="33">
        <f>IFERROR(__xludf.DUMMYFUNCTION("to_date(index(sort(GOOGLEFINANCE(A74, ""high"", today()-52*7, today(), ""DAILY""),2,0),2,1))"),46027.64583333333)</f>
        <v>46027.64583</v>
      </c>
      <c r="F74" s="32">
        <f>IFERROR(__xludf.DUMMYFUNCTION("GOOGLEFINANCE(A74,""low52"")"),12016.0)</f>
        <v>12016</v>
      </c>
      <c r="G74" s="33">
        <f>IFERROR(__xludf.DUMMYFUNCTION("to_date(index(sort(GOOGLEFINANCE(A74, ""low"", today()-52*7, today(), ""DAILY""),2,1),1,1))"),45813.64583333333)</f>
        <v>45813.64583</v>
      </c>
      <c r="H74" s="34">
        <f>IFERROR(__xludf.DUMMYFUNCTION("MIN(QUERY(SORT(GOOGLEFINANCE(A74,""low"",TODAY()-40,TODAY()),1,0),""select Col2 limit 20""))"),12753.0)</f>
        <v>12753</v>
      </c>
      <c r="I74" s="34">
        <f t="shared" si="1"/>
        <v>10.48760143</v>
      </c>
      <c r="J74" s="35" t="str">
        <f t="shared" si="2"/>
        <v>No need to fresh start</v>
      </c>
    </row>
    <row r="75">
      <c r="A75" s="50" t="s">
        <v>184</v>
      </c>
      <c r="B75" s="30" t="str">
        <f>IFERROR(__xludf.DUMMYFUNCTION("GOOGLEFINANCE(A75,""price"")"),"#N/A")</f>
        <v>#N/A</v>
      </c>
      <c r="C75" s="31" t="str">
        <f>IFERROR(__xludf.DUMMYFUNCTION("MAX(QUERY(SORT(GOOGLEFINANCE(A75,""high"",TODAY()-100,TODAY()),1,0),""select Col2 limit 55""))"),"#N/A")</f>
        <v>#N/A</v>
      </c>
      <c r="D75" s="32" t="str">
        <f>IFERROR(__xludf.DUMMYFUNCTION("GOOGLEFINANCE(A75,""high52"")"),"#N/A")</f>
        <v>#N/A</v>
      </c>
      <c r="E75" s="33" t="str">
        <f>IFERROR(__xludf.DUMMYFUNCTION("to_date(index(sort(GOOGLEFINANCE(A75, ""high"", today()-52*7, today(), ""DAILY""),2,0),2,1))"),"#N/A")</f>
        <v>#N/A</v>
      </c>
      <c r="F75" s="32" t="str">
        <f>IFERROR(__xludf.DUMMYFUNCTION("GOOGLEFINANCE(A75,""low52"")"),"#N/A")</f>
        <v>#N/A</v>
      </c>
      <c r="G75" s="33" t="str">
        <f>IFERROR(__xludf.DUMMYFUNCTION("to_date(index(sort(GOOGLEFINANCE(A75, ""low"", today()-52*7, today(), ""DAILY""),2,1),1,1))"),"#N/A")</f>
        <v>#N/A</v>
      </c>
      <c r="H75" s="34" t="str">
        <f>IFERROR(__xludf.DUMMYFUNCTION("MIN(QUERY(SORT(GOOGLEFINANCE(A75,""low"",TODAY()-40,TODAY()),1,0),""select Col2 limit 20""))"),"#N/A")</f>
        <v>#N/A</v>
      </c>
      <c r="I75" s="34" t="str">
        <f t="shared" si="1"/>
        <v>#N/A</v>
      </c>
      <c r="J75" s="35" t="str">
        <f t="shared" si="2"/>
        <v>#N/A</v>
      </c>
    </row>
    <row r="76">
      <c r="A76" s="50" t="s">
        <v>185</v>
      </c>
      <c r="B76" s="30">
        <f>IFERROR(__xludf.DUMMYFUNCTION("GOOGLEFINANCE(A76,""price"")"),2087.3)</f>
        <v>2087.3</v>
      </c>
      <c r="C76" s="31">
        <f>IFERROR(__xludf.DUMMYFUNCTION("MAX(QUERY(SORT(GOOGLEFINANCE(A76,""high"",TODAY()-100,TODAY()),1,0),""select Col2 limit 55""))"),2223.7)</f>
        <v>2223.7</v>
      </c>
      <c r="D76" s="32">
        <f>IFERROR(__xludf.DUMMYFUNCTION("GOOGLEFINANCE(A76,""high52"")"),2519.0)</f>
        <v>2519</v>
      </c>
      <c r="E76" s="33">
        <f>IFERROR(__xludf.DUMMYFUNCTION("to_date(index(sort(GOOGLEFINANCE(A76, ""high"", today()-52*7, today(), ""DAILY""),2,0),2,1))"),45805.64583333333)</f>
        <v>45805.64583</v>
      </c>
      <c r="F76" s="32">
        <f>IFERROR(__xludf.DUMMYFUNCTION("GOOGLEFINANCE(A76,""low52"")"),1782.0)</f>
        <v>1782</v>
      </c>
      <c r="G76" s="33">
        <f>IFERROR(__xludf.DUMMYFUNCTION("to_date(index(sort(GOOGLEFINANCE(A76, ""low"", today()-52*7, today(), ""DAILY""),2,1),1,1))"),46111.64583333333)</f>
        <v>46111.64583</v>
      </c>
      <c r="H76" s="34">
        <f>IFERROR(__xludf.DUMMYFUNCTION("MIN(QUERY(SORT(GOOGLEFINANCE(A76,""low"",TODAY()-40,TODAY()),1,0),""select Col2 limit 20""))"),2051.2)</f>
        <v>2051.2</v>
      </c>
      <c r="I76" s="34">
        <f t="shared" si="1"/>
        <v>6.534757821</v>
      </c>
      <c r="J76" s="35" t="str">
        <f t="shared" si="2"/>
        <v>No need to fresh start</v>
      </c>
    </row>
    <row r="77">
      <c r="A77" s="50" t="s">
        <v>186</v>
      </c>
      <c r="B77" s="30">
        <f>IFERROR(__xludf.DUMMYFUNCTION("GOOGLEFINANCE(A77,""price"")"),442.65)</f>
        <v>442.65</v>
      </c>
      <c r="C77" s="31">
        <f>IFERROR(__xludf.DUMMYFUNCTION("MAX(QUERY(SORT(GOOGLEFINANCE(A77,""high"",TODAY()-100,TODAY()),1,0),""select Col2 limit 55""))"),504.95)</f>
        <v>504.95</v>
      </c>
      <c r="D77" s="32">
        <f>IFERROR(__xludf.DUMMYFUNCTION("GOOGLEFINANCE(A77,""high52"")"),577.0)</f>
        <v>577</v>
      </c>
      <c r="E77" s="33">
        <f>IFERROR(__xludf.DUMMYFUNCTION("to_date(index(sort(GOOGLEFINANCE(A77, ""high"", today()-52*7, today(), ""DAILY""),2,0),2,1))"),45904.64583333333)</f>
        <v>45904.64583</v>
      </c>
      <c r="F77" s="32">
        <f>IFERROR(__xludf.DUMMYFUNCTION("GOOGLEFINANCE(A77,""low52"")"),403.35)</f>
        <v>403.35</v>
      </c>
      <c r="G77" s="33">
        <f>IFERROR(__xludf.DUMMYFUNCTION("to_date(index(sort(GOOGLEFINANCE(A77, ""low"", today()-52*7, today(), ""DAILY""),2,1),1,1))"),46114.64583333333)</f>
        <v>46114.64583</v>
      </c>
      <c r="H77" s="34">
        <f>IFERROR(__xludf.DUMMYFUNCTION("MIN(QUERY(SORT(GOOGLEFINANCE(A77,""low"",TODAY()-40,TODAY()),1,0),""select Col2 limit 20""))"),440.35)</f>
        <v>440.35</v>
      </c>
      <c r="I77" s="34">
        <f t="shared" si="1"/>
        <v>14.07432509</v>
      </c>
      <c r="J77" s="35" t="str">
        <f t="shared" si="2"/>
        <v>Start GTT Order</v>
      </c>
    </row>
    <row r="78">
      <c r="A78" s="50" t="s">
        <v>187</v>
      </c>
      <c r="B78" s="30">
        <f>IFERROR(__xludf.DUMMYFUNCTION("GOOGLEFINANCE(A78,""price"")"),1492.7)</f>
        <v>1492.7</v>
      </c>
      <c r="C78" s="31">
        <f>IFERROR(__xludf.DUMMYFUNCTION("MAX(QUERY(SORT(GOOGLEFINANCE(A78,""high"",TODAY()-100,TODAY()),1,0),""select Col2 limit 55""))"),1471.0)</f>
        <v>1471</v>
      </c>
      <c r="D78" s="32">
        <f>IFERROR(__xludf.DUMMYFUNCTION("GOOGLEFINANCE(A78,""high52"")"),1518.0)</f>
        <v>1518</v>
      </c>
      <c r="E78" s="33">
        <f>IFERROR(__xludf.DUMMYFUNCTION("to_date(index(sort(GOOGLEFINANCE(A78, ""high"", today()-52*7, today(), ""DAILY""),2,0),2,1))"),46157.64583333333)</f>
        <v>46157.64583</v>
      </c>
      <c r="F78" s="32">
        <f>IFERROR(__xludf.DUMMYFUNCTION("GOOGLEFINANCE(A78,""low52"")"),765.0)</f>
        <v>765</v>
      </c>
      <c r="G78" s="33">
        <f>IFERROR(__xludf.DUMMYFUNCTION("to_date(index(sort(GOOGLEFINANCE(A78, ""low"", today()-52*7, today(), ""DAILY""),2,1),1,1))"),46045.64583333333)</f>
        <v>46045.64583</v>
      </c>
      <c r="H78" s="34">
        <f>IFERROR(__xludf.DUMMYFUNCTION("MIN(QUERY(SORT(GOOGLEFINANCE(A78,""low"",TODAY()-40,TODAY()),1,0),""select Col2 limit 20""))"),1203.55)</f>
        <v>1203.55</v>
      </c>
      <c r="I78" s="34">
        <f t="shared" si="1"/>
        <v>-1.453741542</v>
      </c>
      <c r="J78" s="35" t="str">
        <f t="shared" si="2"/>
        <v>No need to fresh start</v>
      </c>
    </row>
    <row r="79">
      <c r="A79" s="50" t="s">
        <v>188</v>
      </c>
      <c r="B79" s="30">
        <f>IFERROR(__xludf.DUMMYFUNCTION("GOOGLEFINANCE(A79,""price"")"),2201.0)</f>
        <v>2201</v>
      </c>
      <c r="C79" s="31">
        <f>IFERROR(__xludf.DUMMYFUNCTION("MAX(QUERY(SORT(GOOGLEFINANCE(A79,""high"",TODAY()-100,TODAY()),1,0),""select Col2 limit 55""))"),2408.0)</f>
        <v>2408</v>
      </c>
      <c r="D79" s="32">
        <f>IFERROR(__xludf.DUMMYFUNCTION("GOOGLEFINANCE(A79,""high52"")"),2715.44)</f>
        <v>2715.44</v>
      </c>
      <c r="E79" s="33">
        <f>IFERROR(__xludf.DUMMYFUNCTION("to_date(index(sort(GOOGLEFINANCE(A79, ""high"", today()-52*7, today(), ""DAILY""),2,0),2,1))"),45904.64583333333)</f>
        <v>45904.64583</v>
      </c>
      <c r="F79" s="32">
        <f>IFERROR(__xludf.DUMMYFUNCTION("GOOGLEFINANCE(A79,""low52"")"),2022.5)</f>
        <v>2022.5</v>
      </c>
      <c r="G79" s="33">
        <f>IFERROR(__xludf.DUMMYFUNCTION("to_date(index(sort(GOOGLEFINANCE(A79, ""low"", today()-52*7, today(), ""DAILY""),2,1),1,1))"),46114.64583333333)</f>
        <v>46114.64583</v>
      </c>
      <c r="H79" s="34">
        <f>IFERROR(__xludf.DUMMYFUNCTION("MIN(QUERY(SORT(GOOGLEFINANCE(A79,""low"",TODAY()-40,TODAY()),1,0),""select Col2 limit 20""))"),2175.4)</f>
        <v>2175.4</v>
      </c>
      <c r="I79" s="34">
        <f t="shared" si="1"/>
        <v>9.404815993</v>
      </c>
      <c r="J79" s="35" t="str">
        <f t="shared" si="2"/>
        <v>No need to fresh start</v>
      </c>
    </row>
    <row r="80">
      <c r="A80" s="50" t="s">
        <v>189</v>
      </c>
      <c r="B80" s="30">
        <f>IFERROR(__xludf.DUMMYFUNCTION("GOOGLEFINANCE(A80,""price"")"),1346.9)</f>
        <v>1346.9</v>
      </c>
      <c r="C80" s="31">
        <f>IFERROR(__xludf.DUMMYFUNCTION("MAX(QUERY(SORT(GOOGLEFINANCE(A80,""high"",TODAY()-100,TODAY()),1,0),""select Col2 limit 55""))"),1779.1)</f>
        <v>1779.1</v>
      </c>
      <c r="D80" s="32">
        <f>IFERROR(__xludf.DUMMYFUNCTION("GOOGLEFINANCE(A80,""high52"")"),2134.7)</f>
        <v>2134.7</v>
      </c>
      <c r="E80" s="33">
        <f>IFERROR(__xludf.DUMMYFUNCTION("to_date(index(sort(GOOGLEFINANCE(A80, ""high"", today()-52*7, today(), ""DAILY""),2,0),2,1))"),45819.64583333333)</f>
        <v>45819.64583</v>
      </c>
      <c r="F80" s="32">
        <f>IFERROR(__xludf.DUMMYFUNCTION("GOOGLEFINANCE(A80,""low52"")"),1312.7)</f>
        <v>1312.7</v>
      </c>
      <c r="G80" s="33">
        <f>IFERROR(__xludf.DUMMYFUNCTION("to_date(index(sort(GOOGLEFINANCE(A80, ""low"", today()-52*7, today(), ""DAILY""),2,1),1,1))"),46164.64583333333)</f>
        <v>46164.64583</v>
      </c>
      <c r="H80" s="34">
        <f>IFERROR(__xludf.DUMMYFUNCTION("MIN(QUERY(SORT(GOOGLEFINANCE(A80,""low"",TODAY()-40,TODAY()),1,0),""select Col2 limit 20""))"),1312.7)</f>
        <v>1312.7</v>
      </c>
      <c r="I80" s="34">
        <f t="shared" si="1"/>
        <v>32.08849952</v>
      </c>
      <c r="J80" s="35" t="str">
        <f t="shared" si="2"/>
        <v>No need to fresh start</v>
      </c>
    </row>
    <row r="81">
      <c r="A81" s="50" t="s">
        <v>190</v>
      </c>
      <c r="B81" s="30">
        <f>IFERROR(__xludf.DUMMYFUNCTION("GOOGLEFINANCE(A81,""price"")"),1211.8)</f>
        <v>1211.8</v>
      </c>
      <c r="C81" s="31">
        <f>IFERROR(__xludf.DUMMYFUNCTION("MAX(QUERY(SORT(GOOGLEFINANCE(A81,""high"",TODAY()-100,TODAY()),1,0),""select Col2 limit 55""))"),1410.7)</f>
        <v>1410.7</v>
      </c>
      <c r="D81" s="32">
        <f>IFERROR(__xludf.DUMMYFUNCTION("GOOGLEFINANCE(A81,""high52"")"),1621.1)</f>
        <v>1621.1</v>
      </c>
      <c r="E81" s="33">
        <f>IFERROR(__xludf.DUMMYFUNCTION("to_date(index(sort(GOOGLEFINANCE(A81, ""high"", today()-52*7, today(), ""DAILY""),2,0),2,1))"),45917.64583333333)</f>
        <v>45917.64583</v>
      </c>
      <c r="F81" s="32">
        <f>IFERROR(__xludf.DUMMYFUNCTION("GOOGLEFINANCE(A81,""low52"")"),1142.5)</f>
        <v>1142.5</v>
      </c>
      <c r="G81" s="33">
        <f>IFERROR(__xludf.DUMMYFUNCTION("to_date(index(sort(GOOGLEFINANCE(A81, ""low"", today()-52*7, today(), ""DAILY""),2,1),1,1))"),46114.64583333333)</f>
        <v>46114.64583</v>
      </c>
      <c r="H81" s="34">
        <f>IFERROR(__xludf.DUMMYFUNCTION("MIN(QUERY(SORT(GOOGLEFINANCE(A81,""low"",TODAY()-40,TODAY()),1,0),""select Col2 limit 20""))"),1176.3)</f>
        <v>1176.3</v>
      </c>
      <c r="I81" s="34">
        <f t="shared" si="1"/>
        <v>16.4135996</v>
      </c>
      <c r="J81" s="35" t="str">
        <f t="shared" si="2"/>
        <v>Start GTT Order</v>
      </c>
    </row>
    <row r="82">
      <c r="A82" s="50" t="s">
        <v>191</v>
      </c>
      <c r="B82" s="30" t="str">
        <f>IFERROR(__xludf.DUMMYFUNCTION("GOOGLEFINANCE(A82,""price"")"),"#N/A")</f>
        <v>#N/A</v>
      </c>
      <c r="C82" s="31" t="str">
        <f>IFERROR(__xludf.DUMMYFUNCTION("MAX(QUERY(SORT(GOOGLEFINANCE(A82,""high"",TODAY()-100,TODAY()),1,0),""select Col2 limit 55""))"),"#N/A")</f>
        <v>#N/A</v>
      </c>
      <c r="D82" s="32" t="str">
        <f>IFERROR(__xludf.DUMMYFUNCTION("GOOGLEFINANCE(A82,""high52"")"),"#N/A")</f>
        <v>#N/A</v>
      </c>
      <c r="E82" s="33" t="str">
        <f>IFERROR(__xludf.DUMMYFUNCTION("to_date(index(sort(GOOGLEFINANCE(A82, ""high"", today()-52*7, today(), ""DAILY""),2,0),2,1))"),"#N/A")</f>
        <v>#N/A</v>
      </c>
      <c r="F82" s="32" t="str">
        <f>IFERROR(__xludf.DUMMYFUNCTION("GOOGLEFINANCE(A82,""low52"")"),"#N/A")</f>
        <v>#N/A</v>
      </c>
      <c r="G82" s="33" t="str">
        <f>IFERROR(__xludf.DUMMYFUNCTION("to_date(index(sort(GOOGLEFINANCE(A82, ""low"", today()-52*7, today(), ""DAILY""),2,1),1,1))"),"#N/A")</f>
        <v>#N/A</v>
      </c>
      <c r="H82" s="34" t="str">
        <f>IFERROR(__xludf.DUMMYFUNCTION("MIN(QUERY(SORT(GOOGLEFINANCE(A82,""low"",TODAY()-40,TODAY()),1,0),""select Col2 limit 20""))"),"#N/A")</f>
        <v>#N/A</v>
      </c>
      <c r="I82" s="34" t="str">
        <f t="shared" si="1"/>
        <v>#N/A</v>
      </c>
      <c r="J82" s="35" t="str">
        <f t="shared" si="2"/>
        <v>#N/A</v>
      </c>
    </row>
    <row r="83">
      <c r="A83" s="50" t="s">
        <v>192</v>
      </c>
      <c r="B83" s="30">
        <f>IFERROR(__xludf.DUMMYFUNCTION("GOOGLEFINANCE(A83,""price"")"),764.75)</f>
        <v>764.75</v>
      </c>
      <c r="C83" s="31">
        <f>IFERROR(__xludf.DUMMYFUNCTION("MAX(QUERY(SORT(GOOGLEFINANCE(A83,""high"",TODAY()-100,TODAY()),1,0),""select Col2 limit 55""))"),881.4)</f>
        <v>881.4</v>
      </c>
      <c r="D83" s="32">
        <f>IFERROR(__xludf.DUMMYFUNCTION("GOOGLEFINANCE(A83,""high52"")"),1020.5)</f>
        <v>1020.5</v>
      </c>
      <c r="E83" s="33">
        <f>IFERROR(__xludf.DUMMYFUNCTION("to_date(index(sort(GOOGLEFINANCE(A83, ""high"", today()-52*7, today(), ""DAILY""),2,0),2,1))"),45953.64583333333)</f>
        <v>45953.64583</v>
      </c>
      <c r="F83" s="32">
        <f>IFERROR(__xludf.DUMMYFUNCTION("GOOGLEFINANCE(A83,""low52"")"),726.65)</f>
        <v>726.65</v>
      </c>
      <c r="G83" s="33">
        <f>IFERROR(__xludf.DUMMYFUNCTION("to_date(index(sort(GOOGLEFINANCE(A83, ""low"", today()-52*7, today(), ""DAILY""),2,1),1,1))"),46111.64583333333)</f>
        <v>46111.64583</v>
      </c>
      <c r="H83" s="34">
        <f>IFERROR(__xludf.DUMMYFUNCTION("MIN(QUERY(SORT(GOOGLEFINANCE(A83,""low"",TODAY()-40,TODAY()),1,0),""select Col2 limit 20""))"),747.0)</f>
        <v>747</v>
      </c>
      <c r="I83" s="34">
        <f t="shared" si="1"/>
        <v>15.25335077</v>
      </c>
      <c r="J83" s="35" t="str">
        <f t="shared" si="2"/>
        <v>Start GTT Order</v>
      </c>
    </row>
    <row r="84">
      <c r="A84" s="50" t="s">
        <v>193</v>
      </c>
      <c r="B84" s="30">
        <f>IFERROR(__xludf.DUMMYFUNCTION("GOOGLEFINANCE(A84,""price"")"),10080.0)</f>
        <v>10080</v>
      </c>
      <c r="C84" s="31">
        <f>IFERROR(__xludf.DUMMYFUNCTION("MAX(QUERY(SORT(GOOGLEFINANCE(A84,""high"",TODAY()-100,TODAY()),1,0),""select Col2 limit 55""))"),11250.0)</f>
        <v>11250</v>
      </c>
      <c r="D84" s="32">
        <f>IFERROR(__xludf.DUMMYFUNCTION("GOOGLEFINANCE(A84,""high52"")"),14540.0)</f>
        <v>14540</v>
      </c>
      <c r="E84" s="33">
        <f>IFERROR(__xludf.DUMMYFUNCTION("to_date(index(sort(GOOGLEFINANCE(A84, ""high"", today()-52*7, today(), ""DAILY""),2,0),2,1))"),45868.64583333333)</f>
        <v>45868.64583</v>
      </c>
      <c r="F84" s="32">
        <f>IFERROR(__xludf.DUMMYFUNCTION("GOOGLEFINANCE(A84,""low52"")"),8979.0)</f>
        <v>8979</v>
      </c>
      <c r="G84" s="33">
        <f>IFERROR(__xludf.DUMMYFUNCTION("to_date(index(sort(GOOGLEFINANCE(A84, ""low"", today()-52*7, today(), ""DAILY""),2,1),1,1))"),46111.64583333333)</f>
        <v>46111.64583</v>
      </c>
      <c r="H84" s="34">
        <f>IFERROR(__xludf.DUMMYFUNCTION("MIN(QUERY(SORT(GOOGLEFINANCE(A84,""low"",TODAY()-40,TODAY()),1,0),""select Col2 limit 20""))"),9432.0)</f>
        <v>9432</v>
      </c>
      <c r="I84" s="34">
        <f t="shared" si="1"/>
        <v>11.60714286</v>
      </c>
      <c r="J84" s="35" t="str">
        <f t="shared" si="2"/>
        <v>Start GTT Order</v>
      </c>
    </row>
    <row r="85">
      <c r="A85" s="50" t="s">
        <v>96</v>
      </c>
      <c r="B85" s="30">
        <f>IFERROR(__xludf.DUMMYFUNCTION("GOOGLEFINANCE(A85,""price"")"),271.5)</f>
        <v>271.5</v>
      </c>
      <c r="C85" s="31">
        <f>IFERROR(__xludf.DUMMYFUNCTION("MAX(QUERY(SORT(GOOGLEFINANCE(A85,""high"",TODAY()-100,TODAY()),1,0),""select Col2 limit 55""))"),320.2)</f>
        <v>320.2</v>
      </c>
      <c r="D85" s="32">
        <f>IFERROR(__xludf.DUMMYFUNCTION("GOOGLEFINANCE(A85,""high52"")"),325.5)</f>
        <v>325.5</v>
      </c>
      <c r="E85" s="33">
        <f>IFERROR(__xludf.DUMMYFUNCTION("to_date(index(sort(GOOGLEFINANCE(A85, ""high"", today()-52*7, today(), ""DAILY""),2,0),2,1))"),46079.64583333333)</f>
        <v>46079.64583</v>
      </c>
      <c r="F85" s="32">
        <f>IFERROR(__xludf.DUMMYFUNCTION("GOOGLEFINANCE(A85,""low52"")"),230.52)</f>
        <v>230.52</v>
      </c>
      <c r="G85" s="33">
        <f>IFERROR(__xludf.DUMMYFUNCTION("to_date(index(sort(GOOGLEFINANCE(A85, ""low"", today()-52*7, today(), ""DAILY""),2,1),1,1))"),45827.64583333333)</f>
        <v>45827.64583</v>
      </c>
      <c r="H85" s="34">
        <f>IFERROR(__xludf.DUMMYFUNCTION("MIN(QUERY(SORT(GOOGLEFINANCE(A85,""low"",TODAY()-40,TODAY()),1,0),""select Col2 limit 20""))"),255.3)</f>
        <v>255.3</v>
      </c>
      <c r="I85" s="34">
        <f t="shared" si="1"/>
        <v>17.9373849</v>
      </c>
      <c r="J85" s="35" t="str">
        <f t="shared" si="2"/>
        <v>No need to fresh start</v>
      </c>
    </row>
    <row r="86">
      <c r="A86" s="50" t="s">
        <v>194</v>
      </c>
      <c r="B86" s="30">
        <f>IFERROR(__xludf.DUMMYFUNCTION("GOOGLEFINANCE(A86,""price"")"),1144.0)</f>
        <v>1144</v>
      </c>
      <c r="C86" s="31">
        <f>IFERROR(__xludf.DUMMYFUNCTION("MAX(QUERY(SORT(GOOGLEFINANCE(A86,""high"",TODAY()-100,TODAY()),1,0),""select Col2 limit 55""))"),1119.8)</f>
        <v>1119.8</v>
      </c>
      <c r="D86" s="32">
        <f>IFERROR(__xludf.DUMMYFUNCTION("GOOGLEFINANCE(A86,""high52"")"),1154.0)</f>
        <v>1154</v>
      </c>
      <c r="E86" s="33">
        <f>IFERROR(__xludf.DUMMYFUNCTION("to_date(index(sort(GOOGLEFINANCE(A86, ""high"", today()-52*7, today(), ""DAILY""),2,0),2,1))"),46167.64583333333)</f>
        <v>46167.64583</v>
      </c>
      <c r="F86" s="32">
        <f>IFERROR(__xludf.DUMMYFUNCTION("GOOGLEFINANCE(A86,""low52"")"),618.0)</f>
        <v>618</v>
      </c>
      <c r="G86" s="33">
        <f>IFERROR(__xludf.DUMMYFUNCTION("to_date(index(sort(GOOGLEFINANCE(A86, ""low"", today()-52*7, today(), ""DAILY""),2,1),1,1))"),45810.64583333333)</f>
        <v>45810.64583</v>
      </c>
      <c r="H86" s="34">
        <f>IFERROR(__xludf.DUMMYFUNCTION("MIN(QUERY(SORT(GOOGLEFINANCE(A86,""low"",TODAY()-40,TODAY()),1,0),""select Col2 limit 20""))"),1022.1)</f>
        <v>1022.1</v>
      </c>
      <c r="I86" s="34">
        <f t="shared" si="1"/>
        <v>-2.115384615</v>
      </c>
      <c r="J86" s="35" t="str">
        <f t="shared" si="2"/>
        <v>No need to fresh start</v>
      </c>
    </row>
    <row r="87">
      <c r="A87" s="50" t="s">
        <v>195</v>
      </c>
      <c r="B87" s="30">
        <f>IFERROR(__xludf.DUMMYFUNCTION("GOOGLEFINANCE(A87,""price"")"),1358.1)</f>
        <v>1358.1</v>
      </c>
      <c r="C87" s="31">
        <f>IFERROR(__xludf.DUMMYFUNCTION("MAX(QUERY(SORT(GOOGLEFINANCE(A87,""high"",TODAY()-100,TODAY()),1,0),""select Col2 limit 55""))"),1473.4)</f>
        <v>1473.4</v>
      </c>
      <c r="D87" s="32">
        <f>IFERROR(__xludf.DUMMYFUNCTION("GOOGLEFINANCE(A87,""high52"")"),1611.8)</f>
        <v>1611.8</v>
      </c>
      <c r="E87" s="33">
        <f>IFERROR(__xludf.DUMMYFUNCTION("to_date(index(sort(GOOGLEFINANCE(A87, ""high"", today()-52*7, today(), ""DAILY""),2,0),2,1))"),46027.64583333333)</f>
        <v>46027.64583</v>
      </c>
      <c r="F87" s="32">
        <f>IFERROR(__xludf.DUMMYFUNCTION("GOOGLEFINANCE(A87,""low52"")"),1290.0)</f>
        <v>1290</v>
      </c>
      <c r="G87" s="33">
        <f>IFERROR(__xludf.DUMMYFUNCTION("to_date(index(sort(GOOGLEFINANCE(A87, ""low"", today()-52*7, today(), ""DAILY""),2,1),1,1))"),46118.64583333333)</f>
        <v>46118.64583</v>
      </c>
      <c r="H87" s="34">
        <f>IFERROR(__xludf.DUMMYFUNCTION("MIN(QUERY(SORT(GOOGLEFINANCE(A87,""low"",TODAY()-40,TODAY()),1,0),""select Col2 limit 20""))"),1312.6)</f>
        <v>1312.6</v>
      </c>
      <c r="I87" s="34">
        <f t="shared" si="1"/>
        <v>8.489801929</v>
      </c>
      <c r="J87" s="35" t="str">
        <f t="shared" si="2"/>
        <v>No need to fresh start</v>
      </c>
    </row>
    <row r="88">
      <c r="A88" s="50" t="s">
        <v>196</v>
      </c>
      <c r="B88" s="30">
        <f>IFERROR(__xludf.DUMMYFUNCTION("GOOGLEFINANCE(A88,""price"")"),1421.7)</f>
        <v>1421.7</v>
      </c>
      <c r="C88" s="31">
        <f>IFERROR(__xludf.DUMMYFUNCTION("MAX(QUERY(SORT(GOOGLEFINANCE(A88,""high"",TODAY()-100,TODAY()),1,0),""select Col2 limit 55""))"),1545.5)</f>
        <v>1545.5</v>
      </c>
      <c r="D88" s="32">
        <f>IFERROR(__xludf.DUMMYFUNCTION("GOOGLEFINANCE(A88,""high52"")"),2028.8)</f>
        <v>2028.8</v>
      </c>
      <c r="E88" s="33">
        <f>IFERROR(__xludf.DUMMYFUNCTION("to_date(index(sort(GOOGLEFINANCE(A88, ""high"", today()-52*7, today(), ""DAILY""),2,0),2,1))"),45849.64583333333)</f>
        <v>45849.64583</v>
      </c>
      <c r="F88" s="32">
        <f>IFERROR(__xludf.DUMMYFUNCTION("GOOGLEFINANCE(A88,""low52"")"),1251.7)</f>
        <v>1251.7</v>
      </c>
      <c r="G88" s="33">
        <f>IFERROR(__xludf.DUMMYFUNCTION("to_date(index(sort(GOOGLEFINANCE(A88, ""low"", today()-52*7, today(), ""DAILY""),2,1),1,1))"),46111.64583333333)</f>
        <v>46111.64583</v>
      </c>
      <c r="H88" s="34">
        <f>IFERROR(__xludf.DUMMYFUNCTION("MIN(QUERY(SORT(GOOGLEFINANCE(A88,""low"",TODAY()-40,TODAY()),1,0),""select Col2 limit 20""))"),1332.0)</f>
        <v>1332</v>
      </c>
      <c r="I88" s="34">
        <f t="shared" si="1"/>
        <v>8.707884926</v>
      </c>
      <c r="J88" s="35" t="str">
        <f t="shared" si="2"/>
        <v>No need to fresh start</v>
      </c>
    </row>
    <row r="89">
      <c r="A89" s="50" t="s">
        <v>197</v>
      </c>
      <c r="B89" s="30">
        <f>IFERROR(__xludf.DUMMYFUNCTION("GOOGLEFINANCE(A89,""price"")"),933.65)</f>
        <v>933.65</v>
      </c>
      <c r="C89" s="31">
        <f>IFERROR(__xludf.DUMMYFUNCTION("MAX(QUERY(SORT(GOOGLEFINANCE(A89,""high"",TODAY()-100,TODAY()),1,0),""select Col2 limit 55""))"),957.9)</f>
        <v>957.9</v>
      </c>
      <c r="D89" s="32">
        <f>IFERROR(__xludf.DUMMYFUNCTION("GOOGLEFINANCE(A89,""high52"")"),968.85)</f>
        <v>968.85</v>
      </c>
      <c r="E89" s="33">
        <f>IFERROR(__xludf.DUMMYFUNCTION("to_date(index(sort(GOOGLEFINANCE(A89, ""high"", today()-52*7, today(), ""DAILY""),2,0),2,1))"),46079.64583333333)</f>
        <v>46079.64583</v>
      </c>
      <c r="F89" s="32">
        <f>IFERROR(__xludf.DUMMYFUNCTION("GOOGLEFINANCE(A89,""low52"")"),710.6)</f>
        <v>710.6</v>
      </c>
      <c r="G89" s="33">
        <f>IFERROR(__xludf.DUMMYFUNCTION("to_date(index(sort(GOOGLEFINANCE(A89, ""low"", today()-52*7, today(), ""DAILY""),2,1),1,1))"),45926.64583333333)</f>
        <v>45926.64583</v>
      </c>
      <c r="H89" s="34">
        <f>IFERROR(__xludf.DUMMYFUNCTION("MIN(QUERY(SORT(GOOGLEFINANCE(A89,""low"",TODAY()-40,TODAY()),1,0),""select Col2 limit 20""))"),870.2)</f>
        <v>870.2</v>
      </c>
      <c r="I89" s="34">
        <f t="shared" si="1"/>
        <v>2.597333048</v>
      </c>
      <c r="J89" s="35" t="str">
        <f t="shared" si="2"/>
        <v>No need to fresh start</v>
      </c>
    </row>
    <row r="90">
      <c r="A90" s="50" t="s">
        <v>198</v>
      </c>
      <c r="B90" s="30">
        <f>IFERROR(__xludf.DUMMYFUNCTION("GOOGLEFINANCE(A90,""price"")"),11665.0)</f>
        <v>11665</v>
      </c>
      <c r="C90" s="31">
        <f>IFERROR(__xludf.DUMMYFUNCTION("MAX(QUERY(SORT(GOOGLEFINANCE(A90,""high"",TODAY()-100,TODAY()),1,0),""select Col2 limit 55""))"),12500.0)</f>
        <v>12500</v>
      </c>
      <c r="D90" s="32">
        <f>IFERROR(__xludf.DUMMYFUNCTION("GOOGLEFINANCE(A90,""high52"")"),13110.0)</f>
        <v>13110</v>
      </c>
      <c r="E90" s="33">
        <f>IFERROR(__xludf.DUMMYFUNCTION("to_date(index(sort(GOOGLEFINANCE(A90, ""high"", today()-52*7, today(), ""DAILY""),2,0),2,1))"),46063.64583333333)</f>
        <v>46063.64583</v>
      </c>
      <c r="F90" s="32">
        <f>IFERROR(__xludf.DUMMYFUNCTION("GOOGLEFINANCE(A90,""low52"")"),10325.0)</f>
        <v>10325</v>
      </c>
      <c r="G90" s="33">
        <f>IFERROR(__xludf.DUMMYFUNCTION("to_date(index(sort(GOOGLEFINANCE(A90, ""low"", today()-52*7, today(), ""DAILY""),2,1),1,1))"),46104.64583333333)</f>
        <v>46104.64583</v>
      </c>
      <c r="H90" s="34">
        <f>IFERROR(__xludf.DUMMYFUNCTION("MIN(QUERY(SORT(GOOGLEFINANCE(A90,""low"",TODAY()-40,TODAY()),1,0),""select Col2 limit 20""))"),11211.0)</f>
        <v>11211</v>
      </c>
      <c r="I90" s="34">
        <f t="shared" si="1"/>
        <v>7.158165452</v>
      </c>
      <c r="J90" s="35" t="str">
        <f t="shared" si="2"/>
        <v>No need to fresh start</v>
      </c>
    </row>
    <row r="91">
      <c r="A91" s="50" t="s">
        <v>199</v>
      </c>
      <c r="B91" s="30">
        <f>IFERROR(__xludf.DUMMYFUNCTION("GOOGLEFINANCE(A91,""price"")"),439.4)</f>
        <v>439.4</v>
      </c>
      <c r="C91" s="31">
        <f>IFERROR(__xludf.DUMMYFUNCTION("MAX(QUERY(SORT(GOOGLEFINANCE(A91,""high"",TODAY()-100,TODAY()),1,0),""select Col2 limit 55""))"),461.7)</f>
        <v>461.7</v>
      </c>
      <c r="D91" s="32">
        <f>IFERROR(__xludf.DUMMYFUNCTION("GOOGLEFINANCE(A91,""high52"")"),481.5)</f>
        <v>481.5</v>
      </c>
      <c r="E91" s="33">
        <f>IFERROR(__xludf.DUMMYFUNCTION("to_date(index(sort(GOOGLEFINANCE(A91, ""high"", today()-52*7, today(), ""DAILY""),2,0),2,1))"),46072.64583333333)</f>
        <v>46072.64583</v>
      </c>
      <c r="F91" s="32">
        <f>IFERROR(__xludf.DUMMYFUNCTION("GOOGLEFINANCE(A91,""low52"")"),312.55)</f>
        <v>312.55</v>
      </c>
      <c r="G91" s="33">
        <f>IFERROR(__xludf.DUMMYFUNCTION("to_date(index(sort(GOOGLEFINANCE(A91, ""low"", today()-52*7, today(), ""DAILY""),2,1),1,1))"),45903.64583333333)</f>
        <v>45903.64583</v>
      </c>
      <c r="H91" s="34">
        <f>IFERROR(__xludf.DUMMYFUNCTION("MIN(QUERY(SORT(GOOGLEFINANCE(A91,""low"",TODAY()-40,TODAY()),1,0),""select Col2 limit 20""))"),390.8)</f>
        <v>390.8</v>
      </c>
      <c r="I91" s="34">
        <f t="shared" si="1"/>
        <v>5.075102412</v>
      </c>
      <c r="J91" s="35" t="str">
        <f t="shared" si="2"/>
        <v>No need to fresh start</v>
      </c>
    </row>
    <row r="92">
      <c r="A92" s="50" t="s">
        <v>200</v>
      </c>
      <c r="B92" s="30">
        <f>IFERROR(__xludf.DUMMYFUNCTION("GOOGLEFINANCE(A92,""price"")"),928.2)</f>
        <v>928.2</v>
      </c>
      <c r="C92" s="31">
        <f>IFERROR(__xludf.DUMMYFUNCTION("MAX(QUERY(SORT(GOOGLEFINANCE(A92,""high"",TODAY()-100,TODAY()),1,0),""select Col2 limit 55""))"),992.25)</f>
        <v>992.25</v>
      </c>
      <c r="D92" s="32">
        <f>IFERROR(__xludf.DUMMYFUNCTION("GOOGLEFINANCE(A92,""high52"")"),1102.5)</f>
        <v>1102.5</v>
      </c>
      <c r="E92" s="33">
        <f>IFERROR(__xludf.DUMMYFUNCTION("to_date(index(sort(GOOGLEFINANCE(A92, ""high"", today()-52*7, today(), ""DAILY""),2,0),2,1))"),45953.64583333333)</f>
        <v>45953.64583</v>
      </c>
      <c r="F92" s="32">
        <f>IFERROR(__xludf.DUMMYFUNCTION("GOOGLEFINANCE(A92,""low52"")"),787.9)</f>
        <v>787.9</v>
      </c>
      <c r="G92" s="33">
        <f>IFERROR(__xludf.DUMMYFUNCTION("to_date(index(sort(GOOGLEFINANCE(A92, ""low"", today()-52*7, today(), ""DAILY""),2,1),1,1))"),46104.64583333333)</f>
        <v>46104.64583</v>
      </c>
      <c r="H92" s="34">
        <f>IFERROR(__xludf.DUMMYFUNCTION("MIN(QUERY(SORT(GOOGLEFINANCE(A92,""low"",TODAY()-40,TODAY()),1,0),""select Col2 limit 20""))"),889.0)</f>
        <v>889</v>
      </c>
      <c r="I92" s="34">
        <f t="shared" si="1"/>
        <v>6.900452489</v>
      </c>
      <c r="J92" s="35" t="str">
        <f t="shared" si="2"/>
        <v>No need to fresh start</v>
      </c>
    </row>
    <row r="93">
      <c r="A93" s="50" t="s">
        <v>201</v>
      </c>
      <c r="B93" s="30" t="str">
        <f>IFERROR(__xludf.DUMMYFUNCTION("GOOGLEFINANCE(A93,""price"")"),"#N/A")</f>
        <v>#N/A</v>
      </c>
      <c r="C93" s="31" t="str">
        <f>IFERROR(__xludf.DUMMYFUNCTION("MAX(QUERY(SORT(GOOGLEFINANCE(A93,""high"",TODAY()-100,TODAY()),1,0),""select Col2 limit 55""))"),"#N/A")</f>
        <v>#N/A</v>
      </c>
      <c r="D93" s="32" t="str">
        <f>IFERROR(__xludf.DUMMYFUNCTION("GOOGLEFINANCE(A93,""high52"")"),"#N/A")</f>
        <v>#N/A</v>
      </c>
      <c r="E93" s="33" t="str">
        <f>IFERROR(__xludf.DUMMYFUNCTION("to_date(index(sort(GOOGLEFINANCE(A93, ""high"", today()-52*7, today(), ""DAILY""),2,0),2,1))"),"#N/A")</f>
        <v>#N/A</v>
      </c>
      <c r="F93" s="32" t="str">
        <f>IFERROR(__xludf.DUMMYFUNCTION("GOOGLEFINANCE(A93,""low52"")"),"#N/A")</f>
        <v>#N/A</v>
      </c>
      <c r="G93" s="33" t="str">
        <f>IFERROR(__xludf.DUMMYFUNCTION("to_date(index(sort(GOOGLEFINANCE(A93, ""low"", today()-52*7, today(), ""DAILY""),2,1),1,1))"),"#N/A")</f>
        <v>#N/A</v>
      </c>
      <c r="H93" s="34" t="str">
        <f>IFERROR(__xludf.DUMMYFUNCTION("MIN(QUERY(SORT(GOOGLEFINANCE(A93,""low"",TODAY()-40,TODAY()),1,0),""select Col2 limit 20""))"),"#N/A")</f>
        <v>#N/A</v>
      </c>
      <c r="I93" s="34" t="str">
        <f t="shared" si="1"/>
        <v>#N/A</v>
      </c>
      <c r="J93" s="35" t="str">
        <f t="shared" si="2"/>
        <v>#N/A</v>
      </c>
    </row>
    <row r="94">
      <c r="A94" s="50" t="s">
        <v>202</v>
      </c>
      <c r="B94" s="30" t="str">
        <f>IFERROR(__xludf.DUMMYFUNCTION("GOOGLEFINANCE(A94,""price"")"),"#N/A")</f>
        <v>#N/A</v>
      </c>
      <c r="C94" s="31" t="str">
        <f>IFERROR(__xludf.DUMMYFUNCTION("MAX(QUERY(SORT(GOOGLEFINANCE(A94,""high"",TODAY()-100,TODAY()),1,0),""select Col2 limit 55""))"),"#N/A")</f>
        <v>#N/A</v>
      </c>
      <c r="D94" s="32" t="str">
        <f>IFERROR(__xludf.DUMMYFUNCTION("GOOGLEFINANCE(A94,""high52"")"),"#N/A")</f>
        <v>#N/A</v>
      </c>
      <c r="E94" s="33" t="str">
        <f>IFERROR(__xludf.DUMMYFUNCTION("to_date(index(sort(GOOGLEFINANCE(A94, ""high"", today()-52*7, today(), ""DAILY""),2,0),2,1))"),"#N/A")</f>
        <v>#N/A</v>
      </c>
      <c r="F94" s="32" t="str">
        <f>IFERROR(__xludf.DUMMYFUNCTION("GOOGLEFINANCE(A94,""low52"")"),"#N/A")</f>
        <v>#N/A</v>
      </c>
      <c r="G94" s="33" t="str">
        <f>IFERROR(__xludf.DUMMYFUNCTION("to_date(index(sort(GOOGLEFINANCE(A94, ""low"", today()-52*7, today(), ""DAILY""),2,1),1,1))"),"#N/A")</f>
        <v>#N/A</v>
      </c>
      <c r="H94" s="34" t="str">
        <f>IFERROR(__xludf.DUMMYFUNCTION("MIN(QUERY(SORT(GOOGLEFINANCE(A94,""low"",TODAY()-40,TODAY()),1,0),""select Col2 limit 20""))"),"#N/A")</f>
        <v>#N/A</v>
      </c>
      <c r="I94" s="34" t="str">
        <f t="shared" si="1"/>
        <v>#N/A</v>
      </c>
      <c r="J94" s="35" t="str">
        <f t="shared" si="2"/>
        <v>#N/A</v>
      </c>
    </row>
    <row r="95">
      <c r="A95" s="50" t="s">
        <v>203</v>
      </c>
      <c r="B95" s="30">
        <f>IFERROR(__xludf.DUMMYFUNCTION("GOOGLEFINANCE(A95,""price"")"),656.55)</f>
        <v>656.55</v>
      </c>
      <c r="C95" s="31">
        <f>IFERROR(__xludf.DUMMYFUNCTION("MAX(QUERY(SORT(GOOGLEFINANCE(A95,""high"",TODAY()-100,TODAY()),1,0),""select Col2 limit 55""))"),678.25)</f>
        <v>678.25</v>
      </c>
      <c r="D95" s="32">
        <f>IFERROR(__xludf.DUMMYFUNCTION("GOOGLEFINANCE(A95,""high52"")"),733.0)</f>
        <v>733</v>
      </c>
      <c r="E95" s="33">
        <f>IFERROR(__xludf.DUMMYFUNCTION("to_date(index(sort(GOOGLEFINANCE(A95, ""high"", today()-52*7, today(), ""DAILY""),2,0),2,1))"),46049.64583333333)</f>
        <v>46049.64583</v>
      </c>
      <c r="F95" s="32">
        <f>IFERROR(__xludf.DUMMYFUNCTION("GOOGLEFINANCE(A95,""low52"")"),413.5)</f>
        <v>413.5</v>
      </c>
      <c r="G95" s="33">
        <f>IFERROR(__xludf.DUMMYFUNCTION("to_date(index(sort(GOOGLEFINANCE(A95, ""low"", today()-52*7, today(), ""DAILY""),2,1),1,1))"),45870.64583333333)</f>
        <v>45870.64583</v>
      </c>
      <c r="H95" s="34">
        <f>IFERROR(__xludf.DUMMYFUNCTION("MIN(QUERY(SORT(GOOGLEFINANCE(A95,""low"",TODAY()-40,TODAY()),1,0),""select Col2 limit 20""))"),583.35)</f>
        <v>583.35</v>
      </c>
      <c r="I95" s="34">
        <f t="shared" si="1"/>
        <v>3.305155738</v>
      </c>
      <c r="J95" s="35" t="str">
        <f t="shared" si="2"/>
        <v>No need to fresh start</v>
      </c>
    </row>
    <row r="96">
      <c r="A96" s="50" t="s">
        <v>204</v>
      </c>
      <c r="B96" s="30">
        <f>IFERROR(__xludf.DUMMYFUNCTION("GOOGLEFINANCE(A96,""price"")"),389.05)</f>
        <v>389.05</v>
      </c>
      <c r="C96" s="31">
        <f>IFERROR(__xludf.DUMMYFUNCTION("MAX(QUERY(SORT(GOOGLEFINANCE(A96,""high"",TODAY()-100,TODAY()),1,0),""select Col2 limit 55""))"),410.5)</f>
        <v>410.5</v>
      </c>
      <c r="D96" s="32">
        <f>IFERROR(__xludf.DUMMYFUNCTION("GOOGLEFINANCE(A96,""high52"")"),453.2)</f>
        <v>453.2</v>
      </c>
      <c r="E96" s="33">
        <f>IFERROR(__xludf.DUMMYFUNCTION("to_date(index(sort(GOOGLEFINANCE(A96, ""high"", today()-52*7, today(), ""DAILY""),2,0),2,1))"),45950.64583333333)</f>
        <v>45950.64583</v>
      </c>
      <c r="F96" s="32">
        <f>IFERROR(__xludf.DUMMYFUNCTION("GOOGLEFINANCE(A96,""low52"")"),345.5)</f>
        <v>345.5</v>
      </c>
      <c r="G96" s="33">
        <f>IFERROR(__xludf.DUMMYFUNCTION("to_date(index(sort(GOOGLEFINANCE(A96, ""low"", today()-52*7, today(), ""DAILY""),2,1),1,1))"),46114.64583333333)</f>
        <v>46114.64583</v>
      </c>
      <c r="H96" s="34">
        <f>IFERROR(__xludf.DUMMYFUNCTION("MIN(QUERY(SORT(GOOGLEFINANCE(A96,""low"",TODAY()-40,TODAY()),1,0),""select Col2 limit 20""))"),363.0)</f>
        <v>363</v>
      </c>
      <c r="I96" s="34">
        <f t="shared" si="1"/>
        <v>5.51343015</v>
      </c>
      <c r="J96" s="35" t="str">
        <f t="shared" si="2"/>
        <v>No need to fresh start</v>
      </c>
    </row>
    <row r="97">
      <c r="A97" s="50" t="s">
        <v>205</v>
      </c>
      <c r="B97" s="30">
        <f>IFERROR(__xludf.DUMMYFUNCTION("GOOGLEFINANCE(A97,""price"")"),5388.5)</f>
        <v>5388.5</v>
      </c>
      <c r="C97" s="31">
        <f>IFERROR(__xludf.DUMMYFUNCTION("MAX(QUERY(SORT(GOOGLEFINANCE(A97,""high"",TODAY()-100,TODAY()),1,0),""select Col2 limit 55""))"),5735.0)</f>
        <v>5735</v>
      </c>
      <c r="D97" s="32">
        <f>IFERROR(__xludf.DUMMYFUNCTION("GOOGLEFINANCE(A97,""high52"")"),5933.5)</f>
        <v>5933.5</v>
      </c>
      <c r="E97" s="33">
        <f>IFERROR(__xludf.DUMMYFUNCTION("to_date(index(sort(GOOGLEFINANCE(A97, ""high"", today()-52*7, today(), ""DAILY""),2,0),2,1))"),46035.64583333333)</f>
        <v>46035.64583</v>
      </c>
      <c r="F97" s="32">
        <f>IFERROR(__xludf.DUMMYFUNCTION("GOOGLEFINANCE(A97,""low52"")"),4716.2)</f>
        <v>4716.2</v>
      </c>
      <c r="G97" s="33">
        <f>IFERROR(__xludf.DUMMYFUNCTION("to_date(index(sort(GOOGLEFINANCE(A97, ""low"", today()-52*7, today(), ""DAILY""),2,1),1,1))"),45848.64583333333)</f>
        <v>45848.64583</v>
      </c>
      <c r="H97" s="34">
        <f>IFERROR(__xludf.DUMMYFUNCTION("MIN(QUERY(SORT(GOOGLEFINANCE(A97,""low"",TODAY()-40,TODAY()),1,0),""select Col2 limit 20""))"),5291.0)</f>
        <v>5291</v>
      </c>
      <c r="I97" s="34">
        <f t="shared" si="1"/>
        <v>6.430360954</v>
      </c>
      <c r="J97" s="35" t="str">
        <f t="shared" si="2"/>
        <v>No need to fresh start</v>
      </c>
    </row>
    <row r="98">
      <c r="A98" s="50" t="s">
        <v>206</v>
      </c>
      <c r="B98" s="30">
        <f>IFERROR(__xludf.DUMMYFUNCTION("GOOGLEFINANCE(A98,""price"")"),10652.0)</f>
        <v>10652</v>
      </c>
      <c r="C98" s="31">
        <f>IFERROR(__xludf.DUMMYFUNCTION("MAX(QUERY(SORT(GOOGLEFINANCE(A98,""high"",TODAY()-100,TODAY()),1,0),""select Col2 limit 55""))"),10931.0)</f>
        <v>10931</v>
      </c>
      <c r="D98" s="32">
        <f>IFERROR(__xludf.DUMMYFUNCTION("GOOGLEFINANCE(A98,""high52"")"),14763.0)</f>
        <v>14763</v>
      </c>
      <c r="E98" s="33">
        <f>IFERROR(__xludf.DUMMYFUNCTION("to_date(index(sort(GOOGLEFINANCE(A98, ""high"", today()-52*7, today(), ""DAILY""),2,0),2,1))"),45887.64583333333)</f>
        <v>45887.64583</v>
      </c>
      <c r="F98" s="32">
        <f>IFERROR(__xludf.DUMMYFUNCTION("GOOGLEFINANCE(A98,""low52"")"),8588.0)</f>
        <v>8588</v>
      </c>
      <c r="G98" s="33">
        <f>IFERROR(__xludf.DUMMYFUNCTION("to_date(index(sort(GOOGLEFINANCE(A98, ""low"", today()-52*7, today(), ""DAILY""),2,1),1,1))"),46114.64583333333)</f>
        <v>46114.64583</v>
      </c>
      <c r="H98" s="34">
        <f>IFERROR(__xludf.DUMMYFUNCTION("MIN(QUERY(SORT(GOOGLEFINANCE(A98,""low"",TODAY()-40,TODAY()),1,0),""select Col2 limit 20""))"),9940.0)</f>
        <v>9940</v>
      </c>
      <c r="I98" s="34">
        <f t="shared" si="1"/>
        <v>2.619226436</v>
      </c>
      <c r="J98" s="35" t="str">
        <f t="shared" si="2"/>
        <v>No need to fresh start</v>
      </c>
    </row>
    <row r="99">
      <c r="A99" s="50" t="s">
        <v>207</v>
      </c>
      <c r="B99" s="30">
        <f>IFERROR(__xludf.DUMMYFUNCTION("GOOGLEFINANCE(A99,""price"")"),4092.0)</f>
        <v>4092</v>
      </c>
      <c r="C99" s="31">
        <f>IFERROR(__xludf.DUMMYFUNCTION("MAX(QUERY(SORT(GOOGLEFINANCE(A99,""high"",TODAY()-100,TODAY()),1,0),""select Col2 limit 55""))"),4644.0)</f>
        <v>4644</v>
      </c>
      <c r="D99" s="32">
        <f>IFERROR(__xludf.DUMMYFUNCTION("GOOGLEFINANCE(A99,""high52"")"),4949.5)</f>
        <v>4949.5</v>
      </c>
      <c r="E99" s="33">
        <f>IFERROR(__xludf.DUMMYFUNCTION("to_date(index(sort(GOOGLEFINANCE(A99, ""high"", today()-52*7, today(), ""DAILY""),2,0),2,1))"),45904.64583333333)</f>
        <v>45904.64583</v>
      </c>
      <c r="F99" s="32">
        <f>IFERROR(__xludf.DUMMYFUNCTION("GOOGLEFINANCE(A99,""low52"")"),3529.0)</f>
        <v>3529</v>
      </c>
      <c r="G99" s="33">
        <f>IFERROR(__xludf.DUMMYFUNCTION("to_date(index(sort(GOOGLEFINANCE(A99, ""low"", today()-52*7, today(), ""DAILY""),2,1),1,1))"),46055.64583333333)</f>
        <v>46055.64583</v>
      </c>
      <c r="H99" s="34">
        <f>IFERROR(__xludf.DUMMYFUNCTION("MIN(QUERY(SORT(GOOGLEFINANCE(A99,""low"",TODAY()-40,TODAY()),1,0),""select Col2 limit 20""))"),4059.9)</f>
        <v>4059.9</v>
      </c>
      <c r="I99" s="34">
        <f t="shared" si="1"/>
        <v>13.48973607</v>
      </c>
      <c r="J99" s="35" t="str">
        <f t="shared" si="2"/>
        <v>Start GTT Order</v>
      </c>
    </row>
    <row r="100">
      <c r="A100" s="50" t="s">
        <v>208</v>
      </c>
      <c r="B100" s="30">
        <f>IFERROR(__xludf.DUMMYFUNCTION("GOOGLEFINANCE(A100,""price"")"),27600.0)</f>
        <v>27600</v>
      </c>
      <c r="C100" s="31">
        <f>IFERROR(__xludf.DUMMYFUNCTION("MAX(QUERY(SORT(GOOGLEFINANCE(A100,""high"",TODAY()-100,TODAY()),1,0),""select Col2 limit 55""))"),28490.0)</f>
        <v>28490</v>
      </c>
      <c r="D100" s="32">
        <f>IFERROR(__xludf.DUMMYFUNCTION("GOOGLEFINANCE(A100,""high52"")"),37000.0)</f>
        <v>37000</v>
      </c>
      <c r="E100" s="33">
        <f>IFERROR(__xludf.DUMMYFUNCTION("to_date(index(sort(GOOGLEFINANCE(A100, ""high"", today()-52*7, today(), ""DAILY""),2,0),2,1))"),45835.64583333333)</f>
        <v>45835.64583</v>
      </c>
      <c r="F100" s="32">
        <f>IFERROR(__xludf.DUMMYFUNCTION("GOOGLEFINANCE(A100,""low52"")"),25150.0)</f>
        <v>25150</v>
      </c>
      <c r="G100" s="33">
        <f>IFERROR(__xludf.DUMMYFUNCTION("to_date(index(sort(GOOGLEFINANCE(A100, ""low"", today()-52*7, today(), ""DAILY""),2,1),1,1))"),46136.64583333333)</f>
        <v>46136.64583</v>
      </c>
      <c r="H100" s="34">
        <f>IFERROR(__xludf.DUMMYFUNCTION("MIN(QUERY(SORT(GOOGLEFINANCE(A100,""low"",TODAY()-40,TODAY()),1,0),""select Col2 limit 20""))"),25175.0)</f>
        <v>25175</v>
      </c>
      <c r="I100" s="34">
        <f t="shared" si="1"/>
        <v>3.224637681</v>
      </c>
      <c r="J100" s="35" t="str">
        <f t="shared" si="2"/>
        <v>No need to fresh start</v>
      </c>
    </row>
    <row r="101">
      <c r="A101" s="50" t="s">
        <v>97</v>
      </c>
      <c r="B101" s="30">
        <f>IFERROR(__xludf.DUMMYFUNCTION("GOOGLEFINANCE(A101,""price"")"),106.44)</f>
        <v>106.44</v>
      </c>
      <c r="C101" s="31">
        <f>IFERROR(__xludf.DUMMYFUNCTION("MAX(QUERY(SORT(GOOGLEFINANCE(A101,""high"",TODAY()-100,TODAY()),1,0),""select Col2 limit 55""))"),124.9)</f>
        <v>124.9</v>
      </c>
      <c r="D101" s="32">
        <f>IFERROR(__xludf.DUMMYFUNCTION("GOOGLEFINANCE(A101,""high52"")"),135.15)</f>
        <v>135.15</v>
      </c>
      <c r="E101" s="33">
        <f>IFERROR(__xludf.DUMMYFUNCTION("to_date(index(sort(GOOGLEFINANCE(A101, ""high"", today()-52*7, today(), ""DAILY""),2,0),2,1))"),46041.64583333333)</f>
        <v>46041.64583</v>
      </c>
      <c r="F101" s="32">
        <f>IFERROR(__xludf.DUMMYFUNCTION("GOOGLEFINANCE(A101,""low52"")"),98.5)</f>
        <v>98.5</v>
      </c>
      <c r="G101" s="33">
        <f>IFERROR(__xludf.DUMMYFUNCTION("to_date(index(sort(GOOGLEFINANCE(A101, ""low"", today()-52*7, today(), ""DAILY""),2,1),1,1))"),46160.64583333333)</f>
        <v>46160.64583</v>
      </c>
      <c r="H101" s="34">
        <f>IFERROR(__xludf.DUMMYFUNCTION("MIN(QUERY(SORT(GOOGLEFINANCE(A101,""low"",TODAY()-40,TODAY()),1,0),""select Col2 limit 20""))"),98.5)</f>
        <v>98.5</v>
      </c>
      <c r="I101" s="34">
        <f t="shared" si="1"/>
        <v>17.3431041</v>
      </c>
      <c r="J101" s="35" t="str">
        <f t="shared" si="2"/>
        <v>Start GTT Order</v>
      </c>
    </row>
    <row r="102">
      <c r="C102" s="36"/>
    </row>
    <row r="103">
      <c r="C103" s="36"/>
    </row>
    <row r="104">
      <c r="C104" s="36"/>
    </row>
    <row r="105">
      <c r="C105" s="36"/>
    </row>
    <row r="106">
      <c r="C106" s="36"/>
    </row>
    <row r="107">
      <c r="C107" s="36"/>
    </row>
    <row r="108">
      <c r="C108" s="36"/>
    </row>
    <row r="109">
      <c r="C109" s="36"/>
    </row>
    <row r="110">
      <c r="C110" s="36"/>
    </row>
    <row r="111">
      <c r="C111" s="36"/>
    </row>
    <row r="112">
      <c r="C112" s="36"/>
    </row>
    <row r="113">
      <c r="C113" s="36"/>
    </row>
    <row r="114">
      <c r="C114" s="36"/>
    </row>
    <row r="115">
      <c r="C115" s="36"/>
    </row>
    <row r="116">
      <c r="C116" s="36"/>
    </row>
    <row r="117">
      <c r="C117" s="36"/>
    </row>
    <row r="118">
      <c r="C118" s="36"/>
    </row>
    <row r="119">
      <c r="C119" s="36"/>
    </row>
    <row r="120">
      <c r="C120" s="36"/>
    </row>
    <row r="121">
      <c r="C121" s="36"/>
    </row>
    <row r="122">
      <c r="C122" s="36"/>
    </row>
    <row r="123">
      <c r="C123" s="36"/>
    </row>
    <row r="124">
      <c r="C124" s="36"/>
    </row>
    <row r="125">
      <c r="C125" s="36"/>
    </row>
    <row r="126">
      <c r="C126" s="36"/>
    </row>
    <row r="127">
      <c r="C127" s="36"/>
    </row>
    <row r="128">
      <c r="C128" s="36"/>
    </row>
    <row r="129">
      <c r="C129" s="36"/>
    </row>
    <row r="130">
      <c r="C130" s="36"/>
    </row>
    <row r="131">
      <c r="C131" s="36"/>
    </row>
    <row r="132">
      <c r="C132" s="36"/>
    </row>
    <row r="133">
      <c r="C133" s="36"/>
    </row>
    <row r="134">
      <c r="C134" s="36"/>
    </row>
    <row r="135">
      <c r="C135" s="36"/>
    </row>
    <row r="136">
      <c r="C136" s="36"/>
    </row>
    <row r="137">
      <c r="C137" s="36"/>
    </row>
    <row r="138">
      <c r="C138" s="36"/>
    </row>
    <row r="139">
      <c r="C139" s="36"/>
    </row>
    <row r="140">
      <c r="C140" s="36"/>
    </row>
    <row r="141">
      <c r="C141" s="36"/>
    </row>
    <row r="142">
      <c r="C142" s="36"/>
    </row>
    <row r="143">
      <c r="C143" s="36"/>
    </row>
    <row r="144">
      <c r="C144" s="36"/>
    </row>
    <row r="145">
      <c r="C145" s="36"/>
    </row>
    <row r="146">
      <c r="C146" s="36"/>
    </row>
    <row r="147">
      <c r="C147" s="36"/>
    </row>
    <row r="148">
      <c r="C148" s="36"/>
    </row>
    <row r="149">
      <c r="C149" s="36"/>
    </row>
    <row r="150">
      <c r="C150" s="36"/>
    </row>
    <row r="151">
      <c r="C151" s="36"/>
    </row>
    <row r="152">
      <c r="C152" s="36"/>
    </row>
    <row r="153">
      <c r="C153" s="36"/>
    </row>
    <row r="154">
      <c r="C154" s="36"/>
    </row>
    <row r="155">
      <c r="C155" s="36"/>
    </row>
    <row r="156">
      <c r="C156" s="36"/>
    </row>
    <row r="157">
      <c r="C157" s="36"/>
    </row>
    <row r="158">
      <c r="C158" s="36"/>
    </row>
    <row r="159">
      <c r="C159" s="36"/>
    </row>
    <row r="160">
      <c r="C160" s="36"/>
    </row>
    <row r="161">
      <c r="C161" s="36"/>
    </row>
    <row r="162">
      <c r="C162" s="36"/>
    </row>
    <row r="163">
      <c r="C163" s="36"/>
    </row>
    <row r="164">
      <c r="C164" s="36"/>
    </row>
    <row r="165">
      <c r="C165" s="36"/>
    </row>
    <row r="166">
      <c r="C166" s="36"/>
    </row>
    <row r="167">
      <c r="C167" s="36"/>
    </row>
    <row r="168">
      <c r="C168" s="36"/>
    </row>
    <row r="169">
      <c r="C169" s="36"/>
    </row>
    <row r="170">
      <c r="C170" s="36"/>
    </row>
    <row r="171">
      <c r="C171" s="36"/>
    </row>
    <row r="172">
      <c r="C172" s="36"/>
    </row>
    <row r="173">
      <c r="C173" s="36"/>
    </row>
    <row r="174">
      <c r="C174" s="36"/>
    </row>
    <row r="175">
      <c r="C175" s="36"/>
    </row>
    <row r="176">
      <c r="C176" s="36"/>
    </row>
    <row r="177">
      <c r="C177" s="36"/>
    </row>
    <row r="178">
      <c r="C178" s="36"/>
    </row>
    <row r="179">
      <c r="C179" s="36"/>
    </row>
    <row r="180">
      <c r="C180" s="36"/>
    </row>
    <row r="181">
      <c r="C181" s="36"/>
    </row>
    <row r="182">
      <c r="C182" s="36"/>
    </row>
    <row r="183">
      <c r="C183" s="36"/>
    </row>
    <row r="184">
      <c r="C184" s="36"/>
    </row>
    <row r="185">
      <c r="C185" s="36"/>
    </row>
    <row r="186">
      <c r="C186" s="36"/>
    </row>
    <row r="187">
      <c r="C187" s="36"/>
    </row>
    <row r="188">
      <c r="C188" s="36"/>
    </row>
    <row r="189">
      <c r="C189" s="36"/>
    </row>
    <row r="190">
      <c r="C190" s="36"/>
    </row>
    <row r="191">
      <c r="C191" s="36"/>
    </row>
    <row r="192">
      <c r="C192" s="36"/>
    </row>
    <row r="193">
      <c r="C193" s="36"/>
    </row>
    <row r="194">
      <c r="C194" s="36"/>
    </row>
    <row r="195">
      <c r="C195" s="36"/>
    </row>
    <row r="196">
      <c r="C196" s="36"/>
    </row>
    <row r="197">
      <c r="C197" s="36"/>
    </row>
    <row r="198">
      <c r="C198" s="36"/>
    </row>
    <row r="199">
      <c r="C199" s="36"/>
    </row>
    <row r="200">
      <c r="C200" s="36"/>
    </row>
    <row r="201">
      <c r="C201" s="36"/>
    </row>
    <row r="202">
      <c r="C202" s="36"/>
    </row>
    <row r="203">
      <c r="C203" s="36"/>
    </row>
    <row r="204">
      <c r="C204" s="36"/>
    </row>
    <row r="205">
      <c r="C205" s="36"/>
    </row>
    <row r="206">
      <c r="C206" s="36"/>
    </row>
    <row r="207">
      <c r="C207" s="36"/>
    </row>
    <row r="208">
      <c r="C208" s="36"/>
    </row>
    <row r="209">
      <c r="C209" s="36"/>
    </row>
    <row r="210">
      <c r="C210" s="36"/>
    </row>
    <row r="211">
      <c r="C211" s="36"/>
    </row>
    <row r="212">
      <c r="C212" s="36"/>
    </row>
    <row r="213">
      <c r="C213" s="36"/>
    </row>
    <row r="214">
      <c r="C214" s="36"/>
    </row>
    <row r="215">
      <c r="C215" s="36"/>
    </row>
    <row r="216">
      <c r="C216" s="36"/>
    </row>
    <row r="217">
      <c r="C217" s="36"/>
    </row>
    <row r="218">
      <c r="C218" s="36"/>
    </row>
    <row r="219">
      <c r="C219" s="36"/>
    </row>
    <row r="220">
      <c r="C220" s="36"/>
    </row>
    <row r="221">
      <c r="C221" s="36"/>
    </row>
    <row r="222">
      <c r="C222" s="36"/>
    </row>
    <row r="223">
      <c r="C223" s="36"/>
    </row>
    <row r="224">
      <c r="C224" s="36"/>
    </row>
    <row r="225">
      <c r="C225" s="36"/>
    </row>
    <row r="226">
      <c r="C226" s="36"/>
    </row>
    <row r="227">
      <c r="C227" s="36"/>
    </row>
    <row r="228">
      <c r="C228" s="36"/>
    </row>
    <row r="229">
      <c r="C229" s="36"/>
    </row>
    <row r="230">
      <c r="C230" s="36"/>
    </row>
    <row r="231">
      <c r="C231" s="36"/>
    </row>
    <row r="232">
      <c r="C232" s="36"/>
    </row>
    <row r="233">
      <c r="C233" s="36"/>
    </row>
    <row r="234">
      <c r="C234" s="36"/>
    </row>
    <row r="235">
      <c r="C235" s="36"/>
    </row>
    <row r="236">
      <c r="C236" s="36"/>
    </row>
    <row r="237">
      <c r="C237" s="36"/>
    </row>
    <row r="238">
      <c r="C238" s="36"/>
    </row>
    <row r="239">
      <c r="C239" s="36"/>
    </row>
    <row r="240">
      <c r="C240" s="36"/>
    </row>
    <row r="241">
      <c r="C241" s="36"/>
    </row>
    <row r="242">
      <c r="C242" s="36"/>
    </row>
    <row r="243">
      <c r="C243" s="36"/>
    </row>
    <row r="244">
      <c r="C244" s="36"/>
    </row>
    <row r="245">
      <c r="C245" s="36"/>
    </row>
    <row r="246">
      <c r="C246" s="36"/>
    </row>
    <row r="247">
      <c r="C247" s="36"/>
    </row>
    <row r="248">
      <c r="C248" s="36"/>
    </row>
    <row r="249">
      <c r="C249" s="36"/>
    </row>
    <row r="250">
      <c r="C250" s="36"/>
    </row>
    <row r="251">
      <c r="C251" s="36"/>
    </row>
    <row r="252">
      <c r="C252" s="36"/>
    </row>
    <row r="253">
      <c r="C253" s="36"/>
    </row>
    <row r="254">
      <c r="C254" s="36"/>
    </row>
    <row r="255">
      <c r="C255" s="36"/>
    </row>
    <row r="256">
      <c r="C256" s="36"/>
    </row>
    <row r="257">
      <c r="C257" s="36"/>
    </row>
    <row r="258">
      <c r="C258" s="36"/>
    </row>
    <row r="259">
      <c r="C259" s="36"/>
    </row>
    <row r="260">
      <c r="C260" s="36"/>
    </row>
    <row r="261">
      <c r="C261" s="36"/>
    </row>
    <row r="262">
      <c r="C262" s="36"/>
    </row>
    <row r="263">
      <c r="C263" s="36"/>
    </row>
    <row r="264">
      <c r="C264" s="36"/>
    </row>
    <row r="265">
      <c r="C265" s="36"/>
    </row>
    <row r="266">
      <c r="C266" s="36"/>
    </row>
    <row r="267">
      <c r="C267" s="36"/>
    </row>
    <row r="268">
      <c r="C268" s="36"/>
    </row>
    <row r="269">
      <c r="C269" s="36"/>
    </row>
    <row r="270">
      <c r="C270" s="36"/>
    </row>
    <row r="271">
      <c r="C271" s="36"/>
    </row>
    <row r="272">
      <c r="C272" s="36"/>
    </row>
    <row r="273">
      <c r="C273" s="36"/>
    </row>
    <row r="274">
      <c r="C274" s="36"/>
    </row>
    <row r="275">
      <c r="C275" s="36"/>
    </row>
    <row r="276">
      <c r="C276" s="36"/>
    </row>
    <row r="277">
      <c r="C277" s="36"/>
    </row>
    <row r="278">
      <c r="C278" s="36"/>
    </row>
    <row r="279">
      <c r="C279" s="36"/>
    </row>
    <row r="280">
      <c r="C280" s="36"/>
    </row>
    <row r="281">
      <c r="C281" s="36"/>
    </row>
    <row r="282">
      <c r="C282" s="36"/>
    </row>
    <row r="283">
      <c r="C283" s="36"/>
    </row>
    <row r="284">
      <c r="C284" s="36"/>
    </row>
    <row r="285">
      <c r="C285" s="36"/>
    </row>
    <row r="286">
      <c r="C286" s="36"/>
    </row>
    <row r="287">
      <c r="C287" s="36"/>
    </row>
    <row r="288">
      <c r="C288" s="36"/>
    </row>
    <row r="289">
      <c r="C289" s="36"/>
    </row>
    <row r="290">
      <c r="C290" s="36"/>
    </row>
    <row r="291">
      <c r="C291" s="36"/>
    </row>
    <row r="292">
      <c r="C292" s="36"/>
    </row>
    <row r="293">
      <c r="C293" s="36"/>
    </row>
    <row r="294">
      <c r="C294" s="36"/>
    </row>
    <row r="295">
      <c r="C295" s="36"/>
    </row>
    <row r="296">
      <c r="C296" s="36"/>
    </row>
    <row r="297">
      <c r="C297" s="36"/>
    </row>
    <row r="298">
      <c r="C298" s="36"/>
    </row>
    <row r="299">
      <c r="C299" s="36"/>
    </row>
    <row r="300">
      <c r="C300" s="36"/>
    </row>
    <row r="301">
      <c r="C301" s="36"/>
    </row>
    <row r="302">
      <c r="C302" s="36"/>
    </row>
    <row r="303">
      <c r="C303" s="36"/>
    </row>
    <row r="304">
      <c r="C304" s="36"/>
    </row>
    <row r="305">
      <c r="C305" s="36"/>
    </row>
    <row r="306">
      <c r="C306" s="36"/>
    </row>
    <row r="307">
      <c r="C307" s="36"/>
    </row>
    <row r="308">
      <c r="C308" s="36"/>
    </row>
    <row r="309">
      <c r="C309" s="36"/>
    </row>
    <row r="310">
      <c r="C310" s="36"/>
    </row>
    <row r="311">
      <c r="C311" s="36"/>
    </row>
    <row r="312">
      <c r="C312" s="36"/>
    </row>
    <row r="313">
      <c r="C313" s="36"/>
    </row>
    <row r="314">
      <c r="C314" s="36"/>
    </row>
    <row r="315">
      <c r="C315" s="36"/>
    </row>
    <row r="316">
      <c r="C316" s="36"/>
    </row>
    <row r="317">
      <c r="C317" s="36"/>
    </row>
    <row r="318">
      <c r="C318" s="36"/>
    </row>
    <row r="319">
      <c r="C319" s="36"/>
    </row>
    <row r="320">
      <c r="C320" s="36"/>
    </row>
    <row r="321">
      <c r="C321" s="36"/>
    </row>
    <row r="322">
      <c r="C322" s="36"/>
    </row>
    <row r="323">
      <c r="C323" s="36"/>
    </row>
    <row r="324">
      <c r="C324" s="36"/>
    </row>
    <row r="325">
      <c r="C325" s="36"/>
    </row>
    <row r="326">
      <c r="C326" s="36"/>
    </row>
    <row r="327">
      <c r="C327" s="36"/>
    </row>
    <row r="328">
      <c r="C328" s="36"/>
    </row>
    <row r="329">
      <c r="C329" s="36"/>
    </row>
    <row r="330">
      <c r="C330" s="36"/>
    </row>
    <row r="331">
      <c r="C331" s="36"/>
    </row>
    <row r="332">
      <c r="C332" s="36"/>
    </row>
    <row r="333">
      <c r="C333" s="36"/>
    </row>
    <row r="334">
      <c r="C334" s="36"/>
    </row>
    <row r="335">
      <c r="C335" s="36"/>
    </row>
    <row r="336">
      <c r="C336" s="36"/>
    </row>
    <row r="337">
      <c r="C337" s="36"/>
    </row>
    <row r="338">
      <c r="C338" s="36"/>
    </row>
    <row r="339">
      <c r="C339" s="36"/>
    </row>
    <row r="340">
      <c r="C340" s="36"/>
    </row>
    <row r="341">
      <c r="C341" s="36"/>
    </row>
    <row r="342">
      <c r="C342" s="36"/>
    </row>
    <row r="343">
      <c r="C343" s="36"/>
    </row>
    <row r="344">
      <c r="C344" s="36"/>
    </row>
    <row r="345">
      <c r="C345" s="36"/>
    </row>
    <row r="346">
      <c r="C346" s="36"/>
    </row>
    <row r="347">
      <c r="C347" s="36"/>
    </row>
    <row r="348">
      <c r="C348" s="36"/>
    </row>
    <row r="349">
      <c r="C349" s="36"/>
    </row>
    <row r="350">
      <c r="C350" s="36"/>
    </row>
    <row r="351">
      <c r="C351" s="36"/>
    </row>
    <row r="352">
      <c r="C352" s="36"/>
    </row>
    <row r="353">
      <c r="C353" s="36"/>
    </row>
    <row r="354">
      <c r="C354" s="36"/>
    </row>
    <row r="355">
      <c r="C355" s="36"/>
    </row>
    <row r="356">
      <c r="C356" s="36"/>
    </row>
    <row r="357">
      <c r="C357" s="36"/>
    </row>
    <row r="358">
      <c r="C358" s="36"/>
    </row>
    <row r="359">
      <c r="C359" s="36"/>
    </row>
    <row r="360">
      <c r="C360" s="36"/>
    </row>
    <row r="361">
      <c r="C361" s="36"/>
    </row>
    <row r="362">
      <c r="C362" s="36"/>
    </row>
    <row r="363">
      <c r="C363" s="36"/>
    </row>
    <row r="364">
      <c r="C364" s="36"/>
    </row>
    <row r="365">
      <c r="C365" s="36"/>
    </row>
    <row r="366">
      <c r="C366" s="36"/>
    </row>
    <row r="367">
      <c r="C367" s="36"/>
    </row>
    <row r="368">
      <c r="C368" s="36"/>
    </row>
    <row r="369">
      <c r="C369" s="36"/>
    </row>
    <row r="370">
      <c r="C370" s="36"/>
    </row>
    <row r="371">
      <c r="C371" s="36"/>
    </row>
    <row r="372">
      <c r="C372" s="36"/>
    </row>
    <row r="373">
      <c r="C373" s="36"/>
    </row>
    <row r="374">
      <c r="C374" s="36"/>
    </row>
    <row r="375">
      <c r="C375" s="36"/>
    </row>
    <row r="376">
      <c r="C376" s="36"/>
    </row>
    <row r="377">
      <c r="C377" s="36"/>
    </row>
    <row r="378">
      <c r="C378" s="36"/>
    </row>
    <row r="379">
      <c r="C379" s="36"/>
    </row>
    <row r="380">
      <c r="C380" s="36"/>
    </row>
    <row r="381">
      <c r="C381" s="36"/>
    </row>
    <row r="382">
      <c r="C382" s="36"/>
    </row>
    <row r="383">
      <c r="C383" s="36"/>
    </row>
    <row r="384">
      <c r="C384" s="36"/>
    </row>
    <row r="385">
      <c r="C385" s="36"/>
    </row>
    <row r="386">
      <c r="C386" s="36"/>
    </row>
    <row r="387">
      <c r="C387" s="36"/>
    </row>
    <row r="388">
      <c r="C388" s="36"/>
    </row>
    <row r="389">
      <c r="C389" s="36"/>
    </row>
    <row r="390">
      <c r="C390" s="36"/>
    </row>
    <row r="391">
      <c r="C391" s="36"/>
    </row>
    <row r="392">
      <c r="C392" s="36"/>
    </row>
    <row r="393">
      <c r="C393" s="36"/>
    </row>
    <row r="394">
      <c r="C394" s="36"/>
    </row>
    <row r="395">
      <c r="C395" s="36"/>
    </row>
    <row r="396">
      <c r="C396" s="36"/>
    </row>
    <row r="397">
      <c r="C397" s="36"/>
    </row>
    <row r="398">
      <c r="C398" s="36"/>
    </row>
    <row r="399">
      <c r="C399" s="36"/>
    </row>
    <row r="400">
      <c r="C400" s="36"/>
    </row>
    <row r="401">
      <c r="C401" s="36"/>
    </row>
    <row r="402">
      <c r="C402" s="36"/>
    </row>
    <row r="403">
      <c r="C403" s="36"/>
    </row>
    <row r="404">
      <c r="C404" s="36"/>
    </row>
    <row r="405">
      <c r="C405" s="36"/>
    </row>
    <row r="406">
      <c r="C406" s="36"/>
    </row>
    <row r="407">
      <c r="C407" s="36"/>
    </row>
    <row r="408">
      <c r="C408" s="36"/>
    </row>
    <row r="409">
      <c r="C409" s="36"/>
    </row>
    <row r="410">
      <c r="C410" s="36"/>
    </row>
    <row r="411">
      <c r="C411" s="36"/>
    </row>
    <row r="412">
      <c r="C412" s="36"/>
    </row>
    <row r="413">
      <c r="C413" s="36"/>
    </row>
    <row r="414">
      <c r="C414" s="36"/>
    </row>
    <row r="415">
      <c r="C415" s="36"/>
    </row>
    <row r="416">
      <c r="C416" s="36"/>
    </row>
    <row r="417">
      <c r="C417" s="36"/>
    </row>
    <row r="418">
      <c r="C418" s="36"/>
    </row>
    <row r="419">
      <c r="C419" s="36"/>
    </row>
    <row r="420">
      <c r="C420" s="36"/>
    </row>
    <row r="421">
      <c r="C421" s="36"/>
    </row>
    <row r="422">
      <c r="C422" s="36"/>
    </row>
    <row r="423">
      <c r="C423" s="36"/>
    </row>
    <row r="424">
      <c r="C424" s="36"/>
    </row>
    <row r="425">
      <c r="C425" s="36"/>
    </row>
    <row r="426">
      <c r="C426" s="36"/>
    </row>
    <row r="427">
      <c r="C427" s="36"/>
    </row>
    <row r="428">
      <c r="C428" s="36"/>
    </row>
    <row r="429">
      <c r="C429" s="36"/>
    </row>
    <row r="430">
      <c r="C430" s="36"/>
    </row>
    <row r="431">
      <c r="C431" s="36"/>
    </row>
    <row r="432">
      <c r="C432" s="36"/>
    </row>
    <row r="433">
      <c r="C433" s="36"/>
    </row>
    <row r="434">
      <c r="C434" s="36"/>
    </row>
    <row r="435">
      <c r="C435" s="36"/>
    </row>
    <row r="436">
      <c r="C436" s="36"/>
    </row>
    <row r="437">
      <c r="C437" s="36"/>
    </row>
    <row r="438">
      <c r="C438" s="36"/>
    </row>
    <row r="439">
      <c r="C439" s="36"/>
    </row>
    <row r="440">
      <c r="C440" s="36"/>
    </row>
    <row r="441">
      <c r="C441" s="36"/>
    </row>
    <row r="442">
      <c r="C442" s="36"/>
    </row>
    <row r="443">
      <c r="C443" s="36"/>
    </row>
    <row r="444">
      <c r="C444" s="36"/>
    </row>
    <row r="445">
      <c r="C445" s="36"/>
    </row>
    <row r="446">
      <c r="C446" s="36"/>
    </row>
    <row r="447">
      <c r="C447" s="36"/>
    </row>
    <row r="448">
      <c r="C448" s="36"/>
    </row>
    <row r="449">
      <c r="C449" s="36"/>
    </row>
    <row r="450">
      <c r="C450" s="36"/>
    </row>
    <row r="451">
      <c r="C451" s="36"/>
    </row>
    <row r="452">
      <c r="C452" s="36"/>
    </row>
    <row r="453">
      <c r="C453" s="36"/>
    </row>
    <row r="454">
      <c r="C454" s="36"/>
    </row>
    <row r="455">
      <c r="C455" s="36"/>
    </row>
    <row r="456">
      <c r="C456" s="36"/>
    </row>
    <row r="457">
      <c r="C457" s="36"/>
    </row>
    <row r="458">
      <c r="C458" s="36"/>
    </row>
    <row r="459">
      <c r="C459" s="36"/>
    </row>
    <row r="460">
      <c r="C460" s="36"/>
    </row>
    <row r="461">
      <c r="C461" s="36"/>
    </row>
    <row r="462">
      <c r="C462" s="36"/>
    </row>
    <row r="463">
      <c r="C463" s="36"/>
    </row>
    <row r="464">
      <c r="C464" s="36"/>
    </row>
    <row r="465">
      <c r="C465" s="36"/>
    </row>
    <row r="466">
      <c r="C466" s="36"/>
    </row>
    <row r="467">
      <c r="C467" s="36"/>
    </row>
    <row r="468">
      <c r="C468" s="36"/>
    </row>
    <row r="469">
      <c r="C469" s="36"/>
    </row>
    <row r="470">
      <c r="C470" s="36"/>
    </row>
    <row r="471">
      <c r="C471" s="36"/>
    </row>
    <row r="472">
      <c r="C472" s="36"/>
    </row>
    <row r="473">
      <c r="C473" s="36"/>
    </row>
    <row r="474">
      <c r="C474" s="36"/>
    </row>
    <row r="475">
      <c r="C475" s="36"/>
    </row>
    <row r="476">
      <c r="C476" s="36"/>
    </row>
    <row r="477">
      <c r="C477" s="36"/>
    </row>
    <row r="478">
      <c r="C478" s="36"/>
    </row>
    <row r="479">
      <c r="C479" s="36"/>
    </row>
    <row r="480">
      <c r="C480" s="36"/>
    </row>
    <row r="481">
      <c r="C481" s="36"/>
    </row>
    <row r="482">
      <c r="C482" s="36"/>
    </row>
    <row r="483">
      <c r="C483" s="36"/>
    </row>
    <row r="484">
      <c r="C484" s="36"/>
    </row>
    <row r="485">
      <c r="C485" s="36"/>
    </row>
    <row r="486">
      <c r="C486" s="36"/>
    </row>
    <row r="487">
      <c r="C487" s="36"/>
    </row>
    <row r="488">
      <c r="C488" s="36"/>
    </row>
    <row r="489">
      <c r="C489" s="36"/>
    </row>
    <row r="490">
      <c r="C490" s="36"/>
    </row>
    <row r="491">
      <c r="C491" s="36"/>
    </row>
    <row r="492">
      <c r="C492" s="36"/>
    </row>
    <row r="493">
      <c r="C493" s="36"/>
    </row>
    <row r="494">
      <c r="C494" s="36"/>
    </row>
    <row r="495">
      <c r="C495" s="36"/>
    </row>
    <row r="496">
      <c r="C496" s="36"/>
    </row>
    <row r="497">
      <c r="C497" s="36"/>
    </row>
    <row r="498">
      <c r="C498" s="36"/>
    </row>
    <row r="499">
      <c r="C499" s="36"/>
    </row>
    <row r="500">
      <c r="C500" s="36"/>
    </row>
    <row r="501">
      <c r="C501" s="36"/>
    </row>
    <row r="502">
      <c r="C502" s="36"/>
    </row>
    <row r="503">
      <c r="C503" s="36"/>
    </row>
    <row r="504">
      <c r="C504" s="36"/>
    </row>
    <row r="505">
      <c r="C505" s="36"/>
    </row>
    <row r="506">
      <c r="C506" s="36"/>
    </row>
    <row r="507">
      <c r="C507" s="36"/>
    </row>
    <row r="508">
      <c r="C508" s="36"/>
    </row>
    <row r="509">
      <c r="C509" s="36"/>
    </row>
    <row r="510">
      <c r="C510" s="36"/>
    </row>
    <row r="511">
      <c r="C511" s="36"/>
    </row>
    <row r="512">
      <c r="C512" s="36"/>
    </row>
    <row r="513">
      <c r="C513" s="36"/>
    </row>
    <row r="514">
      <c r="C514" s="36"/>
    </row>
    <row r="515">
      <c r="C515" s="36"/>
    </row>
    <row r="516">
      <c r="C516" s="36"/>
    </row>
    <row r="517">
      <c r="C517" s="36"/>
    </row>
    <row r="518">
      <c r="C518" s="36"/>
    </row>
    <row r="519">
      <c r="C519" s="36"/>
    </row>
    <row r="520">
      <c r="C520" s="36"/>
    </row>
    <row r="521">
      <c r="C521" s="36"/>
    </row>
    <row r="522">
      <c r="C522" s="36"/>
    </row>
    <row r="523">
      <c r="C523" s="36"/>
    </row>
    <row r="524">
      <c r="C524" s="36"/>
    </row>
    <row r="525">
      <c r="C525" s="36"/>
    </row>
    <row r="526">
      <c r="C526" s="36"/>
    </row>
    <row r="527">
      <c r="C527" s="36"/>
    </row>
    <row r="528">
      <c r="C528" s="36"/>
    </row>
    <row r="529">
      <c r="C529" s="36"/>
    </row>
    <row r="530">
      <c r="C530" s="36"/>
    </row>
    <row r="531">
      <c r="C531" s="36"/>
    </row>
    <row r="532">
      <c r="C532" s="36"/>
    </row>
    <row r="533">
      <c r="C533" s="36"/>
    </row>
    <row r="534">
      <c r="C534" s="36"/>
    </row>
    <row r="535">
      <c r="C535" s="36"/>
    </row>
    <row r="536">
      <c r="C536" s="36"/>
    </row>
    <row r="537">
      <c r="C537" s="36"/>
    </row>
    <row r="538">
      <c r="C538" s="36"/>
    </row>
    <row r="539">
      <c r="C539" s="36"/>
    </row>
    <row r="540">
      <c r="C540" s="36"/>
    </row>
    <row r="541">
      <c r="C541" s="36"/>
    </row>
    <row r="542">
      <c r="C542" s="36"/>
    </row>
    <row r="543">
      <c r="C543" s="36"/>
    </row>
    <row r="544">
      <c r="C544" s="36"/>
    </row>
    <row r="545">
      <c r="C545" s="36"/>
    </row>
    <row r="546">
      <c r="C546" s="36"/>
    </row>
    <row r="547">
      <c r="C547" s="36"/>
    </row>
    <row r="548">
      <c r="C548" s="36"/>
    </row>
    <row r="549">
      <c r="C549" s="36"/>
    </row>
    <row r="550">
      <c r="C550" s="36"/>
    </row>
    <row r="551">
      <c r="C551" s="36"/>
    </row>
    <row r="552">
      <c r="C552" s="36"/>
    </row>
    <row r="553">
      <c r="C553" s="36"/>
    </row>
    <row r="554">
      <c r="C554" s="36"/>
    </row>
    <row r="555">
      <c r="C555" s="36"/>
    </row>
    <row r="556">
      <c r="C556" s="36"/>
    </row>
    <row r="557">
      <c r="C557" s="36"/>
    </row>
    <row r="558">
      <c r="C558" s="36"/>
    </row>
    <row r="559">
      <c r="C559" s="36"/>
    </row>
    <row r="560">
      <c r="C560" s="36"/>
    </row>
    <row r="561">
      <c r="C561" s="36"/>
    </row>
    <row r="562">
      <c r="C562" s="36"/>
    </row>
    <row r="563">
      <c r="C563" s="36"/>
    </row>
    <row r="564">
      <c r="C564" s="36"/>
    </row>
    <row r="565">
      <c r="C565" s="36"/>
    </row>
    <row r="566">
      <c r="C566" s="36"/>
    </row>
    <row r="567">
      <c r="C567" s="36"/>
    </row>
    <row r="568">
      <c r="C568" s="36"/>
    </row>
    <row r="569">
      <c r="C569" s="36"/>
    </row>
    <row r="570">
      <c r="C570" s="36"/>
    </row>
    <row r="571">
      <c r="C571" s="36"/>
    </row>
    <row r="572">
      <c r="C572" s="36"/>
    </row>
    <row r="573">
      <c r="C573" s="36"/>
    </row>
    <row r="574">
      <c r="C574" s="36"/>
    </row>
    <row r="575">
      <c r="C575" s="36"/>
    </row>
    <row r="576">
      <c r="C576" s="36"/>
    </row>
    <row r="577">
      <c r="C577" s="36"/>
    </row>
    <row r="578">
      <c r="C578" s="36"/>
    </row>
    <row r="579">
      <c r="C579" s="36"/>
    </row>
    <row r="580">
      <c r="C580" s="36"/>
    </row>
    <row r="581">
      <c r="C581" s="36"/>
    </row>
    <row r="582">
      <c r="C582" s="36"/>
    </row>
    <row r="583">
      <c r="C583" s="36"/>
    </row>
    <row r="584">
      <c r="C584" s="36"/>
    </row>
    <row r="585">
      <c r="C585" s="36"/>
    </row>
    <row r="586">
      <c r="C586" s="36"/>
    </row>
    <row r="587">
      <c r="C587" s="36"/>
    </row>
    <row r="588">
      <c r="C588" s="36"/>
    </row>
    <row r="589">
      <c r="C589" s="36"/>
    </row>
    <row r="590">
      <c r="C590" s="36"/>
    </row>
    <row r="591">
      <c r="C591" s="36"/>
    </row>
    <row r="592">
      <c r="C592" s="36"/>
    </row>
    <row r="593">
      <c r="C593" s="36"/>
    </row>
    <row r="594">
      <c r="C594" s="36"/>
    </row>
    <row r="595">
      <c r="C595" s="36"/>
    </row>
    <row r="596">
      <c r="C596" s="36"/>
    </row>
    <row r="597">
      <c r="C597" s="36"/>
    </row>
    <row r="598">
      <c r="C598" s="36"/>
    </row>
    <row r="599">
      <c r="C599" s="36"/>
    </row>
    <row r="600">
      <c r="C600" s="36"/>
    </row>
    <row r="601">
      <c r="C601" s="36"/>
    </row>
    <row r="602">
      <c r="C602" s="36"/>
    </row>
    <row r="603">
      <c r="C603" s="36"/>
    </row>
    <row r="604">
      <c r="C604" s="36"/>
    </row>
    <row r="605">
      <c r="C605" s="36"/>
    </row>
    <row r="606">
      <c r="C606" s="36"/>
    </row>
    <row r="607">
      <c r="C607" s="36"/>
    </row>
    <row r="608">
      <c r="C608" s="36"/>
    </row>
    <row r="609">
      <c r="C609" s="36"/>
    </row>
    <row r="610">
      <c r="C610" s="36"/>
    </row>
    <row r="611">
      <c r="C611" s="36"/>
    </row>
    <row r="612">
      <c r="C612" s="36"/>
    </row>
    <row r="613">
      <c r="C613" s="36"/>
    </row>
    <row r="614">
      <c r="C614" s="36"/>
    </row>
    <row r="615">
      <c r="C615" s="36"/>
    </row>
    <row r="616">
      <c r="C616" s="36"/>
    </row>
    <row r="617">
      <c r="C617" s="36"/>
    </row>
    <row r="618">
      <c r="C618" s="36"/>
    </row>
    <row r="619">
      <c r="C619" s="36"/>
    </row>
    <row r="620">
      <c r="C620" s="36"/>
    </row>
    <row r="621">
      <c r="C621" s="36"/>
    </row>
    <row r="622">
      <c r="C622" s="36"/>
    </row>
    <row r="623">
      <c r="C623" s="36"/>
    </row>
    <row r="624">
      <c r="C624" s="36"/>
    </row>
    <row r="625">
      <c r="C625" s="36"/>
    </row>
    <row r="626">
      <c r="C626" s="36"/>
    </row>
    <row r="627">
      <c r="C627" s="36"/>
    </row>
    <row r="628">
      <c r="C628" s="36"/>
    </row>
    <row r="629">
      <c r="C629" s="36"/>
    </row>
    <row r="630">
      <c r="C630" s="36"/>
    </row>
    <row r="631">
      <c r="C631" s="36"/>
    </row>
    <row r="632">
      <c r="C632" s="36"/>
    </row>
    <row r="633">
      <c r="C633" s="36"/>
    </row>
    <row r="634">
      <c r="C634" s="36"/>
    </row>
    <row r="635">
      <c r="C635" s="36"/>
    </row>
    <row r="636">
      <c r="C636" s="36"/>
    </row>
    <row r="637">
      <c r="C637" s="36"/>
    </row>
    <row r="638">
      <c r="C638" s="36"/>
    </row>
    <row r="639">
      <c r="C639" s="36"/>
    </row>
    <row r="640">
      <c r="C640" s="36"/>
    </row>
    <row r="641">
      <c r="C641" s="36"/>
    </row>
    <row r="642">
      <c r="C642" s="36"/>
    </row>
    <row r="643">
      <c r="C643" s="36"/>
    </row>
    <row r="644">
      <c r="C644" s="36"/>
    </row>
    <row r="645">
      <c r="C645" s="36"/>
    </row>
    <row r="646">
      <c r="C646" s="36"/>
    </row>
    <row r="647">
      <c r="C647" s="36"/>
    </row>
    <row r="648">
      <c r="C648" s="36"/>
    </row>
    <row r="649">
      <c r="C649" s="36"/>
    </row>
    <row r="650">
      <c r="C650" s="36"/>
    </row>
    <row r="651">
      <c r="C651" s="36"/>
    </row>
    <row r="652">
      <c r="C652" s="36"/>
    </row>
    <row r="653">
      <c r="C653" s="36"/>
    </row>
    <row r="654">
      <c r="C654" s="36"/>
    </row>
    <row r="655">
      <c r="C655" s="36"/>
    </row>
    <row r="656">
      <c r="C656" s="36"/>
    </row>
    <row r="657">
      <c r="C657" s="36"/>
    </row>
    <row r="658">
      <c r="C658" s="36"/>
    </row>
    <row r="659">
      <c r="C659" s="36"/>
    </row>
    <row r="660">
      <c r="C660" s="36"/>
    </row>
    <row r="661">
      <c r="C661" s="36"/>
    </row>
    <row r="662">
      <c r="C662" s="36"/>
    </row>
    <row r="663">
      <c r="C663" s="36"/>
    </row>
    <row r="664">
      <c r="C664" s="36"/>
    </row>
    <row r="665">
      <c r="C665" s="36"/>
    </row>
    <row r="666">
      <c r="C666" s="36"/>
    </row>
    <row r="667">
      <c r="C667" s="36"/>
    </row>
    <row r="668">
      <c r="C668" s="36"/>
    </row>
    <row r="669">
      <c r="C669" s="36"/>
    </row>
    <row r="670">
      <c r="C670" s="36"/>
    </row>
    <row r="671">
      <c r="C671" s="36"/>
    </row>
    <row r="672">
      <c r="C672" s="36"/>
    </row>
    <row r="673">
      <c r="C673" s="36"/>
    </row>
    <row r="674">
      <c r="C674" s="36"/>
    </row>
    <row r="675">
      <c r="C675" s="36"/>
    </row>
    <row r="676">
      <c r="C676" s="36"/>
    </row>
    <row r="677">
      <c r="C677" s="36"/>
    </row>
    <row r="678">
      <c r="C678" s="36"/>
    </row>
    <row r="679">
      <c r="C679" s="36"/>
    </row>
    <row r="680">
      <c r="C680" s="36"/>
    </row>
    <row r="681">
      <c r="C681" s="36"/>
    </row>
    <row r="682">
      <c r="C682" s="36"/>
    </row>
    <row r="683">
      <c r="C683" s="36"/>
    </row>
    <row r="684">
      <c r="C684" s="36"/>
    </row>
    <row r="685">
      <c r="C685" s="36"/>
    </row>
    <row r="686">
      <c r="C686" s="36"/>
    </row>
    <row r="687">
      <c r="C687" s="36"/>
    </row>
    <row r="688">
      <c r="C688" s="36"/>
    </row>
    <row r="689">
      <c r="C689" s="36"/>
    </row>
    <row r="690">
      <c r="C690" s="36"/>
    </row>
    <row r="691">
      <c r="C691" s="36"/>
    </row>
    <row r="692">
      <c r="C692" s="36"/>
    </row>
    <row r="693">
      <c r="C693" s="36"/>
    </row>
    <row r="694">
      <c r="C694" s="36"/>
    </row>
    <row r="695">
      <c r="C695" s="36"/>
    </row>
    <row r="696">
      <c r="C696" s="36"/>
    </row>
    <row r="697">
      <c r="C697" s="36"/>
    </row>
    <row r="698">
      <c r="C698" s="36"/>
    </row>
    <row r="699">
      <c r="C699" s="36"/>
    </row>
    <row r="700">
      <c r="C700" s="36"/>
    </row>
    <row r="701">
      <c r="C701" s="36"/>
    </row>
    <row r="702">
      <c r="C702" s="36"/>
    </row>
    <row r="703">
      <c r="C703" s="36"/>
    </row>
    <row r="704">
      <c r="C704" s="36"/>
    </row>
    <row r="705">
      <c r="C705" s="36"/>
    </row>
    <row r="706">
      <c r="C706" s="36"/>
    </row>
    <row r="707">
      <c r="C707" s="36"/>
    </row>
    <row r="708">
      <c r="C708" s="36"/>
    </row>
    <row r="709">
      <c r="C709" s="36"/>
    </row>
    <row r="710">
      <c r="C710" s="36"/>
    </row>
    <row r="711">
      <c r="C711" s="36"/>
    </row>
    <row r="712">
      <c r="C712" s="36"/>
    </row>
    <row r="713">
      <c r="C713" s="36"/>
    </row>
    <row r="714">
      <c r="C714" s="36"/>
    </row>
    <row r="715">
      <c r="C715" s="36"/>
    </row>
    <row r="716">
      <c r="C716" s="36"/>
    </row>
    <row r="717">
      <c r="C717" s="36"/>
    </row>
    <row r="718">
      <c r="C718" s="36"/>
    </row>
    <row r="719">
      <c r="C719" s="36"/>
    </row>
    <row r="720">
      <c r="C720" s="36"/>
    </row>
    <row r="721">
      <c r="C721" s="36"/>
    </row>
    <row r="722">
      <c r="C722" s="36"/>
    </row>
    <row r="723">
      <c r="C723" s="36"/>
    </row>
    <row r="724">
      <c r="C724" s="36"/>
    </row>
    <row r="725">
      <c r="C725" s="36"/>
    </row>
    <row r="726">
      <c r="C726" s="36"/>
    </row>
    <row r="727">
      <c r="C727" s="36"/>
    </row>
    <row r="728">
      <c r="C728" s="36"/>
    </row>
    <row r="729">
      <c r="C729" s="36"/>
    </row>
    <row r="730">
      <c r="C730" s="36"/>
    </row>
    <row r="731">
      <c r="C731" s="36"/>
    </row>
    <row r="732">
      <c r="C732" s="36"/>
    </row>
    <row r="733">
      <c r="C733" s="36"/>
    </row>
    <row r="734">
      <c r="C734" s="36"/>
    </row>
    <row r="735">
      <c r="C735" s="36"/>
    </row>
    <row r="736">
      <c r="C736" s="36"/>
    </row>
    <row r="737">
      <c r="C737" s="36"/>
    </row>
    <row r="738">
      <c r="C738" s="36"/>
    </row>
    <row r="739">
      <c r="C739" s="36"/>
    </row>
    <row r="740">
      <c r="C740" s="36"/>
    </row>
    <row r="741">
      <c r="C741" s="36"/>
    </row>
    <row r="742">
      <c r="C742" s="36"/>
    </row>
    <row r="743">
      <c r="C743" s="36"/>
    </row>
    <row r="744">
      <c r="C744" s="36"/>
    </row>
    <row r="745">
      <c r="C745" s="36"/>
    </row>
    <row r="746">
      <c r="C746" s="36"/>
    </row>
    <row r="747">
      <c r="C747" s="36"/>
    </row>
    <row r="748">
      <c r="C748" s="36"/>
    </row>
    <row r="749">
      <c r="C749" s="36"/>
    </row>
    <row r="750">
      <c r="C750" s="36"/>
    </row>
    <row r="751">
      <c r="C751" s="36"/>
    </row>
    <row r="752">
      <c r="C752" s="36"/>
    </row>
    <row r="753">
      <c r="C753" s="36"/>
    </row>
    <row r="754">
      <c r="C754" s="36"/>
    </row>
    <row r="755">
      <c r="C755" s="36"/>
    </row>
    <row r="756">
      <c r="C756" s="36"/>
    </row>
    <row r="757">
      <c r="C757" s="36"/>
    </row>
    <row r="758">
      <c r="C758" s="36"/>
    </row>
    <row r="759">
      <c r="C759" s="36"/>
    </row>
    <row r="760">
      <c r="C760" s="36"/>
    </row>
    <row r="761">
      <c r="C761" s="36"/>
    </row>
    <row r="762">
      <c r="C762" s="36"/>
    </row>
    <row r="763">
      <c r="C763" s="36"/>
    </row>
    <row r="764">
      <c r="C764" s="36"/>
    </row>
    <row r="765">
      <c r="C765" s="36"/>
    </row>
    <row r="766">
      <c r="C766" s="36"/>
    </row>
    <row r="767">
      <c r="C767" s="36"/>
    </row>
    <row r="768">
      <c r="C768" s="36"/>
    </row>
    <row r="769">
      <c r="C769" s="36"/>
    </row>
    <row r="770">
      <c r="C770" s="36"/>
    </row>
    <row r="771">
      <c r="C771" s="36"/>
    </row>
    <row r="772">
      <c r="C772" s="36"/>
    </row>
    <row r="773">
      <c r="C773" s="36"/>
    </row>
    <row r="774">
      <c r="C774" s="36"/>
    </row>
    <row r="775">
      <c r="C775" s="36"/>
    </row>
    <row r="776">
      <c r="C776" s="36"/>
    </row>
    <row r="777">
      <c r="C777" s="36"/>
    </row>
    <row r="778">
      <c r="C778" s="36"/>
    </row>
    <row r="779">
      <c r="C779" s="36"/>
    </row>
    <row r="780">
      <c r="C780" s="36"/>
    </row>
    <row r="781">
      <c r="C781" s="36"/>
    </row>
    <row r="782">
      <c r="C782" s="36"/>
    </row>
    <row r="783">
      <c r="C783" s="36"/>
    </row>
    <row r="784">
      <c r="C784" s="36"/>
    </row>
    <row r="785">
      <c r="C785" s="36"/>
    </row>
    <row r="786">
      <c r="C786" s="36"/>
    </row>
    <row r="787">
      <c r="C787" s="36"/>
    </row>
    <row r="788">
      <c r="C788" s="36"/>
    </row>
    <row r="789">
      <c r="C789" s="36"/>
    </row>
    <row r="790">
      <c r="C790" s="36"/>
    </row>
    <row r="791">
      <c r="C791" s="36"/>
    </row>
    <row r="792">
      <c r="C792" s="36"/>
    </row>
    <row r="793">
      <c r="C793" s="36"/>
    </row>
    <row r="794">
      <c r="C794" s="36"/>
    </row>
    <row r="795">
      <c r="C795" s="36"/>
    </row>
    <row r="796">
      <c r="C796" s="36"/>
    </row>
    <row r="797">
      <c r="C797" s="36"/>
    </row>
    <row r="798">
      <c r="C798" s="36"/>
    </row>
    <row r="799">
      <c r="C799" s="36"/>
    </row>
    <row r="800">
      <c r="C800" s="36"/>
    </row>
    <row r="801">
      <c r="C801" s="36"/>
    </row>
    <row r="802">
      <c r="C802" s="36"/>
    </row>
    <row r="803">
      <c r="C803" s="36"/>
    </row>
    <row r="804">
      <c r="C804" s="36"/>
    </row>
    <row r="805">
      <c r="C805" s="36"/>
    </row>
    <row r="806">
      <c r="C806" s="36"/>
    </row>
    <row r="807">
      <c r="C807" s="36"/>
    </row>
    <row r="808">
      <c r="C808" s="36"/>
    </row>
    <row r="809">
      <c r="C809" s="36"/>
    </row>
    <row r="810">
      <c r="C810" s="36"/>
    </row>
    <row r="811">
      <c r="C811" s="36"/>
    </row>
    <row r="812">
      <c r="C812" s="36"/>
    </row>
    <row r="813">
      <c r="C813" s="36"/>
    </row>
    <row r="814">
      <c r="C814" s="36"/>
    </row>
    <row r="815">
      <c r="C815" s="36"/>
    </row>
    <row r="816">
      <c r="C816" s="36"/>
    </row>
    <row r="817">
      <c r="C817" s="36"/>
    </row>
    <row r="818">
      <c r="C818" s="36"/>
    </row>
    <row r="819">
      <c r="C819" s="36"/>
    </row>
    <row r="820">
      <c r="C820" s="36"/>
    </row>
    <row r="821">
      <c r="C821" s="36"/>
    </row>
    <row r="822">
      <c r="C822" s="36"/>
    </row>
    <row r="823">
      <c r="C823" s="36"/>
    </row>
    <row r="824">
      <c r="C824" s="36"/>
    </row>
    <row r="825">
      <c r="C825" s="36"/>
    </row>
    <row r="826">
      <c r="C826" s="36"/>
    </row>
    <row r="827">
      <c r="C827" s="36"/>
    </row>
    <row r="828">
      <c r="C828" s="36"/>
    </row>
    <row r="829">
      <c r="C829" s="36"/>
    </row>
    <row r="830">
      <c r="C830" s="36"/>
    </row>
    <row r="831">
      <c r="C831" s="36"/>
    </row>
    <row r="832">
      <c r="C832" s="36"/>
    </row>
    <row r="833">
      <c r="C833" s="36"/>
    </row>
    <row r="834">
      <c r="C834" s="36"/>
    </row>
    <row r="835">
      <c r="C835" s="36"/>
    </row>
    <row r="836">
      <c r="C836" s="36"/>
    </row>
    <row r="837">
      <c r="C837" s="36"/>
    </row>
    <row r="838">
      <c r="C838" s="36"/>
    </row>
    <row r="839">
      <c r="C839" s="36"/>
    </row>
    <row r="840">
      <c r="C840" s="36"/>
    </row>
    <row r="841">
      <c r="C841" s="36"/>
    </row>
    <row r="842">
      <c r="C842" s="36"/>
    </row>
    <row r="843">
      <c r="C843" s="36"/>
    </row>
    <row r="844">
      <c r="C844" s="36"/>
    </row>
    <row r="845">
      <c r="C845" s="36"/>
    </row>
    <row r="846">
      <c r="C846" s="36"/>
    </row>
    <row r="847">
      <c r="C847" s="36"/>
    </row>
    <row r="848">
      <c r="C848" s="36"/>
    </row>
    <row r="849">
      <c r="C849" s="36"/>
    </row>
    <row r="850">
      <c r="C850" s="36"/>
    </row>
    <row r="851">
      <c r="C851" s="36"/>
    </row>
    <row r="852">
      <c r="C852" s="36"/>
    </row>
    <row r="853">
      <c r="C853" s="36"/>
    </row>
    <row r="854">
      <c r="C854" s="36"/>
    </row>
    <row r="855">
      <c r="C855" s="36"/>
    </row>
    <row r="856">
      <c r="C856" s="36"/>
    </row>
    <row r="857">
      <c r="C857" s="36"/>
    </row>
    <row r="858">
      <c r="C858" s="36"/>
    </row>
    <row r="859">
      <c r="C859" s="36"/>
    </row>
    <row r="860">
      <c r="C860" s="36"/>
    </row>
    <row r="861">
      <c r="C861" s="36"/>
    </row>
    <row r="862">
      <c r="C862" s="36"/>
    </row>
    <row r="863">
      <c r="C863" s="36"/>
    </row>
    <row r="864">
      <c r="C864" s="36"/>
    </row>
    <row r="865">
      <c r="C865" s="36"/>
    </row>
    <row r="866">
      <c r="C866" s="36"/>
    </row>
    <row r="867">
      <c r="C867" s="36"/>
    </row>
    <row r="868">
      <c r="C868" s="36"/>
    </row>
    <row r="869">
      <c r="C869" s="36"/>
    </row>
    <row r="870">
      <c r="C870" s="36"/>
    </row>
    <row r="871">
      <c r="C871" s="36"/>
    </row>
    <row r="872">
      <c r="C872" s="36"/>
    </row>
    <row r="873">
      <c r="C873" s="36"/>
    </row>
    <row r="874">
      <c r="C874" s="36"/>
    </row>
    <row r="875">
      <c r="C875" s="36"/>
    </row>
    <row r="876">
      <c r="C876" s="36"/>
    </row>
    <row r="877">
      <c r="C877" s="36"/>
    </row>
    <row r="878">
      <c r="C878" s="36"/>
    </row>
    <row r="879">
      <c r="C879" s="36"/>
    </row>
    <row r="880">
      <c r="C880" s="36"/>
    </row>
    <row r="881">
      <c r="C881" s="36"/>
    </row>
    <row r="882">
      <c r="C882" s="36"/>
    </row>
    <row r="883">
      <c r="C883" s="36"/>
    </row>
    <row r="884">
      <c r="C884" s="36"/>
    </row>
    <row r="885">
      <c r="C885" s="36"/>
    </row>
    <row r="886">
      <c r="C886" s="36"/>
    </row>
    <row r="887">
      <c r="C887" s="36"/>
    </row>
    <row r="888">
      <c r="C888" s="36"/>
    </row>
    <row r="889">
      <c r="C889" s="36"/>
    </row>
    <row r="890">
      <c r="C890" s="36"/>
    </row>
    <row r="891">
      <c r="C891" s="36"/>
    </row>
    <row r="892">
      <c r="C892" s="36"/>
    </row>
    <row r="893">
      <c r="C893" s="36"/>
    </row>
    <row r="894">
      <c r="C894" s="36"/>
    </row>
    <row r="895">
      <c r="C895" s="36"/>
    </row>
    <row r="896">
      <c r="C896" s="36"/>
    </row>
    <row r="897">
      <c r="C897" s="36"/>
    </row>
    <row r="898">
      <c r="C898" s="36"/>
    </row>
    <row r="899">
      <c r="C899" s="36"/>
    </row>
    <row r="900">
      <c r="C900" s="36"/>
    </row>
    <row r="901">
      <c r="C901" s="36"/>
    </row>
    <row r="902">
      <c r="C902" s="36"/>
    </row>
    <row r="903">
      <c r="C903" s="36"/>
    </row>
    <row r="904">
      <c r="C904" s="36"/>
    </row>
    <row r="905">
      <c r="C905" s="36"/>
    </row>
    <row r="906">
      <c r="C906" s="36"/>
    </row>
    <row r="907">
      <c r="C907" s="36"/>
    </row>
    <row r="908">
      <c r="C908" s="36"/>
    </row>
    <row r="909">
      <c r="C909" s="36"/>
    </row>
    <row r="910">
      <c r="C910" s="36"/>
    </row>
    <row r="911">
      <c r="C911" s="36"/>
    </row>
    <row r="912">
      <c r="C912" s="36"/>
    </row>
    <row r="913">
      <c r="C913" s="36"/>
    </row>
    <row r="914">
      <c r="C914" s="36"/>
    </row>
    <row r="915">
      <c r="C915" s="36"/>
    </row>
    <row r="916">
      <c r="C916" s="36"/>
    </row>
    <row r="917">
      <c r="C917" s="36"/>
    </row>
    <row r="918">
      <c r="C918" s="36"/>
    </row>
    <row r="919">
      <c r="C919" s="36"/>
    </row>
    <row r="920">
      <c r="C920" s="36"/>
    </row>
    <row r="921">
      <c r="C921" s="36"/>
    </row>
    <row r="922">
      <c r="C922" s="36"/>
    </row>
    <row r="923">
      <c r="C923" s="36"/>
    </row>
    <row r="924">
      <c r="C924" s="36"/>
    </row>
    <row r="925">
      <c r="C925" s="36"/>
    </row>
    <row r="926">
      <c r="C926" s="36"/>
    </row>
    <row r="927">
      <c r="C927" s="36"/>
    </row>
    <row r="928">
      <c r="C928" s="36"/>
    </row>
    <row r="929">
      <c r="C929" s="36"/>
    </row>
    <row r="930">
      <c r="C930" s="36"/>
    </row>
    <row r="931">
      <c r="C931" s="36"/>
    </row>
    <row r="932">
      <c r="C932" s="36"/>
    </row>
    <row r="933">
      <c r="C933" s="36"/>
    </row>
    <row r="934">
      <c r="C934" s="36"/>
    </row>
    <row r="935">
      <c r="C935" s="36"/>
    </row>
    <row r="936">
      <c r="C936" s="36"/>
    </row>
    <row r="937">
      <c r="C937" s="36"/>
    </row>
    <row r="938">
      <c r="C938" s="36"/>
    </row>
    <row r="939">
      <c r="C939" s="36"/>
    </row>
    <row r="940">
      <c r="C940" s="36"/>
    </row>
    <row r="941">
      <c r="C941" s="36"/>
    </row>
    <row r="942">
      <c r="C942" s="36"/>
    </row>
    <row r="943">
      <c r="C943" s="36"/>
    </row>
    <row r="944">
      <c r="C944" s="36"/>
    </row>
    <row r="945">
      <c r="C945" s="36"/>
    </row>
    <row r="946">
      <c r="C946" s="36"/>
    </row>
    <row r="947">
      <c r="C947" s="36"/>
    </row>
    <row r="948">
      <c r="C948" s="36"/>
    </row>
    <row r="949">
      <c r="C949" s="36"/>
    </row>
    <row r="950">
      <c r="C950" s="36"/>
    </row>
    <row r="951">
      <c r="C951" s="36"/>
    </row>
    <row r="952">
      <c r="C952" s="36"/>
    </row>
    <row r="953">
      <c r="C953" s="36"/>
    </row>
    <row r="954">
      <c r="C954" s="36"/>
    </row>
    <row r="955">
      <c r="C955" s="36"/>
    </row>
    <row r="956">
      <c r="C956" s="36"/>
    </row>
    <row r="957">
      <c r="C957" s="36"/>
    </row>
    <row r="958">
      <c r="C958" s="36"/>
    </row>
    <row r="959">
      <c r="C959" s="36"/>
    </row>
    <row r="960">
      <c r="C960" s="36"/>
    </row>
    <row r="961">
      <c r="C961" s="36"/>
    </row>
    <row r="962">
      <c r="C962" s="36"/>
    </row>
    <row r="963">
      <c r="C963" s="36"/>
    </row>
    <row r="964">
      <c r="C964" s="36"/>
    </row>
    <row r="965">
      <c r="C965" s="36"/>
    </row>
    <row r="966">
      <c r="C966" s="36"/>
    </row>
    <row r="967">
      <c r="C967" s="36"/>
    </row>
    <row r="968">
      <c r="C968" s="36"/>
    </row>
    <row r="969">
      <c r="C969" s="36"/>
    </row>
    <row r="970">
      <c r="C970" s="36"/>
    </row>
    <row r="971">
      <c r="C971" s="36"/>
    </row>
    <row r="972">
      <c r="C972" s="36"/>
    </row>
    <row r="973">
      <c r="C973" s="36"/>
    </row>
    <row r="974">
      <c r="C974" s="36"/>
    </row>
    <row r="975">
      <c r="C975" s="36"/>
    </row>
    <row r="976">
      <c r="C976" s="36"/>
    </row>
    <row r="977">
      <c r="C977" s="36"/>
    </row>
    <row r="978">
      <c r="C978" s="36"/>
    </row>
    <row r="979">
      <c r="C979" s="36"/>
    </row>
    <row r="980">
      <c r="C980" s="36"/>
    </row>
    <row r="981">
      <c r="C981" s="36"/>
    </row>
    <row r="982">
      <c r="C982" s="36"/>
    </row>
    <row r="983">
      <c r="C983" s="36"/>
    </row>
    <row r="984">
      <c r="C984" s="36"/>
    </row>
    <row r="985">
      <c r="C985" s="36"/>
    </row>
    <row r="986">
      <c r="C986" s="36"/>
    </row>
    <row r="987">
      <c r="C987" s="36"/>
    </row>
    <row r="988">
      <c r="C988" s="36"/>
    </row>
    <row r="989">
      <c r="C989" s="36"/>
    </row>
    <row r="990">
      <c r="C990" s="36"/>
    </row>
    <row r="991">
      <c r="C991" s="36"/>
    </row>
    <row r="992">
      <c r="C992" s="36"/>
    </row>
    <row r="993">
      <c r="C993" s="36"/>
    </row>
    <row r="994">
      <c r="C994" s="36"/>
    </row>
    <row r="995">
      <c r="C995" s="36"/>
    </row>
    <row r="996">
      <c r="C996" s="36"/>
    </row>
    <row r="997">
      <c r="C997" s="36"/>
    </row>
    <row r="998">
      <c r="C998" s="36"/>
    </row>
    <row r="999">
      <c r="C999" s="36"/>
    </row>
    <row r="1000">
      <c r="C1000" s="36"/>
    </row>
  </sheetData>
  <conditionalFormatting sqref="J2:J101">
    <cfRule type="cellIs" dxfId="0" priority="1" operator="equal">
      <formula>"Update GTT Order"</formula>
    </cfRule>
  </conditionalFormatting>
  <conditionalFormatting sqref="J1:J1000">
    <cfRule type="cellIs" dxfId="0" priority="2" operator="equal">
      <formula>"Start GTT Order"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10" max="10" width="24.88"/>
  </cols>
  <sheetData>
    <row r="1">
      <c r="A1" s="53"/>
      <c r="B1" s="54" t="s">
        <v>17</v>
      </c>
      <c r="C1" s="55" t="s">
        <v>18</v>
      </c>
      <c r="D1" s="23" t="s">
        <v>19</v>
      </c>
      <c r="E1" s="24" t="s">
        <v>20</v>
      </c>
      <c r="F1" s="25" t="s">
        <v>21</v>
      </c>
      <c r="G1" s="25" t="s">
        <v>22</v>
      </c>
      <c r="H1" s="56" t="s">
        <v>23</v>
      </c>
      <c r="I1" s="57" t="s">
        <v>24</v>
      </c>
      <c r="J1" s="57" t="s">
        <v>209</v>
      </c>
    </row>
    <row r="2">
      <c r="A2" s="58" t="s">
        <v>171</v>
      </c>
      <c r="B2" s="59">
        <f>IFERROR(__xludf.DUMMYFUNCTION("GOOGLEFINANCE(A2,""price"")"),971.1)</f>
        <v>971.1</v>
      </c>
      <c r="C2" s="60">
        <f>IFERROR(__xludf.DUMMYFUNCTION("MAX(QUERY(SORT(GOOGLEFINANCE(A2,""high"",TODAY()-100,TODAY()),1,0),""select Col2 limit 55""))"),1183.2)</f>
        <v>1183.2</v>
      </c>
      <c r="D2" s="32">
        <f>IFERROR(__xludf.DUMMYFUNCTION("GOOGLEFINANCE(A2,""high52"")"),1234.7)</f>
        <v>1234.7</v>
      </c>
      <c r="E2" s="33">
        <f>IFERROR(__xludf.DUMMYFUNCTION("to_date(index(sort(GOOGLEFINANCE(A2, ""high"", today()-52*7, today(), ""DAILY""),2,0),2,1))"),46077.64583333333)</f>
        <v>46077.64583</v>
      </c>
      <c r="F2" s="32">
        <f>IFERROR(__xludf.DUMMYFUNCTION("GOOGLEFINANCE(A2,""low52"")"),781.7)</f>
        <v>781.7</v>
      </c>
      <c r="G2" s="33">
        <f>IFERROR(__xludf.DUMMYFUNCTION("to_date(index(sort(GOOGLEFINANCE(A2, ""low"", today()-52*7, today(), ""DAILY""),2,1),1,1))"),45827.64583333333)</f>
        <v>45827.64583</v>
      </c>
      <c r="H2" s="61">
        <f>IFERROR(__xludf.DUMMYFUNCTION("MIN(QUERY(SORT(GOOGLEFINANCE(A2,""low"",TODAY()-40,TODAY()),1,0),""select Col2 limit 20""))"),933.9)</f>
        <v>933.9</v>
      </c>
      <c r="I2" s="61">
        <f t="shared" ref="I2:I200" si="1">(C2-B2)*100/B2</f>
        <v>21.841211</v>
      </c>
      <c r="J2" s="35" t="str">
        <f t="shared" ref="J2:J200" si="2">if(AND(G2&gt;E2,I2&gt;=10,I2&lt;=20),"Start GTT Order","No need to fresh start")</f>
        <v>No need to fresh start</v>
      </c>
    </row>
    <row r="3">
      <c r="A3" s="62" t="s">
        <v>210</v>
      </c>
      <c r="B3" s="59">
        <f>IFERROR(__xludf.DUMMYFUNCTION("GOOGLEFINANCE(A3,""price"")"),65.05)</f>
        <v>65.05</v>
      </c>
      <c r="C3" s="60">
        <f>IFERROR(__xludf.DUMMYFUNCTION("MAX(QUERY(SORT(GOOGLEFINANCE(A3,""high"",TODAY()-100,TODAY()),1,0),""select Col2 limit 55""))"),69.09)</f>
        <v>69.09</v>
      </c>
      <c r="D3" s="32">
        <f>IFERROR(__xludf.DUMMYFUNCTION("GOOGLEFINANCE(A3,""high52"")"),94.95)</f>
        <v>94.95</v>
      </c>
      <c r="E3" s="33">
        <f>IFERROR(__xludf.DUMMYFUNCTION("to_date(index(sort(GOOGLEFINANCE(A3, ""high"", today()-52*7, today(), ""DAILY""),2,0),2,1))"),45922.64583333333)</f>
        <v>45922.64583</v>
      </c>
      <c r="F3" s="32">
        <f>IFERROR(__xludf.DUMMYFUNCTION("GOOGLEFINANCE(A3,""low52"")"),53.51)</f>
        <v>53.51</v>
      </c>
      <c r="G3" s="33">
        <f>IFERROR(__xludf.DUMMYFUNCTION("to_date(index(sort(GOOGLEFINANCE(A3, ""low"", today()-52*7, today(), ""DAILY""),2,1),1,1))"),46111.64583333333)</f>
        <v>46111.64583</v>
      </c>
      <c r="H3" s="61">
        <f>IFERROR(__xludf.DUMMYFUNCTION("MIN(QUERY(SORT(GOOGLEFINANCE(A3,""low"",TODAY()-40,TODAY()),1,0),""select Col2 limit 20""))"),60.52)</f>
        <v>60.52</v>
      </c>
      <c r="I3" s="61">
        <f t="shared" si="1"/>
        <v>6.210607225</v>
      </c>
      <c r="J3" s="35" t="str">
        <f t="shared" si="2"/>
        <v>No need to fresh start</v>
      </c>
    </row>
    <row r="4">
      <c r="A4" s="62" t="s">
        <v>177</v>
      </c>
      <c r="B4" s="59">
        <f>IFERROR(__xludf.DUMMYFUNCTION("GOOGLEFINANCE(A4,""price"")"),217.26)</f>
        <v>217.26</v>
      </c>
      <c r="C4" s="60">
        <f>IFERROR(__xludf.DUMMYFUNCTION("MAX(QUERY(SORT(GOOGLEFINANCE(A4,""high"",TODAY()-100,TODAY()),1,0),""select Col2 limit 55""))"),224.4)</f>
        <v>224.4</v>
      </c>
      <c r="D4" s="32">
        <f>IFERROR(__xludf.DUMMYFUNCTION("GOOGLEFINANCE(A4,""high52"")"),224.4)</f>
        <v>224.4</v>
      </c>
      <c r="E4" s="33">
        <f>IFERROR(__xludf.DUMMYFUNCTION("to_date(index(sort(GOOGLEFINANCE(A4, ""high"", today()-52*7, today(), ""DAILY""),2,0),2,1))"),46157.64583333333)</f>
        <v>46157.64583</v>
      </c>
      <c r="F4" s="32">
        <f>IFERROR(__xludf.DUMMYFUNCTION("GOOGLEFINANCE(A4,""low52"")"),149.8)</f>
        <v>149.8</v>
      </c>
      <c r="G4" s="33">
        <f>IFERROR(__xludf.DUMMYFUNCTION("to_date(index(sort(GOOGLEFINANCE(A4, ""low"", today()-52*7, today(), ""DAILY""),2,1),1,1))"),45821.64583333333)</f>
        <v>45821.64583</v>
      </c>
      <c r="H4" s="61">
        <f>IFERROR(__xludf.DUMMYFUNCTION("MIN(QUERY(SORT(GOOGLEFINANCE(A4,""low"",TODAY()-40,TODAY()),1,0),""select Col2 limit 20""))"),203.04)</f>
        <v>203.04</v>
      </c>
      <c r="I4" s="61">
        <f t="shared" si="1"/>
        <v>3.286384977</v>
      </c>
      <c r="J4" s="35" t="str">
        <f t="shared" si="2"/>
        <v>No need to fresh start</v>
      </c>
    </row>
    <row r="5">
      <c r="A5" s="62" t="s">
        <v>150</v>
      </c>
      <c r="B5" s="59">
        <f>IFERROR(__xludf.DUMMYFUNCTION("GOOGLEFINANCE(A5,""price"")"),6783.0)</f>
        <v>6783</v>
      </c>
      <c r="C5" s="60">
        <f>IFERROR(__xludf.DUMMYFUNCTION("MAX(QUERY(SORT(GOOGLEFINANCE(A5,""high"",TODAY()-100,TODAY()),1,0),""select Col2 limit 55""))"),6968.0)</f>
        <v>6968</v>
      </c>
      <c r="D5" s="32">
        <f>IFERROR(__xludf.DUMMYFUNCTION("GOOGLEFINANCE(A5,""high52"")"),7071.5)</f>
        <v>7071.5</v>
      </c>
      <c r="E5" s="33">
        <f>IFERROR(__xludf.DUMMYFUNCTION("to_date(index(sort(GOOGLEFINANCE(A5, ""high"", today()-52*7, today(), ""DAILY""),2,0),2,1))"),45846.64583333333)</f>
        <v>45846.64583</v>
      </c>
      <c r="F5" s="32">
        <f>IFERROR(__xludf.DUMMYFUNCTION("GOOGLEFINANCE(A5,""low52"")"),5636.5)</f>
        <v>5636.5</v>
      </c>
      <c r="G5" s="33">
        <f>IFERROR(__xludf.DUMMYFUNCTION("to_date(index(sort(GOOGLEFINANCE(A5, ""low"", today()-52*7, today(), ""DAILY""),2,1),1,1))"),45929.64583333333)</f>
        <v>45929.64583</v>
      </c>
      <c r="H5" s="61">
        <f>IFERROR(__xludf.DUMMYFUNCTION("MIN(QUERY(SORT(GOOGLEFINANCE(A5,""low"",TODAY()-40,TODAY()),1,0),""select Col2 limit 20""))"),6416.5)</f>
        <v>6416.5</v>
      </c>
      <c r="I5" s="61">
        <f t="shared" si="1"/>
        <v>2.727406752</v>
      </c>
      <c r="J5" s="35" t="str">
        <f t="shared" si="2"/>
        <v>No need to fresh start</v>
      </c>
    </row>
    <row r="6">
      <c r="A6" s="62" t="s">
        <v>211</v>
      </c>
      <c r="B6" s="59">
        <f>IFERROR(__xludf.DUMMYFUNCTION("GOOGLEFINANCE(A6,""price"")"),1799.0)</f>
        <v>1799</v>
      </c>
      <c r="C6" s="60">
        <f>IFERROR(__xludf.DUMMYFUNCTION("MAX(QUERY(SORT(GOOGLEFINANCE(A6,""high"",TODAY()-100,TODAY()),1,0),""select Col2 limit 55""))"),1951.9)</f>
        <v>1951.9</v>
      </c>
      <c r="D6" s="32">
        <f>IFERROR(__xludf.DUMMYFUNCTION("GOOGLEFINANCE(A6,""high52"")"),2506.5)</f>
        <v>2506.5</v>
      </c>
      <c r="E6" s="33">
        <f>IFERROR(__xludf.DUMMYFUNCTION("to_date(index(sort(GOOGLEFINANCE(A6, ""high"", today()-52*7, today(), ""DAILY""),2,0),2,1))"),45818.64583333333)</f>
        <v>45818.64583</v>
      </c>
      <c r="F6" s="32">
        <f>IFERROR(__xludf.DUMMYFUNCTION("GOOGLEFINANCE(A6,""low52"")"),1434.0)</f>
        <v>1434</v>
      </c>
      <c r="G6" s="33">
        <f>IFERROR(__xludf.DUMMYFUNCTION("to_date(index(sort(GOOGLEFINANCE(A6, ""low"", today()-52*7, today(), ""DAILY""),2,1),1,1))"),46114.64583333333)</f>
        <v>46114.64583</v>
      </c>
      <c r="H6" s="61">
        <f>IFERROR(__xludf.DUMMYFUNCTION("MIN(QUERY(SORT(GOOGLEFINANCE(A6,""low"",TODAY()-40,TODAY()),1,0),""select Col2 limit 20""))"),1644.3)</f>
        <v>1644.3</v>
      </c>
      <c r="I6" s="61">
        <f t="shared" si="1"/>
        <v>8.499166203</v>
      </c>
      <c r="J6" s="35" t="str">
        <f t="shared" si="2"/>
        <v>No need to fresh start</v>
      </c>
    </row>
    <row r="7">
      <c r="A7" s="62" t="s">
        <v>212</v>
      </c>
      <c r="B7" s="59">
        <f>IFERROR(__xludf.DUMMYFUNCTION("GOOGLEFINANCE(A7,""price"")"),22.86)</f>
        <v>22.86</v>
      </c>
      <c r="C7" s="60">
        <f>IFERROR(__xludf.DUMMYFUNCTION("MAX(QUERY(SORT(GOOGLEFINANCE(A7,""high"",TODAY()-100,TODAY()),1,0),""select Col2 limit 55""))"),23.18)</f>
        <v>23.18</v>
      </c>
      <c r="D7" s="32">
        <f>IFERROR(__xludf.DUMMYFUNCTION("GOOGLEFINANCE(A7,""high52"")"),24.3)</f>
        <v>24.3</v>
      </c>
      <c r="E7" s="33">
        <f>IFERROR(__xludf.DUMMYFUNCTION("to_date(index(sort(GOOGLEFINANCE(A7, ""high"", today()-52*7, today(), ""DAILY""),2,0),2,1))"),45940.64583333333)</f>
        <v>45940.64583</v>
      </c>
      <c r="F7" s="32">
        <f>IFERROR(__xludf.DUMMYFUNCTION("GOOGLEFINANCE(A7,""low52"")"),17.2)</f>
        <v>17.2</v>
      </c>
      <c r="G7" s="33">
        <f>IFERROR(__xludf.DUMMYFUNCTION("to_date(index(sort(GOOGLEFINANCE(A7, ""low"", today()-52*7, today(), ""DAILY""),2,1),1,1))"),46111.64583333333)</f>
        <v>46111.64583</v>
      </c>
      <c r="H7" s="61">
        <f>IFERROR(__xludf.DUMMYFUNCTION("MIN(QUERY(SORT(GOOGLEFINANCE(A7,""low"",TODAY()-40,TODAY()),1,0),""select Col2 limit 20""))"),19.76)</f>
        <v>19.76</v>
      </c>
      <c r="I7" s="61">
        <f t="shared" si="1"/>
        <v>1.399825022</v>
      </c>
      <c r="J7" s="35" t="str">
        <f t="shared" si="2"/>
        <v>No need to fresh start</v>
      </c>
    </row>
    <row r="8">
      <c r="A8" s="62" t="s">
        <v>213</v>
      </c>
      <c r="B8" s="59">
        <f>IFERROR(__xludf.DUMMYFUNCTION("GOOGLEFINANCE(A8,""price"")"),1238.0)</f>
        <v>1238</v>
      </c>
      <c r="C8" s="60">
        <f>IFERROR(__xludf.DUMMYFUNCTION("MAX(QUERY(SORT(GOOGLEFINANCE(A8,""high"",TODAY()-100,TODAY()),1,0),""select Col2 limit 55""))"),1306.2)</f>
        <v>1306.2</v>
      </c>
      <c r="D8" s="32">
        <f>IFERROR(__xludf.DUMMYFUNCTION("GOOGLEFINANCE(A8,""high52"")"),1306.2)</f>
        <v>1306.2</v>
      </c>
      <c r="E8" s="33">
        <f>IFERROR(__xludf.DUMMYFUNCTION("to_date(index(sort(GOOGLEFINANCE(A8, ""high"", today()-52*7, today(), ""DAILY""),2,0),2,1))"),46133.64583333333)</f>
        <v>46133.64583</v>
      </c>
      <c r="F8" s="32">
        <f>IFERROR(__xludf.DUMMYFUNCTION("GOOGLEFINANCE(A8,""low52"")"),882.65)</f>
        <v>882.65</v>
      </c>
      <c r="G8" s="33">
        <f>IFERROR(__xludf.DUMMYFUNCTION("to_date(index(sort(GOOGLEFINANCE(A8, ""low"", today()-52*7, today(), ""DAILY""),2,1),1,1))"),45827.64583333333)</f>
        <v>45827.64583</v>
      </c>
      <c r="H8" s="61">
        <f>IFERROR(__xludf.DUMMYFUNCTION("MIN(QUERY(SORT(GOOGLEFINANCE(A8,""low"",TODAY()-40,TODAY()),1,0),""select Col2 limit 20""))"),1192.3)</f>
        <v>1192.3</v>
      </c>
      <c r="I8" s="61">
        <f t="shared" si="1"/>
        <v>5.508885299</v>
      </c>
      <c r="J8" s="35" t="str">
        <f t="shared" si="2"/>
        <v>No need to fresh start</v>
      </c>
    </row>
    <row r="9">
      <c r="A9" s="62" t="s">
        <v>204</v>
      </c>
      <c r="B9" s="59">
        <f>IFERROR(__xludf.DUMMYFUNCTION("GOOGLEFINANCE(A9,""price"")"),389.05)</f>
        <v>389.05</v>
      </c>
      <c r="C9" s="60">
        <f>IFERROR(__xludf.DUMMYFUNCTION("MAX(QUERY(SORT(GOOGLEFINANCE(A9,""high"",TODAY()-100,TODAY()),1,0),""select Col2 limit 55""))"),410.5)</f>
        <v>410.5</v>
      </c>
      <c r="D9" s="32">
        <f>IFERROR(__xludf.DUMMYFUNCTION("GOOGLEFINANCE(A9,""high52"")"),453.2)</f>
        <v>453.2</v>
      </c>
      <c r="E9" s="33">
        <f>IFERROR(__xludf.DUMMYFUNCTION("to_date(index(sort(GOOGLEFINANCE(A9, ""high"", today()-52*7, today(), ""DAILY""),2,0),2,1))"),45950.64583333333)</f>
        <v>45950.64583</v>
      </c>
      <c r="F9" s="32">
        <f>IFERROR(__xludf.DUMMYFUNCTION("GOOGLEFINANCE(A9,""low52"")"),345.5)</f>
        <v>345.5</v>
      </c>
      <c r="G9" s="33">
        <f>IFERROR(__xludf.DUMMYFUNCTION("to_date(index(sort(GOOGLEFINANCE(A9, ""low"", today()-52*7, today(), ""DAILY""),2,1),1,1))"),46114.64583333333)</f>
        <v>46114.64583</v>
      </c>
      <c r="H9" s="61">
        <f>IFERROR(__xludf.DUMMYFUNCTION("MIN(QUERY(SORT(GOOGLEFINANCE(A9,""low"",TODAY()-40,TODAY()),1,0),""select Col2 limit 20""))"),363.0)</f>
        <v>363</v>
      </c>
      <c r="I9" s="61">
        <f t="shared" si="1"/>
        <v>5.51343015</v>
      </c>
      <c r="J9" s="35" t="str">
        <f t="shared" si="2"/>
        <v>No need to fresh start</v>
      </c>
    </row>
    <row r="10">
      <c r="A10" s="62" t="s">
        <v>77</v>
      </c>
      <c r="B10" s="59">
        <f>IFERROR(__xludf.DUMMYFUNCTION("GOOGLEFINANCE(A10,""price"")"),145.91)</f>
        <v>145.91</v>
      </c>
      <c r="C10" s="60">
        <f>IFERROR(__xludf.DUMMYFUNCTION("MAX(QUERY(SORT(GOOGLEFINANCE(A10,""high"",TODAY()-100,TODAY()),1,0),""select Col2 limit 55""))"),169.03)</f>
        <v>169.03</v>
      </c>
      <c r="D10" s="32">
        <f>IFERROR(__xludf.DUMMYFUNCTION("GOOGLEFINANCE(A10,""high52"")"),178.36)</f>
        <v>178.36</v>
      </c>
      <c r="E10" s="33">
        <f>IFERROR(__xludf.DUMMYFUNCTION("to_date(index(sort(GOOGLEFINANCE(A10, ""high"", today()-52*7, today(), ""DAILY""),2,0),2,1))"),46080.64583333333)</f>
        <v>46080.64583</v>
      </c>
      <c r="F10" s="32">
        <f>IFERROR(__xludf.DUMMYFUNCTION("GOOGLEFINANCE(A10,""low52"")"),108.81)</f>
        <v>108.81</v>
      </c>
      <c r="G10" s="33">
        <f>IFERROR(__xludf.DUMMYFUNCTION("to_date(index(sort(GOOGLEFINANCE(A10, ""low"", today()-52*7, today(), ""DAILY""),2,1),1,1))"),45870.64583333333)</f>
        <v>45870.64583</v>
      </c>
      <c r="H10" s="61">
        <f>IFERROR(__xludf.DUMMYFUNCTION("MIN(QUERY(SORT(GOOGLEFINANCE(A10,""low"",TODAY()-40,TODAY()),1,0),""select Col2 limit 20""))"),136.5)</f>
        <v>136.5</v>
      </c>
      <c r="I10" s="61">
        <f t="shared" si="1"/>
        <v>15.84538414</v>
      </c>
      <c r="J10" s="35" t="str">
        <f t="shared" si="2"/>
        <v>No need to fresh start</v>
      </c>
    </row>
    <row r="11">
      <c r="A11" s="62" t="s">
        <v>136</v>
      </c>
      <c r="B11" s="59">
        <f>IFERROR(__xludf.DUMMYFUNCTION("GOOGLEFINANCE(A11,""price"")"),4466.4)</f>
        <v>4466.4</v>
      </c>
      <c r="C11" s="60">
        <f>IFERROR(__xludf.DUMMYFUNCTION("MAX(QUERY(SORT(GOOGLEFINANCE(A11,""high"",TODAY()-100,TODAY()),1,0),""select Col2 limit 55""))"),4712.9)</f>
        <v>4712.9</v>
      </c>
      <c r="D11" s="32">
        <f>IFERROR(__xludf.DUMMYFUNCTION("GOOGLEFINANCE(A11,""high52"")"),4712.9)</f>
        <v>4712.9</v>
      </c>
      <c r="E11" s="33">
        <f>IFERROR(__xludf.DUMMYFUNCTION("to_date(index(sort(GOOGLEFINANCE(A11, ""high"", today()-52*7, today(), ""DAILY""),2,0),2,1))"),46167.64583333333)</f>
        <v>46167.64583</v>
      </c>
      <c r="F11" s="32">
        <f>IFERROR(__xludf.DUMMYFUNCTION("GOOGLEFINANCE(A11,""low52"")"),3102.0)</f>
        <v>3102</v>
      </c>
      <c r="G11" s="33">
        <f>IFERROR(__xludf.DUMMYFUNCTION("to_date(index(sort(GOOGLEFINANCE(A11, ""low"", today()-52*7, today(), ""DAILY""),2,1),1,1))"),45810.64583333333)</f>
        <v>45810.64583</v>
      </c>
      <c r="H11" s="61">
        <f>IFERROR(__xludf.DUMMYFUNCTION("MIN(QUERY(SORT(GOOGLEFINANCE(A11,""low"",TODAY()-40,TODAY()),1,0),""select Col2 limit 20""))"),4146.1)</f>
        <v>4146.1</v>
      </c>
      <c r="I11" s="61">
        <f t="shared" si="1"/>
        <v>5.518986208</v>
      </c>
      <c r="J11" s="35" t="str">
        <f t="shared" si="2"/>
        <v>No need to fresh start</v>
      </c>
    </row>
    <row r="12">
      <c r="A12" s="62" t="s">
        <v>214</v>
      </c>
      <c r="B12" s="59">
        <f>IFERROR(__xludf.DUMMYFUNCTION("GOOGLEFINANCE(A12,""price"")"),3518.1)</f>
        <v>3518.1</v>
      </c>
      <c r="C12" s="60">
        <f>IFERROR(__xludf.DUMMYFUNCTION("MAX(QUERY(SORT(GOOGLEFINANCE(A12,""high"",TODAY()-100,TODAY()),1,0),""select Col2 limit 55""))"),3847.9)</f>
        <v>3847.9</v>
      </c>
      <c r="D12" s="32">
        <f>IFERROR(__xludf.DUMMYFUNCTION("GOOGLEFINANCE(A12,""high52"")"),4726.0)</f>
        <v>4726</v>
      </c>
      <c r="E12" s="33">
        <f>IFERROR(__xludf.DUMMYFUNCTION("to_date(index(sort(GOOGLEFINANCE(A12, ""high"", today()-52*7, today(), ""DAILY""),2,0),2,1))"),45995.64583333333)</f>
        <v>45995.64583</v>
      </c>
      <c r="F12" s="32">
        <f>IFERROR(__xludf.DUMMYFUNCTION("GOOGLEFINANCE(A12,""low52"")"),3010.0)</f>
        <v>3010</v>
      </c>
      <c r="G12" s="33">
        <f>IFERROR(__xludf.DUMMYFUNCTION("to_date(index(sort(GOOGLEFINANCE(A12, ""low"", today()-52*7, today(), ""DAILY""),2,1),1,1))"),46094.64583333333)</f>
        <v>46094.64583</v>
      </c>
      <c r="H12" s="61">
        <f>IFERROR(__xludf.DUMMYFUNCTION("MIN(QUERY(SORT(GOOGLEFINANCE(A12,""low"",TODAY()-40,TODAY()),1,0),""select Col2 limit 20""))"),3407.0)</f>
        <v>3407</v>
      </c>
      <c r="I12" s="61">
        <f t="shared" si="1"/>
        <v>9.374378216</v>
      </c>
      <c r="J12" s="35" t="str">
        <f t="shared" si="2"/>
        <v>No need to fresh start</v>
      </c>
    </row>
    <row r="13">
      <c r="A13" s="62" t="s">
        <v>134</v>
      </c>
      <c r="B13" s="59" t="str">
        <f>IFERROR(__xludf.DUMMYFUNCTION("GOOGLEFINANCE(A13,""price"")"),"#N/A")</f>
        <v>#N/A</v>
      </c>
      <c r="C13" s="60" t="str">
        <f>IFERROR(__xludf.DUMMYFUNCTION("MAX(QUERY(SORT(GOOGLEFINANCE(A13,""high"",TODAY()-100,TODAY()),1,0),""select Col2 limit 55""))"),"#N/A")</f>
        <v>#N/A</v>
      </c>
      <c r="D13" s="32" t="str">
        <f>IFERROR(__xludf.DUMMYFUNCTION("GOOGLEFINANCE(A13,""high52"")"),"#N/A")</f>
        <v>#N/A</v>
      </c>
      <c r="E13" s="33" t="str">
        <f>IFERROR(__xludf.DUMMYFUNCTION("to_date(index(sort(GOOGLEFINANCE(A13, ""high"", today()-52*7, today(), ""DAILY""),2,0),2,1))"),"#N/A")</f>
        <v>#N/A</v>
      </c>
      <c r="F13" s="32" t="str">
        <f>IFERROR(__xludf.DUMMYFUNCTION("GOOGLEFINANCE(A13,""low52"")"),"#N/A")</f>
        <v>#N/A</v>
      </c>
      <c r="G13" s="33" t="str">
        <f>IFERROR(__xludf.DUMMYFUNCTION("to_date(index(sort(GOOGLEFINANCE(A13, ""low"", today()-52*7, today(), ""DAILY""),2,1),1,1))"),"#N/A")</f>
        <v>#N/A</v>
      </c>
      <c r="H13" s="61" t="str">
        <f>IFERROR(__xludf.DUMMYFUNCTION("MIN(QUERY(SORT(GOOGLEFINANCE(A13,""low"",TODAY()-40,TODAY()),1,0),""select Col2 limit 20""))"),"#N/A")</f>
        <v>#N/A</v>
      </c>
      <c r="I13" s="61" t="str">
        <f t="shared" si="1"/>
        <v>#N/A</v>
      </c>
      <c r="J13" s="35" t="str">
        <f t="shared" si="2"/>
        <v>#N/A</v>
      </c>
    </row>
    <row r="14">
      <c r="A14" s="62" t="s">
        <v>87</v>
      </c>
      <c r="B14" s="59">
        <f>IFERROR(__xludf.DUMMYFUNCTION("GOOGLEFINANCE(A14,""price"")"),419.85)</f>
        <v>419.85</v>
      </c>
      <c r="C14" s="60">
        <f>IFERROR(__xludf.DUMMYFUNCTION("MAX(QUERY(SORT(GOOGLEFINANCE(A14,""high"",TODAY()-100,TODAY()),1,0),""select Col2 limit 55""))"),420.95)</f>
        <v>420.95</v>
      </c>
      <c r="D14" s="32">
        <f>IFERROR(__xludf.DUMMYFUNCTION("GOOGLEFINANCE(A14,""high52"")"),423.2)</f>
        <v>423.2</v>
      </c>
      <c r="E14" s="33">
        <f>IFERROR(__xludf.DUMMYFUNCTION("to_date(index(sort(GOOGLEFINANCE(A14, ""high"", today()-52*7, today(), ""DAILY""),2,0),2,1))"),46167.64583333333)</f>
        <v>46167.64583</v>
      </c>
      <c r="F14" s="32">
        <f>IFERROR(__xludf.DUMMYFUNCTION("GOOGLEFINANCE(A14,""low52"")"),205.12)</f>
        <v>205.12</v>
      </c>
      <c r="G14" s="63" t="s">
        <v>215</v>
      </c>
      <c r="H14" s="61">
        <f>IFERROR(__xludf.DUMMYFUNCTION("MIN(QUERY(SORT(GOOGLEFINANCE(A14,""low"",TODAY()-40,TODAY()),1,0),""select Col2 limit 20""))"),342.04)</f>
        <v>342.04</v>
      </c>
      <c r="I14" s="61">
        <f t="shared" si="1"/>
        <v>0.2619983327</v>
      </c>
      <c r="J14" s="35" t="str">
        <f t="shared" si="2"/>
        <v>No need to fresh start</v>
      </c>
    </row>
    <row r="15">
      <c r="A15" s="62" t="s">
        <v>161</v>
      </c>
      <c r="B15" s="59">
        <f>IFERROR(__xludf.DUMMYFUNCTION("GOOGLEFINANCE(A15,""price"")"),1329.1)</f>
        <v>1329.1</v>
      </c>
      <c r="C15" s="60">
        <f>IFERROR(__xludf.DUMMYFUNCTION("MAX(QUERY(SORT(GOOGLEFINANCE(A15,""high"",TODAY()-100,TODAY()),1,0),""select Col2 limit 55""))"),1375.9)</f>
        <v>1375.9</v>
      </c>
      <c r="D15" s="32">
        <f>IFERROR(__xludf.DUMMYFUNCTION("GOOGLEFINANCE(A15,""high52"")"),1379.7)</f>
        <v>1379.7</v>
      </c>
      <c r="E15" s="33">
        <f>IFERROR(__xludf.DUMMYFUNCTION("to_date(index(sort(GOOGLEFINANCE(A15, ""high"", today()-52*7, today(), ""DAILY""),2,0),2,1))"),45820.64583333333)</f>
        <v>45820.64583</v>
      </c>
      <c r="F15" s="32">
        <f>IFERROR(__xludf.DUMMYFUNCTION("GOOGLEFINANCE(A15,""low52"")"),1148.4)</f>
        <v>1148.4</v>
      </c>
      <c r="G15" s="33">
        <f>IFERROR(__xludf.DUMMYFUNCTION("to_date(index(sort(GOOGLEFINANCE(A15, ""low"", today()-52*7, today(), ""DAILY""),2,1),1,1))"),46043.64583333333)</f>
        <v>46043.64583</v>
      </c>
      <c r="H15" s="61">
        <f>IFERROR(__xludf.DUMMYFUNCTION("MIN(QUERY(SORT(GOOGLEFINANCE(A15,""low"",TODAY()-40,TODAY()),1,0),""select Col2 limit 20""))"),1230.0)</f>
        <v>1230</v>
      </c>
      <c r="I15" s="61">
        <f t="shared" si="1"/>
        <v>3.521179746</v>
      </c>
      <c r="J15" s="35" t="str">
        <f t="shared" si="2"/>
        <v>No need to fresh start</v>
      </c>
    </row>
    <row r="16">
      <c r="A16" s="62" t="s">
        <v>216</v>
      </c>
      <c r="B16" s="59">
        <f>IFERROR(__xludf.DUMMYFUNCTION("GOOGLEFINANCE(A16,""price"")"),4258.7)</f>
        <v>4258.7</v>
      </c>
      <c r="C16" s="60">
        <f>IFERROR(__xludf.DUMMYFUNCTION("MAX(QUERY(SORT(GOOGLEFINANCE(A16,""high"",TODAY()-100,TODAY()),1,0),""select Col2 limit 55""))"),4498.0)</f>
        <v>4498</v>
      </c>
      <c r="D16" s="32">
        <f>IFERROR(__xludf.DUMMYFUNCTION("GOOGLEFINANCE(A16,""high52"")"),6261.0)</f>
        <v>6261</v>
      </c>
      <c r="E16" s="33">
        <f>IFERROR(__xludf.DUMMYFUNCTION("to_date(index(sort(GOOGLEFINANCE(A16, ""high"", today()-52*7, today(), ""DAILY""),2,0),2,1))"),45838.64583333333)</f>
        <v>45838.64583</v>
      </c>
      <c r="F16" s="32">
        <f>IFERROR(__xludf.DUMMYFUNCTION("GOOGLEFINANCE(A16,""low52"")"),3275.5)</f>
        <v>3275.5</v>
      </c>
      <c r="G16" s="33">
        <f>IFERROR(__xludf.DUMMYFUNCTION("to_date(index(sort(GOOGLEFINANCE(A16, ""low"", today()-52*7, today(), ""DAILY""),2,1),1,1))"),46111.64583333333)</f>
        <v>46111.64583</v>
      </c>
      <c r="H16" s="61">
        <f>IFERROR(__xludf.DUMMYFUNCTION("MIN(QUERY(SORT(GOOGLEFINANCE(A16,""low"",TODAY()-40,TODAY()),1,0),""select Col2 limit 20""))"),3980.6)</f>
        <v>3980.6</v>
      </c>
      <c r="I16" s="61">
        <f t="shared" si="1"/>
        <v>5.619085636</v>
      </c>
      <c r="J16" s="35" t="str">
        <f t="shared" si="2"/>
        <v>No need to fresh start</v>
      </c>
    </row>
    <row r="17">
      <c r="A17" s="62" t="s">
        <v>198</v>
      </c>
      <c r="B17" s="59">
        <f>IFERROR(__xludf.DUMMYFUNCTION("GOOGLEFINANCE(A17,""price"")"),11665.0)</f>
        <v>11665</v>
      </c>
      <c r="C17" s="60">
        <f>IFERROR(__xludf.DUMMYFUNCTION("MAX(QUERY(SORT(GOOGLEFINANCE(A17,""high"",TODAY()-100,TODAY()),1,0),""select Col2 limit 55""))"),12500.0)</f>
        <v>12500</v>
      </c>
      <c r="D17" s="32">
        <f>IFERROR(__xludf.DUMMYFUNCTION("GOOGLEFINANCE(A17,""high52"")"),13110.0)</f>
        <v>13110</v>
      </c>
      <c r="E17" s="33">
        <f>IFERROR(__xludf.DUMMYFUNCTION("to_date(index(sort(GOOGLEFINANCE(A17, ""high"", today()-52*7, today(), ""DAILY""),2,0),2,1))"),46063.64583333333)</f>
        <v>46063.64583</v>
      </c>
      <c r="F17" s="32">
        <f>IFERROR(__xludf.DUMMYFUNCTION("GOOGLEFINANCE(A17,""low52"")"),10325.0)</f>
        <v>10325</v>
      </c>
      <c r="G17" s="33">
        <f>IFERROR(__xludf.DUMMYFUNCTION("to_date(index(sort(GOOGLEFINANCE(A17, ""low"", today()-52*7, today(), ""DAILY""),2,1),1,1))"),46104.64583333333)</f>
        <v>46104.64583</v>
      </c>
      <c r="H17" s="61">
        <f>IFERROR(__xludf.DUMMYFUNCTION("MIN(QUERY(SORT(GOOGLEFINANCE(A17,""low"",TODAY()-40,TODAY()),1,0),""select Col2 limit 20""))"),11211.0)</f>
        <v>11211</v>
      </c>
      <c r="I17" s="61">
        <f t="shared" si="1"/>
        <v>7.158165452</v>
      </c>
      <c r="J17" s="35" t="str">
        <f t="shared" si="2"/>
        <v>No need to fresh start</v>
      </c>
    </row>
    <row r="18">
      <c r="A18" s="62" t="s">
        <v>42</v>
      </c>
      <c r="B18" s="59">
        <f>IFERROR(__xludf.DUMMYFUNCTION("GOOGLEFINANCE(A18,""price"")"),525.9)</f>
        <v>525.9</v>
      </c>
      <c r="C18" s="60">
        <f>IFERROR(__xludf.DUMMYFUNCTION("MAX(QUERY(SORT(GOOGLEFINANCE(A18,""high"",TODAY()-100,TODAY()),1,0),""select Col2 limit 55""))"),581.3)</f>
        <v>581.3</v>
      </c>
      <c r="D18" s="32">
        <f>IFERROR(__xludf.DUMMYFUNCTION("GOOGLEFINANCE(A18,""high52"")"),800.0)</f>
        <v>800</v>
      </c>
      <c r="E18" s="33">
        <f>IFERROR(__xludf.DUMMYFUNCTION("to_date(index(sort(GOOGLEFINANCE(A18, ""high"", today()-52*7, today(), ""DAILY""),2,0),2,1))"),45806.64583333333)</f>
        <v>45806.64583</v>
      </c>
      <c r="F18" s="32">
        <f>IFERROR(__xludf.DUMMYFUNCTION("GOOGLEFINANCE(A18,""low52"")"),492.65)</f>
        <v>492.65</v>
      </c>
      <c r="G18" s="33">
        <f>IFERROR(__xludf.DUMMYFUNCTION("to_date(index(sort(GOOGLEFINANCE(A18, ""low"", today()-52*7, today(), ""DAILY""),2,1),1,1))"),46111.64583333333)</f>
        <v>46111.64583</v>
      </c>
      <c r="H18" s="61">
        <f>IFERROR(__xludf.DUMMYFUNCTION("MIN(QUERY(SORT(GOOGLEFINANCE(A18,""low"",TODAY()-40,TODAY()),1,0),""select Col2 limit 20""))"),523.0)</f>
        <v>523</v>
      </c>
      <c r="I18" s="61">
        <f t="shared" si="1"/>
        <v>10.53432211</v>
      </c>
      <c r="J18" s="35" t="str">
        <f t="shared" si="2"/>
        <v>Start GTT Order</v>
      </c>
    </row>
    <row r="19">
      <c r="A19" s="62" t="s">
        <v>142</v>
      </c>
      <c r="B19" s="59">
        <f>IFERROR(__xludf.DUMMYFUNCTION("GOOGLEFINANCE(A19,""price"")"),2251.3)</f>
        <v>2251.3</v>
      </c>
      <c r="C19" s="60">
        <f>IFERROR(__xludf.DUMMYFUNCTION("MAX(QUERY(SORT(GOOGLEFINANCE(A19,""high"",TODAY()-100,TODAY()),1,0),""select Col2 limit 55""))"),2494.0)</f>
        <v>2494</v>
      </c>
      <c r="D19" s="32">
        <f>IFERROR(__xludf.DUMMYFUNCTION("GOOGLEFINANCE(A19,""high52"")"),2494.0)</f>
        <v>2494</v>
      </c>
      <c r="E19" s="33">
        <f>IFERROR(__xludf.DUMMYFUNCTION("to_date(index(sort(GOOGLEFINANCE(A19, ""high"", today()-52*7, today(), ""DAILY""),2,0),2,1))"),46149.64583333333)</f>
        <v>46149.64583</v>
      </c>
      <c r="F19" s="32">
        <f>IFERROR(__xludf.DUMMYFUNCTION("GOOGLEFINANCE(A19,""low52"")"),1836.8)</f>
        <v>1836.8</v>
      </c>
      <c r="G19" s="33">
        <f>IFERROR(__xludf.DUMMYFUNCTION("to_date(index(sort(GOOGLEFINANCE(A19, ""low"", today()-52*7, today(), ""DAILY""),2,1),1,1))"),45875.64583333333)</f>
        <v>45875.64583</v>
      </c>
      <c r="H19" s="61">
        <f>IFERROR(__xludf.DUMMYFUNCTION("MIN(QUERY(SORT(GOOGLEFINANCE(A19,""low"",TODAY()-40,TODAY()),1,0),""select Col2 limit 20""))"),2210.6)</f>
        <v>2210.6</v>
      </c>
      <c r="I19" s="61">
        <f t="shared" si="1"/>
        <v>10.78043797</v>
      </c>
      <c r="J19" s="35" t="str">
        <f t="shared" si="2"/>
        <v>No need to fresh start</v>
      </c>
    </row>
    <row r="20">
      <c r="A20" s="62" t="s">
        <v>165</v>
      </c>
      <c r="B20" s="59">
        <f>IFERROR(__xludf.DUMMYFUNCTION("GOOGLEFINANCE(A20,""price"")"),1449.7)</f>
        <v>1449.7</v>
      </c>
      <c r="C20" s="60">
        <f>IFERROR(__xludf.DUMMYFUNCTION("MAX(QUERY(SORT(GOOGLEFINANCE(A20,""high"",TODAY()-100,TODAY()),1,0),""select Col2 limit 55""))"),1550.0)</f>
        <v>1550</v>
      </c>
      <c r="D20" s="32">
        <f>IFERROR(__xludf.DUMMYFUNCTION("GOOGLEFINANCE(A20,""high52"")"),1550.0)</f>
        <v>1550</v>
      </c>
      <c r="E20" s="33">
        <f>IFERROR(__xludf.DUMMYFUNCTION("to_date(index(sort(GOOGLEFINANCE(A20, ""high"", today()-52*7, today(), ""DAILY""),2,0),2,1))"),46163.64583333333)</f>
        <v>46163.64583</v>
      </c>
      <c r="F20" s="32">
        <f>IFERROR(__xludf.DUMMYFUNCTION("GOOGLEFINANCE(A20,""low52"")"),1016.1)</f>
        <v>1016.1</v>
      </c>
      <c r="G20" s="33">
        <f>IFERROR(__xludf.DUMMYFUNCTION("to_date(index(sort(GOOGLEFINANCE(A20, ""low"", today()-52*7, today(), ""DAILY""),2,1),1,1))"),45901.64583333333)</f>
        <v>45901.64583</v>
      </c>
      <c r="H20" s="61">
        <f>IFERROR(__xludf.DUMMYFUNCTION("MIN(QUERY(SORT(GOOGLEFINANCE(A20,""low"",TODAY()-40,TODAY()),1,0),""select Col2 limit 20""))"),1367.0)</f>
        <v>1367</v>
      </c>
      <c r="I20" s="61">
        <f t="shared" si="1"/>
        <v>6.918672829</v>
      </c>
      <c r="J20" s="35" t="str">
        <f t="shared" si="2"/>
        <v>No need to fresh start</v>
      </c>
    </row>
    <row r="21">
      <c r="A21" s="62" t="s">
        <v>176</v>
      </c>
      <c r="B21" s="59">
        <f>IFERROR(__xludf.DUMMYFUNCTION("GOOGLEFINANCE(A21,""price"")"),293.95)</f>
        <v>293.95</v>
      </c>
      <c r="C21" s="60">
        <f>IFERROR(__xludf.DUMMYFUNCTION("MAX(QUERY(SORT(GOOGLEFINANCE(A21,""high"",TODAY()-100,TODAY()),1,0),""select Col2 limit 55""))"),317.9)</f>
        <v>317.9</v>
      </c>
      <c r="D21" s="32">
        <f>IFERROR(__xludf.DUMMYFUNCTION("GOOGLEFINANCE(A21,""high52"")"),444.2)</f>
        <v>444.2</v>
      </c>
      <c r="E21" s="33">
        <f>IFERROR(__xludf.DUMMYFUNCTION("to_date(index(sort(GOOGLEFINANCE(A21, ""high"", today()-52*7, today(), ""DAILY""),2,0),2,1))"),45818.64583333333)</f>
        <v>45818.64583</v>
      </c>
      <c r="F21" s="32">
        <f>IFERROR(__xludf.DUMMYFUNCTION("GOOGLEFINANCE(A21,""low52"")"),287.0)</f>
        <v>287</v>
      </c>
      <c r="G21" s="33">
        <f>IFERROR(__xludf.DUMMYFUNCTION("to_date(index(sort(GOOGLEFINANCE(A21, ""low"", today()-52*7, today(), ""DAILY""),2,1),1,1))"),46111.64583333333)</f>
        <v>46111.64583</v>
      </c>
      <c r="H21" s="61">
        <f>IFERROR(__xludf.DUMMYFUNCTION("MIN(QUERY(SORT(GOOGLEFINANCE(A21,""low"",TODAY()-40,TODAY()),1,0),""select Col2 limit 20""))"),300.1)</f>
        <v>300.1</v>
      </c>
      <c r="I21" s="61">
        <f t="shared" si="1"/>
        <v>8.147644157</v>
      </c>
      <c r="J21" s="35" t="str">
        <f t="shared" si="2"/>
        <v>No need to fresh start</v>
      </c>
    </row>
    <row r="22">
      <c r="A22" s="62" t="s">
        <v>145</v>
      </c>
      <c r="B22" s="59">
        <f>IFERROR(__xludf.DUMMYFUNCTION("GOOGLEFINANCE(A22,""price"")"),1424.5)</f>
        <v>1424.5</v>
      </c>
      <c r="C22" s="60">
        <f>IFERROR(__xludf.DUMMYFUNCTION("MAX(QUERY(SORT(GOOGLEFINANCE(A22,""high"",TODAY()-100,TODAY()),1,0),""select Col2 limit 55""))"),1444.5)</f>
        <v>1444.5</v>
      </c>
      <c r="D22" s="32">
        <f>IFERROR(__xludf.DUMMYFUNCTION("GOOGLEFINANCE(A22,""high52"")"),1673.0)</f>
        <v>1673</v>
      </c>
      <c r="E22" s="33">
        <f>IFERROR(__xludf.DUMMYFUNCTION("to_date(index(sort(GOOGLEFINANCE(A22, ""high"", today()-52*7, today(), ""DAILY""),2,0),2,1))"),45953.64583333333)</f>
        <v>45953.64583</v>
      </c>
      <c r="F22" s="32">
        <f>IFERROR(__xludf.DUMMYFUNCTION("GOOGLEFINANCE(A22,""low52"")"),1165.7)</f>
        <v>1165.7</v>
      </c>
      <c r="G22" s="33">
        <f>IFERROR(__xludf.DUMMYFUNCTION("to_date(index(sort(GOOGLEFINANCE(A22, ""low"", today()-52*7, today(), ""DAILY""),2,1),1,1))"),46114.64583333333)</f>
        <v>46114.64583</v>
      </c>
      <c r="H22" s="61">
        <f>IFERROR(__xludf.DUMMYFUNCTION("MIN(QUERY(SORT(GOOGLEFINANCE(A22,""low"",TODAY()-40,TODAY()),1,0),""select Col2 limit 20""))"),1274.7)</f>
        <v>1274.7</v>
      </c>
      <c r="I22" s="61">
        <f t="shared" si="1"/>
        <v>1.404001404</v>
      </c>
      <c r="J22" s="35" t="str">
        <f t="shared" si="2"/>
        <v>No need to fresh start</v>
      </c>
    </row>
    <row r="23">
      <c r="A23" s="62" t="s">
        <v>217</v>
      </c>
      <c r="B23" s="59">
        <f>IFERROR(__xludf.DUMMYFUNCTION("GOOGLEFINANCE(A23,""price"")"),2982.0)</f>
        <v>2982</v>
      </c>
      <c r="C23" s="60">
        <f>IFERROR(__xludf.DUMMYFUNCTION("MAX(QUERY(SORT(GOOGLEFINANCE(A23,""high"",TODAY()-100,TODAY()),1,0),""select Col2 limit 55""))"),2979.4)</f>
        <v>2979.4</v>
      </c>
      <c r="D23" s="32">
        <f>IFERROR(__xludf.DUMMYFUNCTION("GOOGLEFINANCE(A23,""high52"")"),3027.5)</f>
        <v>3027.5</v>
      </c>
      <c r="E23" s="33">
        <f>IFERROR(__xludf.DUMMYFUNCTION("to_date(index(sort(GOOGLEFINANCE(A23, ""high"", today()-52*7, today(), ""DAILY""),2,0),2,1))"),46168.64583333333)</f>
        <v>46168.64583</v>
      </c>
      <c r="F23" s="32">
        <f>IFERROR(__xludf.DUMMYFUNCTION("GOOGLEFINANCE(A23,""low52"")"),1753.0)</f>
        <v>1753</v>
      </c>
      <c r="G23" s="33">
        <f>IFERROR(__xludf.DUMMYFUNCTION("to_date(index(sort(GOOGLEFINANCE(A23, ""low"", today()-52*7, today(), ""DAILY""),2,1),1,1))"),46111.64583333333)</f>
        <v>46111.64583</v>
      </c>
      <c r="H23" s="61">
        <f>IFERROR(__xludf.DUMMYFUNCTION("MIN(QUERY(SORT(GOOGLEFINANCE(A23,""low"",TODAY()-40,TODAY()),1,0),""select Col2 limit 20""))"),2320.9)</f>
        <v>2320.9</v>
      </c>
      <c r="I23" s="61">
        <f t="shared" si="1"/>
        <v>-0.0871898055</v>
      </c>
      <c r="J23" s="35" t="str">
        <f t="shared" si="2"/>
        <v>No need to fresh start</v>
      </c>
    </row>
    <row r="24">
      <c r="A24" s="62" t="s">
        <v>218</v>
      </c>
      <c r="B24" s="59">
        <f>IFERROR(__xludf.DUMMYFUNCTION("GOOGLEFINANCE(A24,""price"")"),1185.3)</f>
        <v>1185.3</v>
      </c>
      <c r="C24" s="60">
        <f>IFERROR(__xludf.DUMMYFUNCTION("MAX(QUERY(SORT(GOOGLEFINANCE(A24,""high"",TODAY()-100,TODAY()),1,0),""select Col2 limit 55""))"),1226.8)</f>
        <v>1226.8</v>
      </c>
      <c r="D24" s="32">
        <f>IFERROR(__xludf.DUMMYFUNCTION("GOOGLEFINANCE(A24,""high52"")"),1226.8)</f>
        <v>1226.8</v>
      </c>
      <c r="E24" s="33">
        <f>IFERROR(__xludf.DUMMYFUNCTION("to_date(index(sort(GOOGLEFINANCE(A24, ""high"", today()-52*7, today(), ""DAILY""),2,0),2,1))"),46154.64583333333)</f>
        <v>46154.64583</v>
      </c>
      <c r="F24" s="32">
        <f>IFERROR(__xludf.DUMMYFUNCTION("GOOGLEFINANCE(A24,""low52"")"),789.0)</f>
        <v>789</v>
      </c>
      <c r="G24" s="33">
        <f>IFERROR(__xludf.DUMMYFUNCTION("to_date(index(sort(GOOGLEFINANCE(A24, ""low"", today()-52*7, today(), ""DAILY""),2,1),1,1))"),45930.64583333333)</f>
        <v>45930.64583</v>
      </c>
      <c r="H24" s="61">
        <f>IFERROR(__xludf.DUMMYFUNCTION("MIN(QUERY(SORT(GOOGLEFINANCE(A24,""low"",TODAY()-40,TODAY()),1,0),""select Col2 limit 20""))"),1080.05)</f>
        <v>1080.05</v>
      </c>
      <c r="I24" s="61">
        <f t="shared" si="1"/>
        <v>3.501223319</v>
      </c>
      <c r="J24" s="35" t="str">
        <f t="shared" si="2"/>
        <v>No need to fresh start</v>
      </c>
    </row>
    <row r="25">
      <c r="A25" s="62" t="s">
        <v>219</v>
      </c>
      <c r="B25" s="59">
        <f>IFERROR(__xludf.DUMMYFUNCTION("GOOGLEFINANCE(A25,""price"")"),2743.0)</f>
        <v>2743</v>
      </c>
      <c r="C25" s="60">
        <f>IFERROR(__xludf.DUMMYFUNCTION("MAX(QUERY(SORT(GOOGLEFINANCE(A25,""high"",TODAY()-100,TODAY()),1,0),""select Col2 limit 55""))"),2811.5)</f>
        <v>2811.5</v>
      </c>
      <c r="D25" s="32">
        <f>IFERROR(__xludf.DUMMYFUNCTION("GOOGLEFINANCE(A25,""high52"")"),3079.9)</f>
        <v>3079.9</v>
      </c>
      <c r="E25" s="33">
        <f>IFERROR(__xludf.DUMMYFUNCTION("to_date(index(sort(GOOGLEFINANCE(A25, ""high"", today()-52*7, today(), ""DAILY""),2,0),2,1))"),45909.64583333333)</f>
        <v>45909.64583</v>
      </c>
      <c r="F25" s="32">
        <f>IFERROR(__xludf.DUMMYFUNCTION("GOOGLEFINANCE(A25,""low52"")"),2142.8)</f>
        <v>2142.8</v>
      </c>
      <c r="G25" s="33">
        <f>IFERROR(__xludf.DUMMYFUNCTION("to_date(index(sort(GOOGLEFINANCE(A25, ""low"", today()-52*7, today(), ""DAILY""),2,1),1,1))"),46114.64583333333)</f>
        <v>46114.64583</v>
      </c>
      <c r="H25" s="61">
        <f>IFERROR(__xludf.DUMMYFUNCTION("MIN(QUERY(SORT(GOOGLEFINANCE(A25,""low"",TODAY()-40,TODAY()),1,0),""select Col2 limit 20""))"),2301.0)</f>
        <v>2301</v>
      </c>
      <c r="I25" s="61">
        <f t="shared" si="1"/>
        <v>2.497265767</v>
      </c>
      <c r="J25" s="35" t="str">
        <f t="shared" si="2"/>
        <v>No need to fresh start</v>
      </c>
    </row>
    <row r="26">
      <c r="A26" s="62" t="s">
        <v>202</v>
      </c>
      <c r="B26" s="59" t="str">
        <f>IFERROR(__xludf.DUMMYFUNCTION("GOOGLEFINANCE(A26,""price"")"),"#N/A")</f>
        <v>#N/A</v>
      </c>
      <c r="C26" s="60" t="str">
        <f>IFERROR(__xludf.DUMMYFUNCTION("MAX(QUERY(SORT(GOOGLEFINANCE(A26,""high"",TODAY()-100,TODAY()),1,0),""select Col2 limit 55""))"),"#N/A")</f>
        <v>#N/A</v>
      </c>
      <c r="D26" s="32" t="str">
        <f>IFERROR(__xludf.DUMMYFUNCTION("GOOGLEFINANCE(A26,""high52"")"),"#N/A")</f>
        <v>#N/A</v>
      </c>
      <c r="E26" s="33" t="str">
        <f>IFERROR(__xludf.DUMMYFUNCTION("to_date(index(sort(GOOGLEFINANCE(A26, ""high"", today()-52*7, today(), ""DAILY""),2,0),2,1))"),"#N/A")</f>
        <v>#N/A</v>
      </c>
      <c r="F26" s="32" t="str">
        <f>IFERROR(__xludf.DUMMYFUNCTION("GOOGLEFINANCE(A26,""low52"")"),"#N/A")</f>
        <v>#N/A</v>
      </c>
      <c r="G26" s="33" t="str">
        <f>IFERROR(__xludf.DUMMYFUNCTION("to_date(index(sort(GOOGLEFINANCE(A26, ""low"", today()-52*7, today(), ""DAILY""),2,1),1,1))"),"#N/A")</f>
        <v>#N/A</v>
      </c>
      <c r="H26" s="61" t="str">
        <f>IFERROR(__xludf.DUMMYFUNCTION("MIN(QUERY(SORT(GOOGLEFINANCE(A26,""low"",TODAY()-40,TODAY()),1,0),""select Col2 limit 20""))"),"#N/A")</f>
        <v>#N/A</v>
      </c>
      <c r="I26" s="61" t="str">
        <f t="shared" si="1"/>
        <v>#N/A</v>
      </c>
      <c r="J26" s="35" t="str">
        <f t="shared" si="2"/>
        <v>#N/A</v>
      </c>
    </row>
    <row r="27">
      <c r="A27" s="62" t="s">
        <v>206</v>
      </c>
      <c r="B27" s="59">
        <f>IFERROR(__xludf.DUMMYFUNCTION("GOOGLEFINANCE(A27,""price"")"),10652.0)</f>
        <v>10652</v>
      </c>
      <c r="C27" s="60">
        <f>IFERROR(__xludf.DUMMYFUNCTION("MAX(QUERY(SORT(GOOGLEFINANCE(A27,""high"",TODAY()-100,TODAY()),1,0),""select Col2 limit 55""))"),10931.0)</f>
        <v>10931</v>
      </c>
      <c r="D27" s="32">
        <f>IFERROR(__xludf.DUMMYFUNCTION("GOOGLEFINANCE(A27,""high52"")"),14763.0)</f>
        <v>14763</v>
      </c>
      <c r="E27" s="33">
        <f>IFERROR(__xludf.DUMMYFUNCTION("to_date(index(sort(GOOGLEFINANCE(A27, ""high"", today()-52*7, today(), ""DAILY""),2,0),2,1))"),45887.64583333333)</f>
        <v>45887.64583</v>
      </c>
      <c r="F27" s="32">
        <f>IFERROR(__xludf.DUMMYFUNCTION("GOOGLEFINANCE(A27,""low52"")"),8588.0)</f>
        <v>8588</v>
      </c>
      <c r="G27" s="33">
        <f>IFERROR(__xludf.DUMMYFUNCTION("to_date(index(sort(GOOGLEFINANCE(A27, ""low"", today()-52*7, today(), ""DAILY""),2,1),1,1))"),46114.64583333333)</f>
        <v>46114.64583</v>
      </c>
      <c r="H27" s="61">
        <f>IFERROR(__xludf.DUMMYFUNCTION("MIN(QUERY(SORT(GOOGLEFINANCE(A27,""low"",TODAY()-40,TODAY()),1,0),""select Col2 limit 20""))"),9940.0)</f>
        <v>9940</v>
      </c>
      <c r="I27" s="61">
        <f t="shared" si="1"/>
        <v>2.619226436</v>
      </c>
      <c r="J27" s="35" t="str">
        <f t="shared" si="2"/>
        <v>No need to fresh start</v>
      </c>
    </row>
    <row r="28">
      <c r="A28" s="62" t="s">
        <v>220</v>
      </c>
      <c r="B28" s="59">
        <f>IFERROR(__xludf.DUMMYFUNCTION("GOOGLEFINANCE(A28,""price"")"),461.85)</f>
        <v>461.85</v>
      </c>
      <c r="C28" s="60">
        <f>IFERROR(__xludf.DUMMYFUNCTION("MAX(QUERY(SORT(GOOGLEFINANCE(A28,""high"",TODAY()-100,TODAY()),1,0),""select Col2 limit 55""))"),518.55)</f>
        <v>518.55</v>
      </c>
      <c r="D28" s="32">
        <f>IFERROR(__xludf.DUMMYFUNCTION("GOOGLEFINANCE(A28,""high52"")"),728.6)</f>
        <v>728.6</v>
      </c>
      <c r="E28" s="33">
        <f>IFERROR(__xludf.DUMMYFUNCTION("to_date(index(sort(GOOGLEFINANCE(A28, ""high"", today()-52*7, today(), ""DAILY""),2,0),2,1))"),45868.64583333333)</f>
        <v>45868.64583</v>
      </c>
      <c r="F28" s="32">
        <f>IFERROR(__xludf.DUMMYFUNCTION("GOOGLEFINANCE(A28,""low52"")"),380.0)</f>
        <v>380</v>
      </c>
      <c r="G28" s="33">
        <f>IFERROR(__xludf.DUMMYFUNCTION("to_date(index(sort(GOOGLEFINANCE(A28, ""low"", today()-52*7, today(), ""DAILY""),2,1),1,1))"),46118.64583333333)</f>
        <v>46118.64583</v>
      </c>
      <c r="H28" s="61">
        <f>IFERROR(__xludf.DUMMYFUNCTION("MIN(QUERY(SORT(GOOGLEFINANCE(A28,""low"",TODAY()-40,TODAY()),1,0),""select Col2 limit 20""))"),429.9)</f>
        <v>429.9</v>
      </c>
      <c r="I28" s="61">
        <f t="shared" si="1"/>
        <v>12.27671322</v>
      </c>
      <c r="J28" s="35" t="str">
        <f t="shared" si="2"/>
        <v>Start GTT Order</v>
      </c>
    </row>
    <row r="29">
      <c r="A29" s="62" t="s">
        <v>94</v>
      </c>
      <c r="B29" s="59">
        <f>IFERROR(__xludf.DUMMYFUNCTION("GOOGLEFINANCE(A29,""price"")"),205.9)</f>
        <v>205.9</v>
      </c>
      <c r="C29" s="60">
        <f>IFERROR(__xludf.DUMMYFUNCTION("MAX(QUERY(SORT(GOOGLEFINANCE(A29,""high"",TODAY()-100,TODAY()),1,0),""select Col2 limit 55""))"),209.7)</f>
        <v>209.7</v>
      </c>
      <c r="D29" s="32">
        <f>IFERROR(__xludf.DUMMYFUNCTION("GOOGLEFINANCE(A29,""high52"")"),209.7)</f>
        <v>209.7</v>
      </c>
      <c r="E29" s="33">
        <f>IFERROR(__xludf.DUMMYFUNCTION("to_date(index(sort(GOOGLEFINANCE(A29, ""high"", today()-52*7, today(), ""DAILY""),2,0),2,1))"),46156.64583333333)</f>
        <v>46156.64583</v>
      </c>
      <c r="F29" s="32">
        <f>IFERROR(__xludf.DUMMYFUNCTION("GOOGLEFINANCE(A29,""low52"")"),118.1)</f>
        <v>118.1</v>
      </c>
      <c r="G29" s="33">
        <f>IFERROR(__xludf.DUMMYFUNCTION("to_date(index(sort(GOOGLEFINANCE(A29, ""low"", today()-52*7, today(), ""DAILY""),2,1),1,1))"),45897.64583333333)</f>
        <v>45897.64583</v>
      </c>
      <c r="H29" s="61">
        <f>IFERROR(__xludf.DUMMYFUNCTION("MIN(QUERY(SORT(GOOGLEFINANCE(A29,""low"",TODAY()-40,TODAY()),1,0),""select Col2 limit 20""))"),175.16)</f>
        <v>175.16</v>
      </c>
      <c r="I29" s="61">
        <f t="shared" si="1"/>
        <v>1.845556095</v>
      </c>
      <c r="J29" s="35" t="str">
        <f t="shared" si="2"/>
        <v>No need to fresh start</v>
      </c>
    </row>
    <row r="30">
      <c r="A30" s="62" t="s">
        <v>221</v>
      </c>
      <c r="B30" s="59">
        <f>IFERROR(__xludf.DUMMYFUNCTION("GOOGLEFINANCE(A30,""price"")"),1011.3)</f>
        <v>1011.3</v>
      </c>
      <c r="C30" s="60">
        <f>IFERROR(__xludf.DUMMYFUNCTION("MAX(QUERY(SORT(GOOGLEFINANCE(A30,""high"",TODAY()-100,TODAY()),1,0),""select Col2 limit 55""))"),1079.55)</f>
        <v>1079.55</v>
      </c>
      <c r="D30" s="32">
        <f>IFERROR(__xludf.DUMMYFUNCTION("GOOGLEFINANCE(A30,""high52"")"),1079.55)</f>
        <v>1079.55</v>
      </c>
      <c r="E30" s="33">
        <f>IFERROR(__xludf.DUMMYFUNCTION("to_date(index(sort(GOOGLEFINANCE(A30, ""high"", today()-52*7, today(), ""DAILY""),2,0),2,1))"),46136.64583333333)</f>
        <v>46136.64583</v>
      </c>
      <c r="F30" s="32">
        <f>IFERROR(__xludf.DUMMYFUNCTION("GOOGLEFINANCE(A30,""low52"")"),682.15)</f>
        <v>682.15</v>
      </c>
      <c r="G30" s="33">
        <f>IFERROR(__xludf.DUMMYFUNCTION("to_date(index(sort(GOOGLEFINANCE(A30, ""low"", today()-52*7, today(), ""DAILY""),2,1),1,1))"),45905.64583333333)</f>
        <v>45905.64583</v>
      </c>
      <c r="H30" s="61">
        <f>IFERROR(__xludf.DUMMYFUNCTION("MIN(QUERY(SORT(GOOGLEFINANCE(A30,""low"",TODAY()-40,TODAY()),1,0),""select Col2 limit 20""))"),948.0)</f>
        <v>948</v>
      </c>
      <c r="I30" s="61">
        <f t="shared" si="1"/>
        <v>6.748739247</v>
      </c>
      <c r="J30" s="35" t="str">
        <f t="shared" si="2"/>
        <v>No need to fresh start</v>
      </c>
    </row>
    <row r="31">
      <c r="A31" s="62" t="s">
        <v>192</v>
      </c>
      <c r="B31" s="59">
        <f>IFERROR(__xludf.DUMMYFUNCTION("GOOGLEFINANCE(A31,""price"")"),764.75)</f>
        <v>764.75</v>
      </c>
      <c r="C31" s="60">
        <f>IFERROR(__xludf.DUMMYFUNCTION("MAX(QUERY(SORT(GOOGLEFINANCE(A31,""high"",TODAY()-100,TODAY()),1,0),""select Col2 limit 55""))"),881.4)</f>
        <v>881.4</v>
      </c>
      <c r="D31" s="32">
        <f>IFERROR(__xludf.DUMMYFUNCTION("GOOGLEFINANCE(A31,""high52"")"),1020.5)</f>
        <v>1020.5</v>
      </c>
      <c r="E31" s="33">
        <f>IFERROR(__xludf.DUMMYFUNCTION("to_date(index(sort(GOOGLEFINANCE(A31, ""high"", today()-52*7, today(), ""DAILY""),2,0),2,1))"),45953.64583333333)</f>
        <v>45953.64583</v>
      </c>
      <c r="F31" s="32">
        <f>IFERROR(__xludf.DUMMYFUNCTION("GOOGLEFINANCE(A31,""low52"")"),726.65)</f>
        <v>726.65</v>
      </c>
      <c r="G31" s="33">
        <f>IFERROR(__xludf.DUMMYFUNCTION("to_date(index(sort(GOOGLEFINANCE(A31, ""low"", today()-52*7, today(), ""DAILY""),2,1),1,1))"),46111.64583333333)</f>
        <v>46111.64583</v>
      </c>
      <c r="H31" s="61">
        <f>IFERROR(__xludf.DUMMYFUNCTION("MIN(QUERY(SORT(GOOGLEFINANCE(A31,""low"",TODAY()-40,TODAY()),1,0),""select Col2 limit 20""))"),747.0)</f>
        <v>747</v>
      </c>
      <c r="I31" s="61">
        <f t="shared" si="1"/>
        <v>15.25335077</v>
      </c>
      <c r="J31" s="35" t="str">
        <f t="shared" si="2"/>
        <v>Start GTT Order</v>
      </c>
    </row>
    <row r="32">
      <c r="A32" s="62" t="s">
        <v>222</v>
      </c>
      <c r="B32" s="59" t="str">
        <f>IFERROR(__xludf.DUMMYFUNCTION("GOOGLEFINANCE(A32,""price"")"),"#N/A")</f>
        <v>#N/A</v>
      </c>
      <c r="C32" s="60" t="str">
        <f>IFERROR(__xludf.DUMMYFUNCTION("MAX(QUERY(SORT(GOOGLEFINANCE(A32,""high"",TODAY()-100,TODAY()),1,0),""select Col2 limit 55""))"),"#N/A")</f>
        <v>#N/A</v>
      </c>
      <c r="D32" s="32" t="str">
        <f>IFERROR(__xludf.DUMMYFUNCTION("GOOGLEFINANCE(A32,""high52"")"),"#N/A")</f>
        <v>#N/A</v>
      </c>
      <c r="E32" s="33" t="str">
        <f>IFERROR(__xludf.DUMMYFUNCTION("to_date(index(sort(GOOGLEFINANCE(A32, ""high"", today()-52*7, today(), ""DAILY""),2,0),2,1))"),"#N/A")</f>
        <v>#N/A</v>
      </c>
      <c r="F32" s="32" t="str">
        <f>IFERROR(__xludf.DUMMYFUNCTION("GOOGLEFINANCE(A32,""low52"")"),"#N/A")</f>
        <v>#N/A</v>
      </c>
      <c r="G32" s="33" t="str">
        <f>IFERROR(__xludf.DUMMYFUNCTION("to_date(index(sort(GOOGLEFINANCE(A32, ""low"", today()-52*7, today(), ""DAILY""),2,1),1,1))"),"#N/A")</f>
        <v>#N/A</v>
      </c>
      <c r="H32" s="61" t="str">
        <f>IFERROR(__xludf.DUMMYFUNCTION("MIN(QUERY(SORT(GOOGLEFINANCE(A32,""low"",TODAY()-40,TODAY()),1,0),""select Col2 limit 20""))"),"#N/A")</f>
        <v>#N/A</v>
      </c>
      <c r="I32" s="61" t="str">
        <f t="shared" si="1"/>
        <v>#N/A</v>
      </c>
      <c r="J32" s="35" t="str">
        <f t="shared" si="2"/>
        <v>#N/A</v>
      </c>
    </row>
    <row r="33">
      <c r="A33" s="62" t="s">
        <v>223</v>
      </c>
      <c r="B33" s="59">
        <f>IFERROR(__xludf.DUMMYFUNCTION("GOOGLEFINANCE(A33,""price"")"),1137.8)</f>
        <v>1137.8</v>
      </c>
      <c r="C33" s="60">
        <f>IFERROR(__xludf.DUMMYFUNCTION("MAX(QUERY(SORT(GOOGLEFINANCE(A33,""high"",TODAY()-100,TODAY()),1,0),""select Col2 limit 55""))"),1260.65)</f>
        <v>1260.65</v>
      </c>
      <c r="D33" s="32">
        <f>IFERROR(__xludf.DUMMYFUNCTION("GOOGLEFINANCE(A33,""high52"")"),1390.0)</f>
        <v>1390</v>
      </c>
      <c r="E33" s="33">
        <f>IFERROR(__xludf.DUMMYFUNCTION("to_date(index(sort(GOOGLEFINANCE(A33, ""high"", today()-52*7, today(), ""DAILY""),2,0),2,1))"),45814.64583333333)</f>
        <v>45814.64583</v>
      </c>
      <c r="F33" s="32">
        <f>IFERROR(__xludf.DUMMYFUNCTION("GOOGLEFINANCE(A33,""low52"")"),744.2)</f>
        <v>744.2</v>
      </c>
      <c r="G33" s="33">
        <f>IFERROR(__xludf.DUMMYFUNCTION("to_date(index(sort(GOOGLEFINANCE(A33, ""low"", today()-52*7, today(), ""DAILY""),2,1),1,1))"),46111.64583333333)</f>
        <v>46111.64583</v>
      </c>
      <c r="H33" s="61">
        <f>IFERROR(__xludf.DUMMYFUNCTION("MIN(QUERY(SORT(GOOGLEFINANCE(A33,""low"",TODAY()-40,TODAY()),1,0),""select Col2 limit 20""))"),949.05)</f>
        <v>949.05</v>
      </c>
      <c r="I33" s="61">
        <f t="shared" si="1"/>
        <v>10.7971524</v>
      </c>
      <c r="J33" s="35" t="str">
        <f t="shared" si="2"/>
        <v>Start GTT Order</v>
      </c>
    </row>
    <row r="34">
      <c r="A34" s="62" t="s">
        <v>188</v>
      </c>
      <c r="B34" s="59">
        <f>IFERROR(__xludf.DUMMYFUNCTION("GOOGLEFINANCE(A34,""price"")"),2201.0)</f>
        <v>2201</v>
      </c>
      <c r="C34" s="60">
        <f>IFERROR(__xludf.DUMMYFUNCTION("MAX(QUERY(SORT(GOOGLEFINANCE(A34,""high"",TODAY()-100,TODAY()),1,0),""select Col2 limit 55""))"),2408.0)</f>
        <v>2408</v>
      </c>
      <c r="D34" s="32">
        <f>IFERROR(__xludf.DUMMYFUNCTION("GOOGLEFINANCE(A34,""high52"")"),2715.44)</f>
        <v>2715.44</v>
      </c>
      <c r="E34" s="33">
        <f>IFERROR(__xludf.DUMMYFUNCTION("to_date(index(sort(GOOGLEFINANCE(A34, ""high"", today()-52*7, today(), ""DAILY""),2,0),2,1))"),45904.64583333333)</f>
        <v>45904.64583</v>
      </c>
      <c r="F34" s="32">
        <f>IFERROR(__xludf.DUMMYFUNCTION("GOOGLEFINANCE(A34,""low52"")"),2022.5)</f>
        <v>2022.5</v>
      </c>
      <c r="G34" s="33">
        <f>IFERROR(__xludf.DUMMYFUNCTION("to_date(index(sort(GOOGLEFINANCE(A34, ""low"", today()-52*7, today(), ""DAILY""),2,1),1,1))"),46114.64583333333)</f>
        <v>46114.64583</v>
      </c>
      <c r="H34" s="61">
        <f>IFERROR(__xludf.DUMMYFUNCTION("MIN(QUERY(SORT(GOOGLEFINANCE(A34,""low"",TODAY()-40,TODAY()),1,0),""select Col2 limit 20""))"),2175.4)</f>
        <v>2175.4</v>
      </c>
      <c r="I34" s="61">
        <f t="shared" si="1"/>
        <v>9.404815993</v>
      </c>
      <c r="J34" s="35" t="str">
        <f t="shared" si="2"/>
        <v>No need to fresh start</v>
      </c>
    </row>
    <row r="35">
      <c r="A35" s="62" t="s">
        <v>96</v>
      </c>
      <c r="B35" s="59">
        <f>IFERROR(__xludf.DUMMYFUNCTION("GOOGLEFINANCE(A35,""price"")"),271.5)</f>
        <v>271.5</v>
      </c>
      <c r="C35" s="60">
        <f>IFERROR(__xludf.DUMMYFUNCTION("MAX(QUERY(SORT(GOOGLEFINANCE(A35,""high"",TODAY()-100,TODAY()),1,0),""select Col2 limit 55""))"),320.2)</f>
        <v>320.2</v>
      </c>
      <c r="D35" s="32">
        <f>IFERROR(__xludf.DUMMYFUNCTION("GOOGLEFINANCE(A35,""high52"")"),325.5)</f>
        <v>325.5</v>
      </c>
      <c r="E35" s="33">
        <f>IFERROR(__xludf.DUMMYFUNCTION("to_date(index(sort(GOOGLEFINANCE(A35, ""high"", today()-52*7, today(), ""DAILY""),2,0),2,1))"),46079.64583333333)</f>
        <v>46079.64583</v>
      </c>
      <c r="F35" s="32">
        <f>IFERROR(__xludf.DUMMYFUNCTION("GOOGLEFINANCE(A35,""low52"")"),230.52)</f>
        <v>230.52</v>
      </c>
      <c r="G35" s="33">
        <f>IFERROR(__xludf.DUMMYFUNCTION("to_date(index(sort(GOOGLEFINANCE(A35, ""low"", today()-52*7, today(), ""DAILY""),2,1),1,1))"),45827.64583333333)</f>
        <v>45827.64583</v>
      </c>
      <c r="H35" s="61">
        <f>IFERROR(__xludf.DUMMYFUNCTION("MIN(QUERY(SORT(GOOGLEFINANCE(A35,""low"",TODAY()-40,TODAY()),1,0),""select Col2 limit 20""))"),255.3)</f>
        <v>255.3</v>
      </c>
      <c r="I35" s="61">
        <f t="shared" si="1"/>
        <v>17.9373849</v>
      </c>
      <c r="J35" s="35" t="str">
        <f t="shared" si="2"/>
        <v>No need to fresh start</v>
      </c>
    </row>
    <row r="36">
      <c r="A36" s="62" t="s">
        <v>224</v>
      </c>
      <c r="B36" s="59">
        <f>IFERROR(__xludf.DUMMYFUNCTION("GOOGLEFINANCE(A36,""price"")"),511.0)</f>
        <v>511</v>
      </c>
      <c r="C36" s="60">
        <f>IFERROR(__xludf.DUMMYFUNCTION("MAX(QUERY(SORT(GOOGLEFINANCE(A36,""high"",TODAY()-100,TODAY()),1,0),""select Col2 limit 55""))"),660.7)</f>
        <v>660.7</v>
      </c>
      <c r="D36" s="32">
        <f>IFERROR(__xludf.DUMMYFUNCTION("GOOGLEFINANCE(A36,""high52"")"),660.7)</f>
        <v>660.7</v>
      </c>
      <c r="E36" s="33">
        <f>IFERROR(__xludf.DUMMYFUNCTION("to_date(index(sort(GOOGLEFINANCE(A36, ""high"", today()-52*7, today(), ""DAILY""),2,0),2,1))"),46132.64583333333)</f>
        <v>46132.64583</v>
      </c>
      <c r="F36" s="32">
        <f>IFERROR(__xludf.DUMMYFUNCTION("GOOGLEFINANCE(A36,""low52"")"),480.2)</f>
        <v>480.2</v>
      </c>
      <c r="G36" s="33">
        <f>IFERROR(__xludf.DUMMYFUNCTION("to_date(index(sort(GOOGLEFINANCE(A36, ""low"", today()-52*7, today(), ""DAILY""),2,1),1,1))"),46045.64583333333)</f>
        <v>46045.64583</v>
      </c>
      <c r="H36" s="61">
        <f>IFERROR(__xludf.DUMMYFUNCTION("MIN(QUERY(SORT(GOOGLEFINANCE(A36,""low"",TODAY()-40,TODAY()),1,0),""select Col2 limit 20""))"),480.9)</f>
        <v>480.9</v>
      </c>
      <c r="I36" s="61">
        <f t="shared" si="1"/>
        <v>29.29549902</v>
      </c>
      <c r="J36" s="35" t="str">
        <f t="shared" si="2"/>
        <v>No need to fresh start</v>
      </c>
    </row>
    <row r="37">
      <c r="A37" s="62" t="s">
        <v>225</v>
      </c>
      <c r="B37" s="59">
        <f>IFERROR(__xludf.DUMMYFUNCTION("GOOGLEFINANCE(A37,""price"")"),890.65)</f>
        <v>890.65</v>
      </c>
      <c r="C37" s="60">
        <f>IFERROR(__xludf.DUMMYFUNCTION("MAX(QUERY(SORT(GOOGLEFINANCE(A37,""high"",TODAY()-100,TODAY()),1,0),""select Col2 limit 55""))"),1111.6)</f>
        <v>1111.6</v>
      </c>
      <c r="D37" s="32">
        <f>IFERROR(__xludf.DUMMYFUNCTION("GOOGLEFINANCE(A37,""high52"")"),1214.5)</f>
        <v>1214.5</v>
      </c>
      <c r="E37" s="33">
        <f>IFERROR(__xludf.DUMMYFUNCTION("to_date(index(sort(GOOGLEFINANCE(A37, ""high"", today()-52*7, today(), ""DAILY""),2,0),2,1))"),46062.64583333333)</f>
        <v>46062.64583</v>
      </c>
      <c r="F37" s="32">
        <f>IFERROR(__xludf.DUMMYFUNCTION("GOOGLEFINANCE(A37,""low52"")"),860.1)</f>
        <v>860.1</v>
      </c>
      <c r="G37" s="33">
        <f>IFERROR(__xludf.DUMMYFUNCTION("to_date(index(sort(GOOGLEFINANCE(A37, ""low"", today()-52*7, today(), ""DAILY""),2,1),1,1))"),46104.64583333333)</f>
        <v>46104.64583</v>
      </c>
      <c r="H37" s="61">
        <f>IFERROR(__xludf.DUMMYFUNCTION("MIN(QUERY(SORT(GOOGLEFINANCE(A37,""low"",TODAY()-40,TODAY()),1,0),""select Col2 limit 20""))"),875.0)</f>
        <v>875</v>
      </c>
      <c r="I37" s="61">
        <f t="shared" si="1"/>
        <v>24.8077247</v>
      </c>
      <c r="J37" s="35" t="str">
        <f t="shared" si="2"/>
        <v>No need to fresh start</v>
      </c>
    </row>
    <row r="38">
      <c r="A38" s="62" t="s">
        <v>141</v>
      </c>
      <c r="B38" s="59">
        <f>IFERROR(__xludf.DUMMYFUNCTION("GOOGLEFINANCE(A38,""price"")"),1835.1)</f>
        <v>1835.1</v>
      </c>
      <c r="C38" s="60">
        <f>IFERROR(__xludf.DUMMYFUNCTION("MAX(QUERY(SORT(GOOGLEFINANCE(A38,""high"",TODAY()-100,TODAY()),1,0),""select Col2 limit 55""))"),1916.6)</f>
        <v>1916.6</v>
      </c>
      <c r="D38" s="32">
        <f>IFERROR(__xludf.DUMMYFUNCTION("GOOGLEFINANCE(A38,""high52"")"),1916.6)</f>
        <v>1916.6</v>
      </c>
      <c r="E38" s="33">
        <f>IFERROR(__xludf.DUMMYFUNCTION("to_date(index(sort(GOOGLEFINANCE(A38, ""high"", today()-52*7, today(), ""DAILY""),2,0),2,1))"),46161.64583333333)</f>
        <v>46161.64583</v>
      </c>
      <c r="F38" s="32">
        <f>IFERROR(__xludf.DUMMYFUNCTION("GOOGLEFINANCE(A38,""low52"")"),1548.0)</f>
        <v>1548</v>
      </c>
      <c r="G38" s="33">
        <f>IFERROR(__xludf.DUMMYFUNCTION("to_date(index(sort(GOOGLEFINANCE(A38, ""low"", today()-52*7, today(), ""DAILY""),2,1),1,1))"),45926.64583333333)</f>
        <v>45926.64583</v>
      </c>
      <c r="H38" s="61">
        <f>IFERROR(__xludf.DUMMYFUNCTION("MIN(QUERY(SORT(GOOGLEFINANCE(A38,""low"",TODAY()-40,TODAY()),1,0),""select Col2 limit 20""))"),1714.3)</f>
        <v>1714.3</v>
      </c>
      <c r="I38" s="61">
        <f t="shared" si="1"/>
        <v>4.441174868</v>
      </c>
      <c r="J38" s="35" t="str">
        <f t="shared" si="2"/>
        <v>No need to fresh start</v>
      </c>
    </row>
    <row r="39">
      <c r="A39" s="62" t="s">
        <v>146</v>
      </c>
      <c r="B39" s="59">
        <f>IFERROR(__xludf.DUMMYFUNCTION("GOOGLEFINANCE(A39,""price"")"),1202.7)</f>
        <v>1202.7</v>
      </c>
      <c r="C39" s="60">
        <f>IFERROR(__xludf.DUMMYFUNCTION("MAX(QUERY(SORT(GOOGLEFINANCE(A39,""high"",TODAY()-100,TODAY()),1,0),""select Col2 limit 55""))"),1282.7)</f>
        <v>1282.7</v>
      </c>
      <c r="D39" s="32">
        <f>IFERROR(__xludf.DUMMYFUNCTION("GOOGLEFINANCE(A39,""high52"")"),1282.7)</f>
        <v>1282.7</v>
      </c>
      <c r="E39" s="33">
        <f>IFERROR(__xludf.DUMMYFUNCTION("to_date(index(sort(GOOGLEFINANCE(A39, ""high"", today()-52*7, today(), ""DAILY""),2,0),2,1))"),46154.64583333333)</f>
        <v>46154.64583</v>
      </c>
      <c r="F39" s="32">
        <f>IFERROR(__xludf.DUMMYFUNCTION("GOOGLEFINANCE(A39,""low52"")"),1007.2)</f>
        <v>1007.2</v>
      </c>
      <c r="G39" s="33">
        <f>IFERROR(__xludf.DUMMYFUNCTION("to_date(index(sort(GOOGLEFINANCE(A39, ""low"", today()-52*7, today(), ""DAILY""),2,1),1,1))"),46114.64583333333)</f>
        <v>46114.64583</v>
      </c>
      <c r="H39" s="61">
        <f>IFERROR(__xludf.DUMMYFUNCTION("MIN(QUERY(SORT(GOOGLEFINANCE(A39,""low"",TODAY()-40,TODAY()),1,0),""select Col2 limit 20""))"),1135.6)</f>
        <v>1135.6</v>
      </c>
      <c r="I39" s="61">
        <f t="shared" si="1"/>
        <v>6.651700341</v>
      </c>
      <c r="J39" s="35" t="str">
        <f t="shared" si="2"/>
        <v>No need to fresh start</v>
      </c>
    </row>
    <row r="40">
      <c r="A40" s="62" t="s">
        <v>226</v>
      </c>
      <c r="B40" s="59">
        <f>IFERROR(__xludf.DUMMYFUNCTION("GOOGLEFINANCE(A40,""price"")"),1095.2)</f>
        <v>1095.2</v>
      </c>
      <c r="C40" s="60">
        <f>IFERROR(__xludf.DUMMYFUNCTION("MAX(QUERY(SORT(GOOGLEFINANCE(A40,""high"",TODAY()-100,TODAY()),1,0),""select Col2 limit 55""))"),1125.0)</f>
        <v>1125</v>
      </c>
      <c r="D40" s="32">
        <f>IFERROR(__xludf.DUMMYFUNCTION("GOOGLEFINANCE(A40,""high52"")"),1125.0)</f>
        <v>1125</v>
      </c>
      <c r="E40" s="33">
        <f>IFERROR(__xludf.DUMMYFUNCTION("to_date(index(sort(GOOGLEFINANCE(A40, ""high"", today()-52*7, today(), ""DAILY""),2,0),2,1))"),46163.64583333333)</f>
        <v>46163.64583</v>
      </c>
      <c r="F40" s="32">
        <f>IFERROR(__xludf.DUMMYFUNCTION("GOOGLEFINANCE(A40,""low52"")"),714.05)</f>
        <v>714.05</v>
      </c>
      <c r="G40" s="33">
        <f>IFERROR(__xludf.DUMMYFUNCTION("to_date(index(sort(GOOGLEFINANCE(A40, ""low"", today()-52*7, today(), ""DAILY""),2,1),1,1))"),45821.64583333333)</f>
        <v>45821.64583</v>
      </c>
      <c r="H40" s="61">
        <f>IFERROR(__xludf.DUMMYFUNCTION("MIN(QUERY(SORT(GOOGLEFINANCE(A40,""low"",TODAY()-40,TODAY()),1,0),""select Col2 limit 20""))"),984.8)</f>
        <v>984.8</v>
      </c>
      <c r="I40" s="61">
        <f t="shared" si="1"/>
        <v>2.720964207</v>
      </c>
      <c r="J40" s="35" t="str">
        <f t="shared" si="2"/>
        <v>No need to fresh start</v>
      </c>
    </row>
    <row r="41">
      <c r="A41" s="62" t="s">
        <v>227</v>
      </c>
      <c r="B41" s="59" t="str">
        <f>IFERROR(__xludf.DUMMYFUNCTION("GOOGLEFINANCE(A41,""price"")"),"#N/A")</f>
        <v>#N/A</v>
      </c>
      <c r="C41" s="60" t="str">
        <f>IFERROR(__xludf.DUMMYFUNCTION("MAX(QUERY(SORT(GOOGLEFINANCE(A41,""high"",TODAY()-100,TODAY()),1,0),""select Col2 limit 55""))"),"#N/A")</f>
        <v>#N/A</v>
      </c>
      <c r="D41" s="32" t="str">
        <f>IFERROR(__xludf.DUMMYFUNCTION("GOOGLEFINANCE(A41,""high52"")"),"#N/A")</f>
        <v>#N/A</v>
      </c>
      <c r="E41" s="33" t="str">
        <f>IFERROR(__xludf.DUMMYFUNCTION("to_date(index(sort(GOOGLEFINANCE(A41, ""high"", today()-52*7, today(), ""DAILY""),2,0),2,1))"),"#N/A")</f>
        <v>#N/A</v>
      </c>
      <c r="F41" s="32" t="str">
        <f>IFERROR(__xludf.DUMMYFUNCTION("GOOGLEFINANCE(A41,""low52"")"),"#N/A")</f>
        <v>#N/A</v>
      </c>
      <c r="G41" s="33" t="str">
        <f>IFERROR(__xludf.DUMMYFUNCTION("to_date(index(sort(GOOGLEFINANCE(A41, ""low"", today()-52*7, today(), ""DAILY""),2,1),1,1))"),"#N/A")</f>
        <v>#N/A</v>
      </c>
      <c r="H41" s="61" t="str">
        <f>IFERROR(__xludf.DUMMYFUNCTION("MIN(QUERY(SORT(GOOGLEFINANCE(A41,""low"",TODAY()-40,TODAY()),1,0),""select Col2 limit 20""))"),"#N/A")</f>
        <v>#N/A</v>
      </c>
      <c r="I41" s="61" t="str">
        <f t="shared" si="1"/>
        <v>#N/A</v>
      </c>
      <c r="J41" s="35" t="str">
        <f t="shared" si="2"/>
        <v>#N/A</v>
      </c>
    </row>
    <row r="42">
      <c r="A42" s="62" t="s">
        <v>133</v>
      </c>
      <c r="B42" s="59">
        <f>IFERROR(__xludf.DUMMYFUNCTION("GOOGLEFINANCE(A42,""price"")"),1001.55)</f>
        <v>1001.55</v>
      </c>
      <c r="C42" s="60">
        <f>IFERROR(__xludf.DUMMYFUNCTION("MAX(QUERY(SORT(GOOGLEFINANCE(A42,""high"",TODAY()-100,TODAY()),1,0),""select Col2 limit 55""))"),1080.9)</f>
        <v>1080.9</v>
      </c>
      <c r="D42" s="32">
        <f>IFERROR(__xludf.DUMMYFUNCTION("GOOGLEFINANCE(A42,""high52"")"),1550.0)</f>
        <v>1550</v>
      </c>
      <c r="E42" s="33">
        <f>IFERROR(__xludf.DUMMYFUNCTION("to_date(index(sort(GOOGLEFINANCE(A42, ""high"", today()-52*7, today(), ""DAILY""),2,0),2,1))"),45818.64583333333)</f>
        <v>45818.64583</v>
      </c>
      <c r="F42" s="32">
        <f>IFERROR(__xludf.DUMMYFUNCTION("GOOGLEFINANCE(A42,""low52"")"),908.3)</f>
        <v>908.3</v>
      </c>
      <c r="G42" s="33">
        <f>IFERROR(__xludf.DUMMYFUNCTION("to_date(index(sort(GOOGLEFINANCE(A42, ""low"", today()-52*7, today(), ""DAILY""),2,1),1,1))"),46167.64583333333)</f>
        <v>46167.64583</v>
      </c>
      <c r="H42" s="61">
        <f>IFERROR(__xludf.DUMMYFUNCTION("MIN(QUERY(SORT(GOOGLEFINANCE(A42,""low"",TODAY()-40,TODAY()),1,0),""select Col2 limit 20""))"),908.3)</f>
        <v>908.3</v>
      </c>
      <c r="I42" s="61">
        <f t="shared" si="1"/>
        <v>7.922719784</v>
      </c>
      <c r="J42" s="35" t="str">
        <f t="shared" si="2"/>
        <v>No need to fresh start</v>
      </c>
    </row>
    <row r="43">
      <c r="A43" s="62" t="s">
        <v>149</v>
      </c>
      <c r="B43" s="59">
        <f>IFERROR(__xludf.DUMMYFUNCTION("GOOGLEFINANCE(A43,""price"")"),1317.0)</f>
        <v>1317</v>
      </c>
      <c r="C43" s="60">
        <f>IFERROR(__xludf.DUMMYFUNCTION("MAX(QUERY(SORT(GOOGLEFINANCE(A43,""high"",TODAY()-100,TODAY()),1,0),""select Col2 limit 55""))"),1314.0)</f>
        <v>1314</v>
      </c>
      <c r="D43" s="32">
        <f>IFERROR(__xludf.DUMMYFUNCTION("GOOGLEFINANCE(A43,""high52"")"),1328.0)</f>
        <v>1328</v>
      </c>
      <c r="E43" s="33">
        <f>IFERROR(__xludf.DUMMYFUNCTION("to_date(index(sort(GOOGLEFINANCE(A43, ""high"", today()-52*7, today(), ""DAILY""),2,0),2,1))"),46157.64583333333)</f>
        <v>46157.64583</v>
      </c>
      <c r="F43" s="32">
        <f>IFERROR(__xludf.DUMMYFUNCTION("GOOGLEFINANCE(A43,""low52"")"),962.15)</f>
        <v>962.15</v>
      </c>
      <c r="G43" s="33">
        <f>IFERROR(__xludf.DUMMYFUNCTION("to_date(index(sort(GOOGLEFINANCE(A43, ""low"", today()-52*7, today(), ""DAILY""),2,1),1,1))"),45812.64583333333)</f>
        <v>45812.64583</v>
      </c>
      <c r="H43" s="61">
        <f>IFERROR(__xludf.DUMMYFUNCTION("MIN(QUERY(SORT(GOOGLEFINANCE(A43,""low"",TODAY()-40,TODAY()),1,0),""select Col2 limit 20""))"),1245.8)</f>
        <v>1245.8</v>
      </c>
      <c r="I43" s="61">
        <f t="shared" si="1"/>
        <v>-0.2277904328</v>
      </c>
      <c r="J43" s="35" t="str">
        <f t="shared" si="2"/>
        <v>No need to fresh start</v>
      </c>
    </row>
    <row r="44">
      <c r="A44" s="62" t="s">
        <v>228</v>
      </c>
      <c r="B44" s="59">
        <f>IFERROR(__xludf.DUMMYFUNCTION("GOOGLEFINANCE(A44,""price"")"),402.0)</f>
        <v>402</v>
      </c>
      <c r="C44" s="60">
        <f>IFERROR(__xludf.DUMMYFUNCTION("MAX(QUERY(SORT(GOOGLEFINANCE(A44,""high"",TODAY()-100,TODAY()),1,0),""select Col2 limit 55""))"),477.0)</f>
        <v>477</v>
      </c>
      <c r="D44" s="32">
        <f>IFERROR(__xludf.DUMMYFUNCTION("GOOGLEFINANCE(A44,""high52"")"),634.2)</f>
        <v>634.2</v>
      </c>
      <c r="E44" s="33">
        <f>IFERROR(__xludf.DUMMYFUNCTION("to_date(index(sort(GOOGLEFINANCE(A44, ""high"", today()-52*7, today(), ""DAILY""),2,0),2,1))"),45890.64583333333)</f>
        <v>45890.64583</v>
      </c>
      <c r="F44" s="32">
        <f>IFERROR(__xludf.DUMMYFUNCTION("GOOGLEFINANCE(A44,""low52"")"),385.5)</f>
        <v>385.5</v>
      </c>
      <c r="G44" s="33">
        <f>IFERROR(__xludf.DUMMYFUNCTION("to_date(index(sort(GOOGLEFINANCE(A44, ""low"", today()-52*7, today(), ""DAILY""),2,1),1,1))"),46114.64583333333)</f>
        <v>46114.64583</v>
      </c>
      <c r="H44" s="61">
        <f>IFERROR(__xludf.DUMMYFUNCTION("MIN(QUERY(SORT(GOOGLEFINANCE(A44,""low"",TODAY()-40,TODAY()),1,0),""select Col2 limit 20""))"),401.3)</f>
        <v>401.3</v>
      </c>
      <c r="I44" s="61">
        <f t="shared" si="1"/>
        <v>18.65671642</v>
      </c>
      <c r="J44" s="35" t="str">
        <f t="shared" si="2"/>
        <v>Start GTT Order</v>
      </c>
    </row>
    <row r="45">
      <c r="A45" s="62" t="s">
        <v>57</v>
      </c>
      <c r="B45" s="59">
        <f>IFERROR(__xludf.DUMMYFUNCTION("GOOGLEFINANCE(A45,""price"")"),394.15)</f>
        <v>394.15</v>
      </c>
      <c r="C45" s="60">
        <f>IFERROR(__xludf.DUMMYFUNCTION("MAX(QUERY(SORT(GOOGLEFINANCE(A45,""high"",TODAY()-100,TODAY()),1,0),""select Col2 limit 55""))"),414.4)</f>
        <v>414.4</v>
      </c>
      <c r="D45" s="32">
        <f>IFERROR(__xludf.DUMMYFUNCTION("GOOGLEFINANCE(A45,""high52"")"),414.4)</f>
        <v>414.4</v>
      </c>
      <c r="E45" s="33">
        <f>IFERROR(__xludf.DUMMYFUNCTION("to_date(index(sort(GOOGLEFINANCE(A45, ""high"", today()-52*7, today(), ""DAILY""),2,0),2,1))"),46139.64583333333)</f>
        <v>46139.64583</v>
      </c>
      <c r="F45" s="32">
        <f>IFERROR(__xludf.DUMMYFUNCTION("GOOGLEFINANCE(A45,""low52"")"),315.55)</f>
        <v>315.55</v>
      </c>
      <c r="G45" s="33">
        <f>IFERROR(__xludf.DUMMYFUNCTION("to_date(index(sort(GOOGLEFINANCE(A45, ""low"", today()-52*7, today(), ""DAILY""),2,1),1,1))"),46000.64583333333)</f>
        <v>46000.64583</v>
      </c>
      <c r="H45" s="61">
        <f>IFERROR(__xludf.DUMMYFUNCTION("MIN(QUERY(SORT(GOOGLEFINANCE(A45,""low"",TODAY()-40,TODAY()),1,0),""select Col2 limit 20""))"),384.0)</f>
        <v>384</v>
      </c>
      <c r="I45" s="61">
        <f t="shared" si="1"/>
        <v>5.137637955</v>
      </c>
      <c r="J45" s="35" t="str">
        <f t="shared" si="2"/>
        <v>No need to fresh start</v>
      </c>
    </row>
    <row r="46">
      <c r="A46" s="62" t="s">
        <v>80</v>
      </c>
      <c r="B46" s="59">
        <f>IFERROR(__xludf.DUMMYFUNCTION("GOOGLEFINANCE(A46,""price"")"),168.99)</f>
        <v>168.99</v>
      </c>
      <c r="C46" s="60">
        <f>IFERROR(__xludf.DUMMYFUNCTION("MAX(QUERY(SORT(GOOGLEFINANCE(A46,""high"",TODAY()-100,TODAY()),1,0),""select Col2 limit 55""))"),197.13)</f>
        <v>197.13</v>
      </c>
      <c r="D46" s="32">
        <f>IFERROR(__xludf.DUMMYFUNCTION("GOOGLEFINANCE(A46,""high52"")"),205.49)</f>
        <v>205.49</v>
      </c>
      <c r="E46" s="33">
        <f>IFERROR(__xludf.DUMMYFUNCTION("to_date(index(sort(GOOGLEFINANCE(A46, ""high"", today()-52*7, today(), ""DAILY""),2,0),2,1))"),46080.64583333333)</f>
        <v>46080.64583</v>
      </c>
      <c r="F46" s="32">
        <f>IFERROR(__xludf.DUMMYFUNCTION("GOOGLEFINANCE(A46,""low52"")"),124.64)</f>
        <v>124.64</v>
      </c>
      <c r="G46" s="33">
        <f>IFERROR(__xludf.DUMMYFUNCTION("to_date(index(sort(GOOGLEFINANCE(A46, ""low"", today()-52*7, today(), ""DAILY""),2,1),1,1))"),45898.64583333333)</f>
        <v>45898.64583</v>
      </c>
      <c r="H46" s="61">
        <f>IFERROR(__xludf.DUMMYFUNCTION("MIN(QUERY(SORT(GOOGLEFINANCE(A46,""low"",TODAY()-40,TODAY()),1,0),""select Col2 limit 20""))"),156.21)</f>
        <v>156.21</v>
      </c>
      <c r="I46" s="61">
        <f t="shared" si="1"/>
        <v>16.65187289</v>
      </c>
      <c r="J46" s="35" t="str">
        <f t="shared" si="2"/>
        <v>No need to fresh start</v>
      </c>
    </row>
    <row r="47">
      <c r="A47" s="62" t="s">
        <v>229</v>
      </c>
      <c r="B47" s="59">
        <f>IFERROR(__xludf.DUMMYFUNCTION("GOOGLEFINANCE(A47,""price"")"),3213.9)</f>
        <v>3213.9</v>
      </c>
      <c r="C47" s="60">
        <f>IFERROR(__xludf.DUMMYFUNCTION("MAX(QUERY(SORT(GOOGLEFINANCE(A47,""high"",TODAY()-100,TODAY()),1,0),""select Col2 limit 55""))"),3870.0)</f>
        <v>3870</v>
      </c>
      <c r="D47" s="32">
        <f>IFERROR(__xludf.DUMMYFUNCTION("GOOGLEFINANCE(A47,""high52"")"),6410.0)</f>
        <v>6410</v>
      </c>
      <c r="E47" s="33">
        <f>IFERROR(__xludf.DUMMYFUNCTION("to_date(index(sort(GOOGLEFINANCE(A47, ""high"", today()-52*7, today(), ""DAILY""),2,0),2,1))"),45838.64583333333)</f>
        <v>45838.64583</v>
      </c>
      <c r="F47" s="32">
        <f>IFERROR(__xludf.DUMMYFUNCTION("GOOGLEFINANCE(A47,""low52"")"),3151.6)</f>
        <v>3151.6</v>
      </c>
      <c r="G47" s="33">
        <f>IFERROR(__xludf.DUMMYFUNCTION("to_date(index(sort(GOOGLEFINANCE(A47, ""low"", today()-52*7, today(), ""DAILY""),2,1),1,1))"),46167.64583333333)</f>
        <v>46167.64583</v>
      </c>
      <c r="H47" s="61">
        <f>IFERROR(__xludf.DUMMYFUNCTION("MIN(QUERY(SORT(GOOGLEFINANCE(A47,""low"",TODAY()-40,TODAY()),1,0),""select Col2 limit 20""))"),3151.6)</f>
        <v>3151.6</v>
      </c>
      <c r="I47" s="61">
        <f t="shared" si="1"/>
        <v>20.41444973</v>
      </c>
      <c r="J47" s="35" t="str">
        <f t="shared" si="2"/>
        <v>No need to fresh start</v>
      </c>
    </row>
    <row r="48">
      <c r="A48" s="62" t="s">
        <v>201</v>
      </c>
      <c r="B48" s="59" t="str">
        <f>IFERROR(__xludf.DUMMYFUNCTION("GOOGLEFINANCE(A48,""price"")"),"#N/A")</f>
        <v>#N/A</v>
      </c>
      <c r="C48" s="60" t="str">
        <f>IFERROR(__xludf.DUMMYFUNCTION("MAX(QUERY(SORT(GOOGLEFINANCE(A48,""high"",TODAY()-100,TODAY()),1,0),""select Col2 limit 55""))"),"#N/A")</f>
        <v>#N/A</v>
      </c>
      <c r="D48" s="32" t="str">
        <f>IFERROR(__xludf.DUMMYFUNCTION("GOOGLEFINANCE(A48,""high52"")"),"#N/A")</f>
        <v>#N/A</v>
      </c>
      <c r="E48" s="33" t="str">
        <f>IFERROR(__xludf.DUMMYFUNCTION("to_date(index(sort(GOOGLEFINANCE(A48, ""high"", today()-52*7, today(), ""DAILY""),2,0),2,1))"),"#N/A")</f>
        <v>#N/A</v>
      </c>
      <c r="F48" s="32" t="str">
        <f>IFERROR(__xludf.DUMMYFUNCTION("GOOGLEFINANCE(A48,""low52"")"),"#N/A")</f>
        <v>#N/A</v>
      </c>
      <c r="G48" s="33" t="str">
        <f>IFERROR(__xludf.DUMMYFUNCTION("to_date(index(sort(GOOGLEFINANCE(A48, ""low"", today()-52*7, today(), ""DAILY""),2,1),1,1))"),"#N/A")</f>
        <v>#N/A</v>
      </c>
      <c r="H48" s="61" t="str">
        <f>IFERROR(__xludf.DUMMYFUNCTION("MIN(QUERY(SORT(GOOGLEFINANCE(A48,""low"",TODAY()-40,TODAY()),1,0),""select Col2 limit 20""))"),"#N/A")</f>
        <v>#N/A</v>
      </c>
      <c r="I48" s="61" t="str">
        <f t="shared" si="1"/>
        <v>#N/A</v>
      </c>
      <c r="J48" s="35" t="str">
        <f t="shared" si="2"/>
        <v>#N/A</v>
      </c>
    </row>
    <row r="49">
      <c r="A49" s="62" t="s">
        <v>199</v>
      </c>
      <c r="B49" s="59">
        <f>IFERROR(__xludf.DUMMYFUNCTION("GOOGLEFINANCE(A49,""price"")"),439.4)</f>
        <v>439.4</v>
      </c>
      <c r="C49" s="60">
        <f>IFERROR(__xludf.DUMMYFUNCTION("MAX(QUERY(SORT(GOOGLEFINANCE(A49,""high"",TODAY()-100,TODAY()),1,0),""select Col2 limit 55""))"),461.7)</f>
        <v>461.7</v>
      </c>
      <c r="D49" s="32">
        <f>IFERROR(__xludf.DUMMYFUNCTION("GOOGLEFINANCE(A49,""high52"")"),481.5)</f>
        <v>481.5</v>
      </c>
      <c r="E49" s="33">
        <f>IFERROR(__xludf.DUMMYFUNCTION("to_date(index(sort(GOOGLEFINANCE(A49, ""high"", today()-52*7, today(), ""DAILY""),2,0),2,1))"),46072.64583333333)</f>
        <v>46072.64583</v>
      </c>
      <c r="F49" s="32">
        <f>IFERROR(__xludf.DUMMYFUNCTION("GOOGLEFINANCE(A49,""low52"")"),312.55)</f>
        <v>312.55</v>
      </c>
      <c r="G49" s="33">
        <f>IFERROR(__xludf.DUMMYFUNCTION("to_date(index(sort(GOOGLEFINANCE(A49, ""low"", today()-52*7, today(), ""DAILY""),2,1),1,1))"),45903.64583333333)</f>
        <v>45903.64583</v>
      </c>
      <c r="H49" s="61">
        <f>IFERROR(__xludf.DUMMYFUNCTION("MIN(QUERY(SORT(GOOGLEFINANCE(A49,""low"",TODAY()-40,TODAY()),1,0),""select Col2 limit 20""))"),390.8)</f>
        <v>390.8</v>
      </c>
      <c r="I49" s="61">
        <f t="shared" si="1"/>
        <v>5.075102412</v>
      </c>
      <c r="J49" s="35" t="str">
        <f t="shared" si="2"/>
        <v>No need to fresh start</v>
      </c>
    </row>
    <row r="50">
      <c r="A50" s="62" t="s">
        <v>59</v>
      </c>
      <c r="B50" s="59">
        <f>IFERROR(__xludf.DUMMYFUNCTION("GOOGLEFINANCE(A50,""price"")"),298.05)</f>
        <v>298.05</v>
      </c>
      <c r="C50" s="60">
        <f>IFERROR(__xludf.DUMMYFUNCTION("MAX(QUERY(SORT(GOOGLEFINANCE(A50,""high"",TODAY()-100,TODAY()),1,0),""select Col2 limit 55""))"),324.95)</f>
        <v>324.95</v>
      </c>
      <c r="D50" s="32">
        <f>IFERROR(__xludf.DUMMYFUNCTION("GOOGLEFINANCE(A50,""high52"")"),324.95)</f>
        <v>324.95</v>
      </c>
      <c r="E50" s="33">
        <f>IFERROR(__xludf.DUMMYFUNCTION("to_date(index(sort(GOOGLEFINANCE(A50, ""high"", today()-52*7, today(), ""DAILY""),2,0),2,1))"),46139.64583333333)</f>
        <v>46139.64583</v>
      </c>
      <c r="F50" s="32">
        <f>IFERROR(__xludf.DUMMYFUNCTION("GOOGLEFINANCE(A50,""low52"")"),250.0)</f>
        <v>250</v>
      </c>
      <c r="G50" s="33">
        <f>IFERROR(__xludf.DUMMYFUNCTION("to_date(index(sort(GOOGLEFINANCE(A50, ""low"", today()-52*7, today(), ""DAILY""),2,1),1,1))"),46055.64583333333)</f>
        <v>46055.64583</v>
      </c>
      <c r="H50" s="61">
        <f>IFERROR(__xludf.DUMMYFUNCTION("MIN(QUERY(SORT(GOOGLEFINANCE(A50,""low"",TODAY()-40,TODAY()),1,0),""select Col2 limit 20""))"),290.2)</f>
        <v>290.2</v>
      </c>
      <c r="I50" s="61">
        <f t="shared" si="1"/>
        <v>9.02533132</v>
      </c>
      <c r="J50" s="35" t="str">
        <f t="shared" si="2"/>
        <v>No need to fresh start</v>
      </c>
    </row>
    <row r="51">
      <c r="A51" s="62" t="s">
        <v>230</v>
      </c>
      <c r="B51" s="59">
        <f>IFERROR(__xludf.DUMMYFUNCTION("GOOGLEFINANCE(A51,""price"")"),2338.6)</f>
        <v>2338.6</v>
      </c>
      <c r="C51" s="60">
        <f>IFERROR(__xludf.DUMMYFUNCTION("MAX(QUERY(SORT(GOOGLEFINANCE(A51,""high"",TODAY()-100,TODAY()),1,0),""select Col2 limit 55""))"),2474.0)</f>
        <v>2474</v>
      </c>
      <c r="D51" s="32">
        <f>IFERROR(__xludf.DUMMYFUNCTION("GOOGLEFINANCE(A51,""high52"")"),2474.0)</f>
        <v>2474</v>
      </c>
      <c r="E51" s="33">
        <f>IFERROR(__xludf.DUMMYFUNCTION("to_date(index(sort(GOOGLEFINANCE(A51, ""high"", today()-52*7, today(), ""DAILY""),2,0),2,1))"),46141.64583333333)</f>
        <v>46141.64583</v>
      </c>
      <c r="F51" s="32">
        <f>IFERROR(__xludf.DUMMYFUNCTION("GOOGLEFINANCE(A51,""low52"")"),1375.6)</f>
        <v>1375.6</v>
      </c>
      <c r="G51" s="33">
        <f>IFERROR(__xludf.DUMMYFUNCTION("to_date(index(sort(GOOGLEFINANCE(A51, ""low"", today()-52*7, today(), ""DAILY""),2,1),1,1))"),45805.64583333333)</f>
        <v>45805.64583</v>
      </c>
      <c r="H51" s="61">
        <f>IFERROR(__xludf.DUMMYFUNCTION("MIN(QUERY(SORT(GOOGLEFINANCE(A51,""low"",TODAY()-40,TODAY()),1,0),""select Col2 limit 20""))"),2226.3)</f>
        <v>2226.3</v>
      </c>
      <c r="I51" s="61">
        <f t="shared" si="1"/>
        <v>5.789788763</v>
      </c>
      <c r="J51" s="35" t="str">
        <f t="shared" si="2"/>
        <v>No need to fresh start</v>
      </c>
    </row>
    <row r="52">
      <c r="A52" s="62" t="s">
        <v>139</v>
      </c>
      <c r="B52" s="59">
        <f>IFERROR(__xludf.DUMMYFUNCTION("GOOGLEFINANCE(A52,""price"")"),597.45)</f>
        <v>597.45</v>
      </c>
      <c r="C52" s="60">
        <f>IFERROR(__xludf.DUMMYFUNCTION("MAX(QUERY(SORT(GOOGLEFINANCE(A52,""high"",TODAY()-100,TODAY()),1,0),""select Col2 limit 55""))"),620.0)</f>
        <v>620</v>
      </c>
      <c r="D52" s="32">
        <f>IFERROR(__xludf.DUMMYFUNCTION("GOOGLEFINANCE(A52,""high52"")"),886.8)</f>
        <v>886.8</v>
      </c>
      <c r="E52" s="33">
        <f>IFERROR(__xludf.DUMMYFUNCTION("to_date(index(sort(GOOGLEFINANCE(A52, ""high"", today()-52*7, today(), ""DAILY""),2,0),2,1))"),45817.64583333333)</f>
        <v>45817.64583</v>
      </c>
      <c r="F52" s="32">
        <f>IFERROR(__xludf.DUMMYFUNCTION("GOOGLEFINANCE(A52,""low52"")"),489.4)</f>
        <v>489.4</v>
      </c>
      <c r="G52" s="33">
        <f>IFERROR(__xludf.DUMMYFUNCTION("to_date(index(sort(GOOGLEFINANCE(A52, ""low"", today()-52*7, today(), ""DAILY""),2,1),1,1))"),46114.64583333333)</f>
        <v>46114.64583</v>
      </c>
      <c r="H52" s="61">
        <f>IFERROR(__xludf.DUMMYFUNCTION("MIN(QUERY(SORT(GOOGLEFINANCE(A52,""low"",TODAY()-40,TODAY()),1,0),""select Col2 limit 20""))"),553.8)</f>
        <v>553.8</v>
      </c>
      <c r="I52" s="61">
        <f t="shared" si="1"/>
        <v>3.774374425</v>
      </c>
      <c r="J52" s="35" t="str">
        <f t="shared" si="2"/>
        <v>No need to fresh start</v>
      </c>
    </row>
    <row r="53">
      <c r="A53" s="62" t="s">
        <v>200</v>
      </c>
      <c r="B53" s="59">
        <f>IFERROR(__xludf.DUMMYFUNCTION("GOOGLEFINANCE(A53,""price"")"),928.2)</f>
        <v>928.2</v>
      </c>
      <c r="C53" s="60">
        <f>IFERROR(__xludf.DUMMYFUNCTION("MAX(QUERY(SORT(GOOGLEFINANCE(A53,""high"",TODAY()-100,TODAY()),1,0),""select Col2 limit 55""))"),992.25)</f>
        <v>992.25</v>
      </c>
      <c r="D53" s="32">
        <f>IFERROR(__xludf.DUMMYFUNCTION("GOOGLEFINANCE(A53,""high52"")"),1102.5)</f>
        <v>1102.5</v>
      </c>
      <c r="E53" s="33">
        <f>IFERROR(__xludf.DUMMYFUNCTION("to_date(index(sort(GOOGLEFINANCE(A53, ""high"", today()-52*7, today(), ""DAILY""),2,0),2,1))"),45953.64583333333)</f>
        <v>45953.64583</v>
      </c>
      <c r="F53" s="32">
        <f>IFERROR(__xludf.DUMMYFUNCTION("GOOGLEFINANCE(A53,""low52"")"),787.9)</f>
        <v>787.9</v>
      </c>
      <c r="G53" s="33">
        <f>IFERROR(__xludf.DUMMYFUNCTION("to_date(index(sort(GOOGLEFINANCE(A53, ""low"", today()-52*7, today(), ""DAILY""),2,1),1,1))"),46104.64583333333)</f>
        <v>46104.64583</v>
      </c>
      <c r="H53" s="61">
        <f>IFERROR(__xludf.DUMMYFUNCTION("MIN(QUERY(SORT(GOOGLEFINANCE(A53,""low"",TODAY()-40,TODAY()),1,0),""select Col2 limit 20""))"),889.0)</f>
        <v>889</v>
      </c>
      <c r="I53" s="61">
        <f t="shared" si="1"/>
        <v>6.900452489</v>
      </c>
      <c r="J53" s="35" t="str">
        <f t="shared" si="2"/>
        <v>No need to fresh start</v>
      </c>
    </row>
    <row r="54">
      <c r="A54" s="62" t="s">
        <v>231</v>
      </c>
      <c r="B54" s="59">
        <f>IFERROR(__xludf.DUMMYFUNCTION("GOOGLEFINANCE(A54,""price"")"),5513.0)</f>
        <v>5513</v>
      </c>
      <c r="C54" s="60">
        <f>IFERROR(__xludf.DUMMYFUNCTION("MAX(QUERY(SORT(GOOGLEFINANCE(A54,""high"",TODAY()-100,TODAY()),1,0),""select Col2 limit 55""))"),5470.5)</f>
        <v>5470.5</v>
      </c>
      <c r="D54" s="32">
        <f>IFERROR(__xludf.DUMMYFUNCTION("GOOGLEFINANCE(A54,""high52"")"),5539.0)</f>
        <v>5539</v>
      </c>
      <c r="E54" s="33">
        <f>IFERROR(__xludf.DUMMYFUNCTION("to_date(index(sort(GOOGLEFINANCE(A54, ""high"", today()-52*7, today(), ""DAILY""),2,0),2,1))"),46150.64583333333)</f>
        <v>46150.64583</v>
      </c>
      <c r="F54" s="32">
        <f>IFERROR(__xludf.DUMMYFUNCTION("GOOGLEFINANCE(A54,""low52"")"),2921.1)</f>
        <v>2921.1</v>
      </c>
      <c r="G54" s="33">
        <f>IFERROR(__xludf.DUMMYFUNCTION("to_date(index(sort(GOOGLEFINANCE(A54, ""low"", today()-52*7, today(), ""DAILY""),2,1),1,1))"),46085.64583333333)</f>
        <v>46085.64583</v>
      </c>
      <c r="H54" s="61">
        <f>IFERROR(__xludf.DUMMYFUNCTION("MIN(QUERY(SORT(GOOGLEFINANCE(A54,""low"",TODAY()-40,TODAY()),1,0),""select Col2 limit 20""))"),5120.0)</f>
        <v>5120</v>
      </c>
      <c r="I54" s="61">
        <f t="shared" si="1"/>
        <v>-0.7709051333</v>
      </c>
      <c r="J54" s="35" t="str">
        <f t="shared" si="2"/>
        <v>No need to fresh start</v>
      </c>
    </row>
    <row r="55">
      <c r="A55" s="62" t="s">
        <v>194</v>
      </c>
      <c r="B55" s="59">
        <f>IFERROR(__xludf.DUMMYFUNCTION("GOOGLEFINANCE(A55,""price"")"),1144.0)</f>
        <v>1144</v>
      </c>
      <c r="C55" s="60">
        <f>IFERROR(__xludf.DUMMYFUNCTION("MAX(QUERY(SORT(GOOGLEFINANCE(A55,""high"",TODAY()-100,TODAY()),1,0),""select Col2 limit 55""))"),1119.8)</f>
        <v>1119.8</v>
      </c>
      <c r="D55" s="32">
        <f>IFERROR(__xludf.DUMMYFUNCTION("GOOGLEFINANCE(A55,""high52"")"),1154.0)</f>
        <v>1154</v>
      </c>
      <c r="E55" s="33">
        <f>IFERROR(__xludf.DUMMYFUNCTION("to_date(index(sort(GOOGLEFINANCE(A55, ""high"", today()-52*7, today(), ""DAILY""),2,0),2,1))"),46167.64583333333)</f>
        <v>46167.64583</v>
      </c>
      <c r="F55" s="32">
        <f>IFERROR(__xludf.DUMMYFUNCTION("GOOGLEFINANCE(A55,""low52"")"),618.0)</f>
        <v>618</v>
      </c>
      <c r="G55" s="33">
        <f>IFERROR(__xludf.DUMMYFUNCTION("to_date(index(sort(GOOGLEFINANCE(A55, ""low"", today()-52*7, today(), ""DAILY""),2,1),1,1))"),45810.64583333333)</f>
        <v>45810.64583</v>
      </c>
      <c r="H55" s="61">
        <f>IFERROR(__xludf.DUMMYFUNCTION("MIN(QUERY(SORT(GOOGLEFINANCE(A55,""low"",TODAY()-40,TODAY()),1,0),""select Col2 limit 20""))"),1022.1)</f>
        <v>1022.1</v>
      </c>
      <c r="I55" s="61">
        <f t="shared" si="1"/>
        <v>-2.115384615</v>
      </c>
      <c r="J55" s="35" t="str">
        <f t="shared" si="2"/>
        <v>No need to fresh start</v>
      </c>
    </row>
    <row r="56">
      <c r="A56" s="62" t="s">
        <v>144</v>
      </c>
      <c r="B56" s="59">
        <f>IFERROR(__xludf.DUMMYFUNCTION("GOOGLEFINANCE(A56,""price"")"),1438.3)</f>
        <v>1438.3</v>
      </c>
      <c r="C56" s="60">
        <f>IFERROR(__xludf.DUMMYFUNCTION("MAX(QUERY(SORT(GOOGLEFINANCE(A56,""high"",TODAY()-100,TODAY()),1,0),""select Col2 limit 55""))"),1498.1)</f>
        <v>1498.1</v>
      </c>
      <c r="D56" s="32">
        <f>IFERROR(__xludf.DUMMYFUNCTION("GOOGLEFINANCE(A56,""high52"")"),1498.1)</f>
        <v>1498.1</v>
      </c>
      <c r="E56" s="33">
        <f>IFERROR(__xludf.DUMMYFUNCTION("to_date(index(sort(GOOGLEFINANCE(A56, ""high"", today()-52*7, today(), ""DAILY""),2,0),2,1))"),46153.64583333333)</f>
        <v>46153.64583</v>
      </c>
      <c r="F56" s="32">
        <f>IFERROR(__xludf.DUMMYFUNCTION("GOOGLEFINANCE(A56,""low52"")"),1084.7)</f>
        <v>1084.7</v>
      </c>
      <c r="G56" s="33">
        <f>IFERROR(__xludf.DUMMYFUNCTION("to_date(index(sort(GOOGLEFINANCE(A56, ""low"", today()-52*7, today(), ""DAILY""),2,1),1,1))"),45883.64583333333)</f>
        <v>45883.64583</v>
      </c>
      <c r="H56" s="61">
        <f>IFERROR(__xludf.DUMMYFUNCTION("MIN(QUERY(SORT(GOOGLEFINANCE(A56,""low"",TODAY()-40,TODAY()),1,0),""select Col2 limit 20""))"),1398.5)</f>
        <v>1398.5</v>
      </c>
      <c r="I56" s="61">
        <f t="shared" si="1"/>
        <v>4.157686157</v>
      </c>
      <c r="J56" s="35" t="str">
        <f t="shared" si="2"/>
        <v>No need to fresh start</v>
      </c>
    </row>
    <row r="57">
      <c r="A57" s="62" t="s">
        <v>232</v>
      </c>
      <c r="B57" s="59">
        <f>IFERROR(__xludf.DUMMYFUNCTION("GOOGLEFINANCE(A57,""price"")"),4637.5)</f>
        <v>4637.5</v>
      </c>
      <c r="C57" s="60">
        <f>IFERROR(__xludf.DUMMYFUNCTION("MAX(QUERY(SORT(GOOGLEFINANCE(A57,""high"",TODAY()-100,TODAY()),1,0),""select Col2 limit 55""))"),5045.0)</f>
        <v>5045</v>
      </c>
      <c r="D57" s="32">
        <f>IFERROR(__xludf.DUMMYFUNCTION("GOOGLEFINANCE(A57,""high52"")"),5993.0)</f>
        <v>5993</v>
      </c>
      <c r="E57" s="33">
        <f>IFERROR(__xludf.DUMMYFUNCTION("to_date(index(sort(GOOGLEFINANCE(A57, ""high"", today()-52*7, today(), ""DAILY""),2,0),2,1))"),45824.64583333333)</f>
        <v>45824.64583</v>
      </c>
      <c r="F57" s="32">
        <f>IFERROR(__xludf.DUMMYFUNCTION("GOOGLEFINANCE(A57,""low52"")"),4460.0)</f>
        <v>4460</v>
      </c>
      <c r="G57" s="33">
        <f>IFERROR(__xludf.DUMMYFUNCTION("to_date(index(sort(GOOGLEFINANCE(A57, ""low"", today()-52*7, today(), ""DAILY""),2,1),1,1))"),46055.64583333333)</f>
        <v>46055.64583</v>
      </c>
      <c r="H57" s="61">
        <f>IFERROR(__xludf.DUMMYFUNCTION("MIN(QUERY(SORT(GOOGLEFINANCE(A57,""low"",TODAY()-40,TODAY()),1,0),""select Col2 limit 20""))"),4521.0)</f>
        <v>4521</v>
      </c>
      <c r="I57" s="61">
        <f t="shared" si="1"/>
        <v>8.787061995</v>
      </c>
      <c r="J57" s="35" t="str">
        <f t="shared" si="2"/>
        <v>No need to fresh start</v>
      </c>
    </row>
    <row r="58">
      <c r="A58" s="62" t="s">
        <v>128</v>
      </c>
      <c r="B58" s="59">
        <f>IFERROR(__xludf.DUMMYFUNCTION("GOOGLEFINANCE(A58,""price"")"),4496.1)</f>
        <v>4496.1</v>
      </c>
      <c r="C58" s="60">
        <f>IFERROR(__xludf.DUMMYFUNCTION("MAX(QUERY(SORT(GOOGLEFINANCE(A58,""high"",TODAY()-100,TODAY()),1,0),""select Col2 limit 55""))"),4748.3)</f>
        <v>4748.3</v>
      </c>
      <c r="D58" s="32">
        <f>IFERROR(__xludf.DUMMYFUNCTION("GOOGLEFINANCE(A58,""high52"")"),6232.5)</f>
        <v>6232.5</v>
      </c>
      <c r="E58" s="33">
        <f>IFERROR(__xludf.DUMMYFUNCTION("to_date(index(sort(GOOGLEFINANCE(A58, ""high"", today()-52*7, today(), ""DAILY""),2,0),2,1))"),45887.64583333333)</f>
        <v>45887.64583</v>
      </c>
      <c r="F58" s="32">
        <f>IFERROR(__xludf.DUMMYFUNCTION("GOOGLEFINANCE(A58,""low52"")"),3895.2)</f>
        <v>3895.2</v>
      </c>
      <c r="G58" s="33">
        <f>IFERROR(__xludf.DUMMYFUNCTION("to_date(index(sort(GOOGLEFINANCE(A58, ""low"", today()-52*7, today(), ""DAILY""),2,1),1,1))"),46085.64583333333)</f>
        <v>46085.64583</v>
      </c>
      <c r="H58" s="61">
        <f>IFERROR(__xludf.DUMMYFUNCTION("MIN(QUERY(SORT(GOOGLEFINANCE(A58,""low"",TODAY()-40,TODAY()),1,0),""select Col2 limit 20""))"),4146.3)</f>
        <v>4146.3</v>
      </c>
      <c r="I58" s="61">
        <f t="shared" si="1"/>
        <v>5.609305843</v>
      </c>
      <c r="J58" s="35" t="str">
        <f t="shared" si="2"/>
        <v>No need to fresh start</v>
      </c>
    </row>
    <row r="59">
      <c r="A59" s="62" t="s">
        <v>64</v>
      </c>
      <c r="B59" s="59">
        <f>IFERROR(__xludf.DUMMYFUNCTION("GOOGLEFINANCE(A59,""price"")"),276.2)</f>
        <v>276.2</v>
      </c>
      <c r="C59" s="60">
        <f>IFERROR(__xludf.DUMMYFUNCTION("MAX(QUERY(SORT(GOOGLEFINANCE(A59,""high"",TODAY()-100,TODAY()),1,0),""select Col2 limit 55""))"),307.5)</f>
        <v>307.5</v>
      </c>
      <c r="D59" s="32">
        <f>IFERROR(__xludf.DUMMYFUNCTION("GOOGLEFINANCE(A59,""high52"")"),307.5)</f>
        <v>307.5</v>
      </c>
      <c r="E59" s="33">
        <f>IFERROR(__xludf.DUMMYFUNCTION("to_date(index(sort(GOOGLEFINANCE(A59, ""high"", today()-52*7, today(), ""DAILY""),2,0),2,1))"),46141.64583333333)</f>
        <v>46141.64583</v>
      </c>
      <c r="F59" s="32">
        <f>IFERROR(__xludf.DUMMYFUNCTION("GOOGLEFINANCE(A59,""low52"")"),228.61)</f>
        <v>228.61</v>
      </c>
      <c r="G59" s="33">
        <f>IFERROR(__xludf.DUMMYFUNCTION("to_date(index(sort(GOOGLEFINANCE(A59, ""low"", today()-52*7, today(), ""DAILY""),2,1),1,1))"),46008.64583333333)</f>
        <v>46008.64583</v>
      </c>
      <c r="H59" s="61">
        <f>IFERROR(__xludf.DUMMYFUNCTION("MIN(QUERY(SORT(GOOGLEFINANCE(A59,""low"",TODAY()-40,TODAY()),1,0),""select Col2 limit 20""))"),277.65)</f>
        <v>277.65</v>
      </c>
      <c r="I59" s="61">
        <f t="shared" si="1"/>
        <v>11.33236785</v>
      </c>
      <c r="J59" s="35" t="str">
        <f t="shared" si="2"/>
        <v>No need to fresh start</v>
      </c>
    </row>
    <row r="60">
      <c r="A60" s="62" t="s">
        <v>157</v>
      </c>
      <c r="B60" s="59">
        <f>IFERROR(__xludf.DUMMYFUNCTION("GOOGLEFINANCE(A60,""price"")"),614.8)</f>
        <v>614.8</v>
      </c>
      <c r="C60" s="60">
        <f>IFERROR(__xludf.DUMMYFUNCTION("MAX(QUERY(SORT(GOOGLEFINANCE(A60,""high"",TODAY()-100,TODAY()),1,0),""select Col2 limit 55""))"),736.8)</f>
        <v>736.8</v>
      </c>
      <c r="D60" s="32">
        <f>IFERROR(__xludf.DUMMYFUNCTION("GOOGLEFINANCE(A60,""high52"")"),820.75)</f>
        <v>820.75</v>
      </c>
      <c r="E60" s="33">
        <f>IFERROR(__xludf.DUMMYFUNCTION("to_date(index(sort(GOOGLEFINANCE(A60, ""high"", today()-52*7, today(), ""DAILY""),2,0),2,1))"),45838.64583333333)</f>
        <v>45838.64583</v>
      </c>
      <c r="F60" s="32">
        <f>IFERROR(__xludf.DUMMYFUNCTION("GOOGLEFINANCE(A60,""low52"")"),555.1)</f>
        <v>555.1</v>
      </c>
      <c r="G60" s="33">
        <f>IFERROR(__xludf.DUMMYFUNCTION("to_date(index(sort(GOOGLEFINANCE(A60, ""low"", today()-52*7, today(), ""DAILY""),2,1),1,1))"),46114.64583333333)</f>
        <v>46114.64583</v>
      </c>
      <c r="H60" s="61">
        <f>IFERROR(__xludf.DUMMYFUNCTION("MIN(QUERY(SORT(GOOGLEFINANCE(A60,""low"",TODAY()-40,TODAY()),1,0),""select Col2 limit 20""))"),578.4)</f>
        <v>578.4</v>
      </c>
      <c r="I60" s="61">
        <f t="shared" si="1"/>
        <v>19.84385166</v>
      </c>
      <c r="J60" s="35" t="str">
        <f t="shared" si="2"/>
        <v>Start GTT Order</v>
      </c>
    </row>
    <row r="61">
      <c r="A61" s="62" t="s">
        <v>162</v>
      </c>
      <c r="B61" s="59">
        <f>IFERROR(__xludf.DUMMYFUNCTION("GOOGLEFINANCE(A61,""price"")"),1878.4)</f>
        <v>1878.4</v>
      </c>
      <c r="C61" s="60">
        <f>IFERROR(__xludf.DUMMYFUNCTION("MAX(QUERY(SORT(GOOGLEFINANCE(A61,""high"",TODAY()-100,TODAY()),1,0),""select Col2 limit 55""))"),1997.2)</f>
        <v>1997.2</v>
      </c>
      <c r="D61" s="32">
        <f>IFERROR(__xludf.DUMMYFUNCTION("GOOGLEFINANCE(A61,""high52"")"),2132.0)</f>
        <v>2132</v>
      </c>
      <c r="E61" s="33">
        <f>IFERROR(__xludf.DUMMYFUNCTION("to_date(index(sort(GOOGLEFINANCE(A61, ""high"", today()-52*7, today(), ""DAILY""),2,0),2,1))"),46076.64583333333)</f>
        <v>46076.64583</v>
      </c>
      <c r="F61" s="32">
        <f>IFERROR(__xludf.DUMMYFUNCTION("GOOGLEFINANCE(A61,""low52"")"),1720.0)</f>
        <v>1720</v>
      </c>
      <c r="G61" s="33">
        <f>IFERROR(__xludf.DUMMYFUNCTION("to_date(index(sort(GOOGLEFINANCE(A61, ""low"", today()-52*7, today(), ""DAILY""),2,1),1,1))"),45821.64583333333)</f>
        <v>45821.64583</v>
      </c>
      <c r="H61" s="61">
        <f>IFERROR(__xludf.DUMMYFUNCTION("MIN(QUERY(SORT(GOOGLEFINANCE(A61,""low"",TODAY()-40,TODAY()),1,0),""select Col2 limit 20""))"),1785.2)</f>
        <v>1785.2</v>
      </c>
      <c r="I61" s="61">
        <f t="shared" si="1"/>
        <v>6.324531516</v>
      </c>
      <c r="J61" s="35" t="str">
        <f t="shared" si="2"/>
        <v>No need to fresh start</v>
      </c>
    </row>
    <row r="62">
      <c r="A62" s="62" t="s">
        <v>233</v>
      </c>
      <c r="B62" s="59">
        <f>IFERROR(__xludf.DUMMYFUNCTION("GOOGLEFINANCE(A62,""price"")"),120.2)</f>
        <v>120.2</v>
      </c>
      <c r="C62" s="60">
        <f>IFERROR(__xludf.DUMMYFUNCTION("MAX(QUERY(SORT(GOOGLEFINANCE(A62,""high"",TODAY()-100,TODAY()),1,0),""select Col2 limit 55""))"),137.23)</f>
        <v>137.23</v>
      </c>
      <c r="D62" s="32">
        <f>IFERROR(__xludf.DUMMYFUNCTION("GOOGLEFINANCE(A62,""high52"")"),237.88)</f>
        <v>237.88</v>
      </c>
      <c r="E62" s="33">
        <f>IFERROR(__xludf.DUMMYFUNCTION("to_date(index(sort(GOOGLEFINANCE(A62, ""high"", today()-52*7, today(), ""DAILY""),2,0),2,1))"),46013.64583333333)</f>
        <v>46013.64583</v>
      </c>
      <c r="F62" s="32">
        <f>IFERROR(__xludf.DUMMYFUNCTION("GOOGLEFINANCE(A62,""low52"")"),80.38)</f>
        <v>80.38</v>
      </c>
      <c r="G62" s="33">
        <f>IFERROR(__xludf.DUMMYFUNCTION("to_date(index(sort(GOOGLEFINANCE(A62, ""low"", today()-52*7, today(), ""DAILY""),2,1),1,1))"),46111.64583333333)</f>
        <v>46111.64583</v>
      </c>
      <c r="H62" s="61">
        <f>IFERROR(__xludf.DUMMYFUNCTION("MIN(QUERY(SORT(GOOGLEFINANCE(A62,""low"",TODAY()-40,TODAY()),1,0),""select Col2 limit 20""))"),104.32)</f>
        <v>104.32</v>
      </c>
      <c r="I62" s="61">
        <f t="shared" si="1"/>
        <v>14.16805324</v>
      </c>
      <c r="J62" s="35" t="str">
        <f t="shared" si="2"/>
        <v>Start GTT Order</v>
      </c>
    </row>
    <row r="63">
      <c r="A63" s="62" t="s">
        <v>208</v>
      </c>
      <c r="B63" s="59">
        <f>IFERROR(__xludf.DUMMYFUNCTION("GOOGLEFINANCE(A63,""price"")"),27600.0)</f>
        <v>27600</v>
      </c>
      <c r="C63" s="60">
        <f>IFERROR(__xludf.DUMMYFUNCTION("MAX(QUERY(SORT(GOOGLEFINANCE(A63,""high"",TODAY()-100,TODAY()),1,0),""select Col2 limit 55""))"),28490.0)</f>
        <v>28490</v>
      </c>
      <c r="D63" s="32">
        <f>IFERROR(__xludf.DUMMYFUNCTION("GOOGLEFINANCE(A63,""high52"")"),37000.0)</f>
        <v>37000</v>
      </c>
      <c r="E63" s="33">
        <f>IFERROR(__xludf.DUMMYFUNCTION("to_date(index(sort(GOOGLEFINANCE(A63, ""high"", today()-52*7, today(), ""DAILY""),2,0),2,1))"),45835.64583333333)</f>
        <v>45835.64583</v>
      </c>
      <c r="F63" s="32">
        <f>IFERROR(__xludf.DUMMYFUNCTION("GOOGLEFINANCE(A63,""low52"")"),25150.0)</f>
        <v>25150</v>
      </c>
      <c r="G63" s="33">
        <f>IFERROR(__xludf.DUMMYFUNCTION("to_date(index(sort(GOOGLEFINANCE(A63, ""low"", today()-52*7, today(), ""DAILY""),2,1),1,1))"),46136.64583333333)</f>
        <v>46136.64583</v>
      </c>
      <c r="H63" s="61">
        <f>IFERROR(__xludf.DUMMYFUNCTION("MIN(QUERY(SORT(GOOGLEFINANCE(A63,""low"",TODAY()-40,TODAY()),1,0),""select Col2 limit 20""))"),25175.0)</f>
        <v>25175</v>
      </c>
      <c r="I63" s="61">
        <f t="shared" si="1"/>
        <v>3.224637681</v>
      </c>
      <c r="J63" s="35" t="str">
        <f t="shared" si="2"/>
        <v>No need to fresh start</v>
      </c>
    </row>
    <row r="64">
      <c r="A64" s="62" t="s">
        <v>234</v>
      </c>
      <c r="B64" s="59" t="str">
        <f>IFERROR(__xludf.DUMMYFUNCTION("GOOGLEFINANCE(A64,""price"")"),"#N/A")</f>
        <v>#N/A</v>
      </c>
      <c r="C64" s="60" t="str">
        <f>IFERROR(__xludf.DUMMYFUNCTION("MAX(QUERY(SORT(GOOGLEFINANCE(A64,""high"",TODAY()-100,TODAY()),1,0),""select Col2 limit 55""))"),"#N/A")</f>
        <v>#N/A</v>
      </c>
      <c r="D64" s="32" t="str">
        <f>IFERROR(__xludf.DUMMYFUNCTION("GOOGLEFINANCE(A64,""high52"")"),"#N/A")</f>
        <v>#N/A</v>
      </c>
      <c r="E64" s="33" t="str">
        <f>IFERROR(__xludf.DUMMYFUNCTION("to_date(index(sort(GOOGLEFINANCE(A64, ""high"", today()-52*7, today(), ""DAILY""),2,0),2,1))"),"#N/A")</f>
        <v>#N/A</v>
      </c>
      <c r="F64" s="32" t="str">
        <f>IFERROR(__xludf.DUMMYFUNCTION("GOOGLEFINANCE(A64,""low52"")"),"#N/A")</f>
        <v>#N/A</v>
      </c>
      <c r="G64" s="33" t="str">
        <f>IFERROR(__xludf.DUMMYFUNCTION("to_date(index(sort(GOOGLEFINANCE(A64, ""low"", today()-52*7, today(), ""DAILY""),2,1),1,1))"),"#N/A")</f>
        <v>#N/A</v>
      </c>
      <c r="H64" s="61" t="str">
        <f>IFERROR(__xludf.DUMMYFUNCTION("MIN(QUERY(SORT(GOOGLEFINANCE(A64,""low"",TODAY()-40,TODAY()),1,0),""select Col2 limit 20""))"),"#N/A")</f>
        <v>#N/A</v>
      </c>
      <c r="I64" s="61" t="str">
        <f t="shared" si="1"/>
        <v>#N/A</v>
      </c>
      <c r="J64" s="35" t="str">
        <f t="shared" si="2"/>
        <v>#N/A</v>
      </c>
    </row>
    <row r="65">
      <c r="A65" s="62" t="s">
        <v>174</v>
      </c>
      <c r="B65" s="59">
        <f>IFERROR(__xludf.DUMMYFUNCTION("GOOGLEFINANCE(A65,""price"")"),1808.7)</f>
        <v>1808.7</v>
      </c>
      <c r="C65" s="60">
        <f>IFERROR(__xludf.DUMMYFUNCTION("MAX(QUERY(SORT(GOOGLEFINANCE(A65,""high"",TODAY()-100,TODAY()),1,0),""select Col2 limit 55""))"),1917.9)</f>
        <v>1917.9</v>
      </c>
      <c r="D65" s="32">
        <f>IFERROR(__xludf.DUMMYFUNCTION("GOOGLEFINANCE(A65,""high52"")"),2195.0)</f>
        <v>2195</v>
      </c>
      <c r="E65" s="33">
        <f>IFERROR(__xludf.DUMMYFUNCTION("to_date(index(sort(GOOGLEFINANCE(A65, ""high"", today()-52*7, today(), ""DAILY""),2,0),2,1))"),45953.64583333333)</f>
        <v>45953.64583</v>
      </c>
      <c r="F65" s="32">
        <f>IFERROR(__xludf.DUMMYFUNCTION("GOOGLEFINANCE(A65,""low52"")"),1597.0)</f>
        <v>1597</v>
      </c>
      <c r="G65" s="33">
        <f>IFERROR(__xludf.DUMMYFUNCTION("to_date(index(sort(GOOGLEFINANCE(A65, ""low"", today()-52*7, today(), ""DAILY""),2,1),1,1))"),46114.64583333333)</f>
        <v>46114.64583</v>
      </c>
      <c r="H65" s="61">
        <f>IFERROR(__xludf.DUMMYFUNCTION("MIN(QUERY(SORT(GOOGLEFINANCE(A65,""low"",TODAY()-40,TODAY()),1,0),""select Col2 limit 20""))"),1693.8)</f>
        <v>1693.8</v>
      </c>
      <c r="I65" s="61">
        <f t="shared" si="1"/>
        <v>6.037485487</v>
      </c>
      <c r="J65" s="35" t="str">
        <f t="shared" si="2"/>
        <v>No need to fresh start</v>
      </c>
    </row>
    <row r="66">
      <c r="A66" s="62" t="s">
        <v>235</v>
      </c>
      <c r="B66" s="59">
        <f>IFERROR(__xludf.DUMMYFUNCTION("GOOGLEFINANCE(A66,""price"")"),388.85)</f>
        <v>388.85</v>
      </c>
      <c r="C66" s="60">
        <f>IFERROR(__xludf.DUMMYFUNCTION("MAX(QUERY(SORT(GOOGLEFINANCE(A66,""high"",TODAY()-100,TODAY()),1,0),""select Col2 limit 55""))"),379.9)</f>
        <v>379.9</v>
      </c>
      <c r="D66" s="32">
        <f>IFERROR(__xludf.DUMMYFUNCTION("GOOGLEFINANCE(A66,""high52"")"),431.0)</f>
        <v>431</v>
      </c>
      <c r="E66" s="33">
        <f>IFERROR(__xludf.DUMMYFUNCTION("to_date(index(sort(GOOGLEFINANCE(A66, ""high"", today()-52*7, today(), ""DAILY""),2,0),2,1))"),45910.64583333333)</f>
        <v>45910.64583</v>
      </c>
      <c r="F66" s="32">
        <f>IFERROR(__xludf.DUMMYFUNCTION("GOOGLEFINANCE(A66,""low52"")"),287.0)</f>
        <v>287</v>
      </c>
      <c r="G66" s="33">
        <f>IFERROR(__xludf.DUMMYFUNCTION("to_date(index(sort(GOOGLEFINANCE(A66, ""low"", today()-52*7, today(), ""DAILY""),2,1),1,1))"),46111.64583333333)</f>
        <v>46111.64583</v>
      </c>
      <c r="H66" s="61">
        <f>IFERROR(__xludf.DUMMYFUNCTION("MIN(QUERY(SORT(GOOGLEFINANCE(A66,""low"",TODAY()-40,TODAY()),1,0),""select Col2 limit 20""))"),333.5)</f>
        <v>333.5</v>
      </c>
      <c r="I66" s="61">
        <f t="shared" si="1"/>
        <v>-2.301658737</v>
      </c>
      <c r="J66" s="35" t="str">
        <f t="shared" si="2"/>
        <v>No need to fresh start</v>
      </c>
    </row>
    <row r="67">
      <c r="A67" s="62" t="s">
        <v>236</v>
      </c>
      <c r="B67" s="59">
        <f>IFERROR(__xludf.DUMMYFUNCTION("GOOGLEFINANCE(A67,""price"")"),2913.3)</f>
        <v>2913.3</v>
      </c>
      <c r="C67" s="60">
        <f>IFERROR(__xludf.DUMMYFUNCTION("MAX(QUERY(SORT(GOOGLEFINANCE(A67,""high"",TODAY()-100,TODAY()),1,0),""select Col2 limit 55""))"),3414.0)</f>
        <v>3414</v>
      </c>
      <c r="D67" s="32">
        <f>IFERROR(__xludf.DUMMYFUNCTION("GOOGLEFINANCE(A67,""high52"")"),4180.0)</f>
        <v>4180</v>
      </c>
      <c r="E67" s="33">
        <f>IFERROR(__xludf.DUMMYFUNCTION("to_date(index(sort(GOOGLEFINANCE(A67, ""high"", today()-52*7, today(), ""DAILY""),2,0),2,1))"),45904.64583333333)</f>
        <v>45904.64583</v>
      </c>
      <c r="F67" s="32">
        <f>IFERROR(__xludf.DUMMYFUNCTION("GOOGLEFINANCE(A67,""low52"")"),2710.1)</f>
        <v>2710.1</v>
      </c>
      <c r="G67" s="33">
        <f>IFERROR(__xludf.DUMMYFUNCTION("to_date(index(sort(GOOGLEFINANCE(A67, ""low"", today()-52*7, today(), ""DAILY""),2,1),1,1))"),46114.64583333333)</f>
        <v>46114.64583</v>
      </c>
      <c r="H67" s="61">
        <f>IFERROR(__xludf.DUMMYFUNCTION("MIN(QUERY(SORT(GOOGLEFINANCE(A67,""low"",TODAY()-40,TODAY()),1,0),""select Col2 limit 20""))"),2864.0)</f>
        <v>2864</v>
      </c>
      <c r="I67" s="61">
        <f t="shared" si="1"/>
        <v>17.1866955</v>
      </c>
      <c r="J67" s="35" t="str">
        <f t="shared" si="2"/>
        <v>Start GTT Order</v>
      </c>
    </row>
    <row r="68">
      <c r="A68" s="62" t="s">
        <v>187</v>
      </c>
      <c r="B68" s="59">
        <f>IFERROR(__xludf.DUMMYFUNCTION("GOOGLEFINANCE(A68,""price"")"),1492.7)</f>
        <v>1492.7</v>
      </c>
      <c r="C68" s="60">
        <f>IFERROR(__xludf.DUMMYFUNCTION("MAX(QUERY(SORT(GOOGLEFINANCE(A68,""high"",TODAY()-100,TODAY()),1,0),""select Col2 limit 55""))"),1471.0)</f>
        <v>1471</v>
      </c>
      <c r="D68" s="32">
        <f>IFERROR(__xludf.DUMMYFUNCTION("GOOGLEFINANCE(A68,""high52"")"),1518.0)</f>
        <v>1518</v>
      </c>
      <c r="E68" s="33">
        <f>IFERROR(__xludf.DUMMYFUNCTION("to_date(index(sort(GOOGLEFINANCE(A68, ""high"", today()-52*7, today(), ""DAILY""),2,0),2,1))"),46157.64583333333)</f>
        <v>46157.64583</v>
      </c>
      <c r="F68" s="32">
        <f>IFERROR(__xludf.DUMMYFUNCTION("GOOGLEFINANCE(A68,""low52"")"),765.0)</f>
        <v>765</v>
      </c>
      <c r="G68" s="33">
        <f>IFERROR(__xludf.DUMMYFUNCTION("to_date(index(sort(GOOGLEFINANCE(A68, ""low"", today()-52*7, today(), ""DAILY""),2,1),1,1))"),46045.64583333333)</f>
        <v>46045.64583</v>
      </c>
      <c r="H68" s="61">
        <f>IFERROR(__xludf.DUMMYFUNCTION("MIN(QUERY(SORT(GOOGLEFINANCE(A68,""low"",TODAY()-40,TODAY()),1,0),""select Col2 limit 20""))"),1203.55)</f>
        <v>1203.55</v>
      </c>
      <c r="I68" s="61">
        <f t="shared" si="1"/>
        <v>-1.453741542</v>
      </c>
      <c r="J68" s="35" t="str">
        <f t="shared" si="2"/>
        <v>No need to fresh start</v>
      </c>
    </row>
    <row r="69">
      <c r="A69" s="62" t="s">
        <v>195</v>
      </c>
      <c r="B69" s="59">
        <f>IFERROR(__xludf.DUMMYFUNCTION("GOOGLEFINANCE(A69,""price"")"),1358.1)</f>
        <v>1358.1</v>
      </c>
      <c r="C69" s="60">
        <f>IFERROR(__xludf.DUMMYFUNCTION("MAX(QUERY(SORT(GOOGLEFINANCE(A69,""high"",TODAY()-100,TODAY()),1,0),""select Col2 limit 55""))"),1473.4)</f>
        <v>1473.4</v>
      </c>
      <c r="D69" s="32">
        <f>IFERROR(__xludf.DUMMYFUNCTION("GOOGLEFINANCE(A69,""high52"")"),1611.8)</f>
        <v>1611.8</v>
      </c>
      <c r="E69" s="33">
        <f>IFERROR(__xludf.DUMMYFUNCTION("to_date(index(sort(GOOGLEFINANCE(A69, ""high"", today()-52*7, today(), ""DAILY""),2,0),2,1))"),46027.64583333333)</f>
        <v>46027.64583</v>
      </c>
      <c r="F69" s="32">
        <f>IFERROR(__xludf.DUMMYFUNCTION("GOOGLEFINANCE(A69,""low52"")"),1290.0)</f>
        <v>1290</v>
      </c>
      <c r="G69" s="33">
        <f>IFERROR(__xludf.DUMMYFUNCTION("to_date(index(sort(GOOGLEFINANCE(A69, ""low"", today()-52*7, today(), ""DAILY""),2,1),1,1))"),46118.64583333333)</f>
        <v>46118.64583</v>
      </c>
      <c r="H69" s="61">
        <f>IFERROR(__xludf.DUMMYFUNCTION("MIN(QUERY(SORT(GOOGLEFINANCE(A69,""low"",TODAY()-40,TODAY()),1,0),""select Col2 limit 20""))"),1312.6)</f>
        <v>1312.6</v>
      </c>
      <c r="I69" s="61">
        <f t="shared" si="1"/>
        <v>8.489801929</v>
      </c>
      <c r="J69" s="35" t="str">
        <f t="shared" si="2"/>
        <v>No need to fresh start</v>
      </c>
    </row>
    <row r="70">
      <c r="A70" s="62" t="s">
        <v>147</v>
      </c>
      <c r="B70" s="59">
        <f>IFERROR(__xludf.DUMMYFUNCTION("GOOGLEFINANCE(A70,""price"")"),4127.1)</f>
        <v>4127.1</v>
      </c>
      <c r="C70" s="60">
        <f>IFERROR(__xludf.DUMMYFUNCTION("MAX(QUERY(SORT(GOOGLEFINANCE(A70,""high"",TODAY()-100,TODAY()),1,0),""select Col2 limit 55""))"),4605.0)</f>
        <v>4605</v>
      </c>
      <c r="D70" s="32">
        <f>IFERROR(__xludf.DUMMYFUNCTION("GOOGLEFINANCE(A70,""high52"")"),4605.0)</f>
        <v>4605</v>
      </c>
      <c r="E70" s="33">
        <f>IFERROR(__xludf.DUMMYFUNCTION("to_date(index(sort(GOOGLEFINANCE(A70, ""high"", today()-52*7, today(), ""DAILY""),2,0),2,1))"),46150.64583333333)</f>
        <v>46150.64583</v>
      </c>
      <c r="F70" s="32">
        <f>IFERROR(__xludf.DUMMYFUNCTION("GOOGLEFINANCE(A70,""low52"")"),3303.1)</f>
        <v>3303.1</v>
      </c>
      <c r="G70" s="33">
        <f>IFERROR(__xludf.DUMMYFUNCTION("to_date(index(sort(GOOGLEFINANCE(A70, ""low"", today()-52*7, today(), ""DAILY""),2,1),1,1))"),45926.64583333333)</f>
        <v>45926.64583</v>
      </c>
      <c r="H70" s="61">
        <f>IFERROR(__xludf.DUMMYFUNCTION("MIN(QUERY(SORT(GOOGLEFINANCE(A70,""low"",TODAY()-40,TODAY()),1,0),""select Col2 limit 20""))"),3985.1)</f>
        <v>3985.1</v>
      </c>
      <c r="I70" s="61">
        <f t="shared" si="1"/>
        <v>11.5795595</v>
      </c>
      <c r="J70" s="35" t="str">
        <f t="shared" si="2"/>
        <v>No need to fresh start</v>
      </c>
    </row>
    <row r="71">
      <c r="A71" s="62" t="s">
        <v>237</v>
      </c>
      <c r="B71" s="59">
        <f>IFERROR(__xludf.DUMMYFUNCTION("GOOGLEFINANCE(A71,""price"")"),1692.9)</f>
        <v>1692.9</v>
      </c>
      <c r="C71" s="60">
        <f>IFERROR(__xludf.DUMMYFUNCTION("MAX(QUERY(SORT(GOOGLEFINANCE(A71,""high"",TODAY()-100,TODAY()),1,0),""select Col2 limit 55""))"),1754.0)</f>
        <v>1754</v>
      </c>
      <c r="D71" s="32">
        <f>IFERROR(__xludf.DUMMYFUNCTION("GOOGLEFINANCE(A71,""high52"")"),2005.0)</f>
        <v>2005</v>
      </c>
      <c r="E71" s="33">
        <f>IFERROR(__xludf.DUMMYFUNCTION("to_date(index(sort(GOOGLEFINANCE(A71, ""high"", today()-52*7, today(), ""DAILY""),2,0),2,1))"),45833.64583333333)</f>
        <v>45833.64583</v>
      </c>
      <c r="F71" s="32">
        <f>IFERROR(__xludf.DUMMYFUNCTION("GOOGLEFINANCE(A71,""low52"")"),1391.2)</f>
        <v>1391.2</v>
      </c>
      <c r="G71" s="33">
        <f>IFERROR(__xludf.DUMMYFUNCTION("to_date(index(sort(GOOGLEFINANCE(A71, ""low"", today()-52*7, today(), ""DAILY""),2,1),1,1))"),46104.64583333333)</f>
        <v>46104.64583</v>
      </c>
      <c r="H71" s="61">
        <f>IFERROR(__xludf.DUMMYFUNCTION("MIN(QUERY(SORT(GOOGLEFINANCE(A71,""low"",TODAY()-40,TODAY()),1,0),""select Col2 limit 20""))"),1571.0)</f>
        <v>1571</v>
      </c>
      <c r="I71" s="61">
        <f t="shared" si="1"/>
        <v>3.609191328</v>
      </c>
      <c r="J71" s="35" t="str">
        <f t="shared" si="2"/>
        <v>No need to fresh start</v>
      </c>
    </row>
    <row r="72">
      <c r="A72" s="62" t="s">
        <v>170</v>
      </c>
      <c r="B72" s="59">
        <f>IFERROR(__xludf.DUMMYFUNCTION("GOOGLEFINANCE(A72,""price"")"),10730.5)</f>
        <v>10730.5</v>
      </c>
      <c r="C72" s="60">
        <f>IFERROR(__xludf.DUMMYFUNCTION("MAX(QUERY(SORT(GOOGLEFINANCE(A72,""high"",TODAY()-100,TODAY()),1,0),""select Col2 limit 55""))"),10785.0)</f>
        <v>10785</v>
      </c>
      <c r="D72" s="32">
        <f>IFERROR(__xludf.DUMMYFUNCTION("GOOGLEFINANCE(A72,""high52"")"),10785.0)</f>
        <v>10785</v>
      </c>
      <c r="E72" s="33">
        <f>IFERROR(__xludf.DUMMYFUNCTION("to_date(index(sort(GOOGLEFINANCE(A72, ""high"", today()-52*7, today(), ""DAILY""),2,0),2,1))"),46150.64583333333)</f>
        <v>46150.64583</v>
      </c>
      <c r="F72" s="32">
        <f>IFERROR(__xludf.DUMMYFUNCTION("GOOGLEFINANCE(A72,""low52"")"),7858.5)</f>
        <v>7858.5</v>
      </c>
      <c r="G72" s="33">
        <f>IFERROR(__xludf.DUMMYFUNCTION("to_date(index(sort(GOOGLEFINANCE(A72, ""low"", today()-52*7, today(), ""DAILY""),2,1),1,1))"),45876.64583333333)</f>
        <v>45876.64583</v>
      </c>
      <c r="H72" s="61">
        <f>IFERROR(__xludf.DUMMYFUNCTION("MIN(QUERY(SORT(GOOGLEFINANCE(A72,""low"",TODAY()-40,TODAY()),1,0),""select Col2 limit 20""))"),9355.0)</f>
        <v>9355</v>
      </c>
      <c r="I72" s="61">
        <f t="shared" si="1"/>
        <v>0.5078980476</v>
      </c>
      <c r="J72" s="35" t="str">
        <f t="shared" si="2"/>
        <v>No need to fresh start</v>
      </c>
    </row>
    <row r="73">
      <c r="A73" s="62" t="s">
        <v>238</v>
      </c>
      <c r="B73" s="59">
        <f>IFERROR(__xludf.DUMMYFUNCTION("GOOGLEFINANCE(A73,""price"")"),8186.5)</f>
        <v>8186.5</v>
      </c>
      <c r="C73" s="60">
        <f>IFERROR(__xludf.DUMMYFUNCTION("MAX(QUERY(SORT(GOOGLEFINANCE(A73,""high"",TODAY()-100,TODAY()),1,0),""select Col2 limit 55""))"),8443.0)</f>
        <v>8443</v>
      </c>
      <c r="D73" s="32">
        <f>IFERROR(__xludf.DUMMYFUNCTION("GOOGLEFINANCE(A73,""high52"")"),8443.0)</f>
        <v>8443</v>
      </c>
      <c r="E73" s="33">
        <f>IFERROR(__xludf.DUMMYFUNCTION("to_date(index(sort(GOOGLEFINANCE(A73, ""high"", today()-52*7, today(), ""DAILY""),2,0),2,1))"),46167.64583333333)</f>
        <v>46167.64583</v>
      </c>
      <c r="F73" s="32">
        <f>IFERROR(__xludf.DUMMYFUNCTION("GOOGLEFINANCE(A73,""low52"")"),6696.5)</f>
        <v>6696.5</v>
      </c>
      <c r="G73" s="33">
        <f>IFERROR(__xludf.DUMMYFUNCTION("to_date(index(sort(GOOGLEFINANCE(A73, ""low"", today()-52*7, today(), ""DAILY""),2,1),1,1))"),46045.64583333333)</f>
        <v>46045.64583</v>
      </c>
      <c r="H73" s="61">
        <f>IFERROR(__xludf.DUMMYFUNCTION("MIN(QUERY(SORT(GOOGLEFINANCE(A73,""low"",TODAY()-40,TODAY()),1,0),""select Col2 limit 20""))"),7561.5)</f>
        <v>7561.5</v>
      </c>
      <c r="I73" s="61">
        <f t="shared" si="1"/>
        <v>3.133207109</v>
      </c>
      <c r="J73" s="35" t="str">
        <f t="shared" si="2"/>
        <v>No need to fresh start</v>
      </c>
    </row>
    <row r="74">
      <c r="A74" s="62" t="s">
        <v>125</v>
      </c>
      <c r="B74" s="59">
        <f>IFERROR(__xludf.DUMMYFUNCTION("GOOGLEFINANCE(A74,""price"")"),1830.6)</f>
        <v>1830.6</v>
      </c>
      <c r="C74" s="60">
        <f>IFERROR(__xludf.DUMMYFUNCTION("MAX(QUERY(SORT(GOOGLEFINANCE(A74,""high"",TODAY()-100,TODAY()),1,0),""select Col2 limit 55""))"),1823.9)</f>
        <v>1823.9</v>
      </c>
      <c r="D74" s="32">
        <f>IFERROR(__xludf.DUMMYFUNCTION("GOOGLEFINANCE(A74,""high52"")"),1842.8)</f>
        <v>1842.8</v>
      </c>
      <c r="E74" s="33">
        <f>IFERROR(__xludf.DUMMYFUNCTION("to_date(index(sort(GOOGLEFINANCE(A74, ""high"", today()-52*7, today(), ""DAILY""),2,0),2,1))"),46157.64583333333)</f>
        <v>46157.64583</v>
      </c>
      <c r="F74" s="32">
        <f>IFERROR(__xludf.DUMMYFUNCTION("GOOGLEFINANCE(A74,""low52"")"),1290.5)</f>
        <v>1290.5</v>
      </c>
      <c r="G74" s="33">
        <f>IFERROR(__xludf.DUMMYFUNCTION("to_date(index(sort(GOOGLEFINANCE(A74, ""low"", today()-52*7, today(), ""DAILY""),2,1),1,1))"),45883.64583333333)</f>
        <v>45883.64583</v>
      </c>
      <c r="H74" s="61">
        <f>IFERROR(__xludf.DUMMYFUNCTION("MIN(QUERY(SORT(GOOGLEFINANCE(A74,""low"",TODAY()-40,TODAY()),1,0),""select Col2 limit 20""))"),1596.8)</f>
        <v>1596.8</v>
      </c>
      <c r="I74" s="61">
        <f t="shared" si="1"/>
        <v>-0.3660002185</v>
      </c>
      <c r="J74" s="35" t="str">
        <f t="shared" si="2"/>
        <v>No need to fresh start</v>
      </c>
    </row>
    <row r="75">
      <c r="A75" s="62" t="s">
        <v>88</v>
      </c>
      <c r="B75" s="59">
        <f>IFERROR(__xludf.DUMMYFUNCTION("GOOGLEFINANCE(A75,""price"")"),370.25)</f>
        <v>370.25</v>
      </c>
      <c r="C75" s="60">
        <f>IFERROR(__xludf.DUMMYFUNCTION("MAX(QUERY(SORT(GOOGLEFINANCE(A75,""high"",TODAY()-100,TODAY()),1,0),""select Col2 limit 55""))"),432.0)</f>
        <v>432</v>
      </c>
      <c r="D75" s="32">
        <f>IFERROR(__xludf.DUMMYFUNCTION("GOOGLEFINANCE(A75,""high52"")"),508.7)</f>
        <v>508.7</v>
      </c>
      <c r="E75" s="33">
        <f>IFERROR(__xludf.DUMMYFUNCTION("to_date(index(sort(GOOGLEFINANCE(A75, ""high"", today()-52*7, today(), ""DAILY""),2,0),2,1))"),45841.64583333333)</f>
        <v>45841.64583</v>
      </c>
      <c r="F75" s="32">
        <f>IFERROR(__xludf.DUMMYFUNCTION("GOOGLEFINANCE(A75,""low52"")"),301.5)</f>
        <v>301.5</v>
      </c>
      <c r="G75" s="33">
        <f>IFERROR(__xludf.DUMMYFUNCTION("to_date(index(sort(GOOGLEFINANCE(A75, ""low"", today()-52*7, today(), ""DAILY""),2,1),1,1))"),46114.64583333333)</f>
        <v>46114.64583</v>
      </c>
      <c r="H75" s="61">
        <f>IFERROR(__xludf.DUMMYFUNCTION("MIN(QUERY(SORT(GOOGLEFINANCE(A75,""low"",TODAY()-40,TODAY()),1,0),""select Col2 limit 20""))"),359.5)</f>
        <v>359.5</v>
      </c>
      <c r="I75" s="61">
        <f t="shared" si="1"/>
        <v>16.67792032</v>
      </c>
      <c r="J75" s="35" t="str">
        <f t="shared" si="2"/>
        <v>Start GTT Order</v>
      </c>
    </row>
    <row r="76">
      <c r="A76" s="62" t="s">
        <v>239</v>
      </c>
      <c r="B76" s="59">
        <f>IFERROR(__xludf.DUMMYFUNCTION("GOOGLEFINANCE(A76,""price"")"),3018.8)</f>
        <v>3018.8</v>
      </c>
      <c r="C76" s="60">
        <f>IFERROR(__xludf.DUMMYFUNCTION("MAX(QUERY(SORT(GOOGLEFINANCE(A76,""high"",TODAY()-100,TODAY()),1,0),""select Col2 limit 55""))"),3314.9)</f>
        <v>3314.9</v>
      </c>
      <c r="D76" s="32">
        <f>IFERROR(__xludf.DUMMYFUNCTION("GOOGLEFINANCE(A76,""high52"")"),3314.9)</f>
        <v>3314.9</v>
      </c>
      <c r="E76" s="33">
        <f>IFERROR(__xludf.DUMMYFUNCTION("to_date(index(sort(GOOGLEFINANCE(A76, ""high"", today()-52*7, today(), ""DAILY""),2,0),2,1))"),46161.64583333333)</f>
        <v>46161.64583</v>
      </c>
      <c r="F76" s="32">
        <f>IFERROR(__xludf.DUMMYFUNCTION("GOOGLEFINANCE(A76,""low52"")"),2329.9)</f>
        <v>2329.9</v>
      </c>
      <c r="G76" s="33">
        <f>IFERROR(__xludf.DUMMYFUNCTION("to_date(index(sort(GOOGLEFINANCE(A76, ""low"", today()-52*7, today(), ""DAILY""),2,1),1,1))"),45930.64583333333)</f>
        <v>45930.64583</v>
      </c>
      <c r="H76" s="61">
        <f>IFERROR(__xludf.DUMMYFUNCTION("MIN(QUERY(SORT(GOOGLEFINANCE(A76,""low"",TODAY()-40,TODAY()),1,0),""select Col2 limit 20""))"),2740.8)</f>
        <v>2740.8</v>
      </c>
      <c r="I76" s="61">
        <f t="shared" si="1"/>
        <v>9.808533192</v>
      </c>
      <c r="J76" s="35" t="str">
        <f t="shared" si="2"/>
        <v>No need to fresh start</v>
      </c>
    </row>
    <row r="77">
      <c r="A77" s="62" t="s">
        <v>240</v>
      </c>
      <c r="B77" s="59">
        <f>IFERROR(__xludf.DUMMYFUNCTION("GOOGLEFINANCE(A77,""price"")"),495.45)</f>
        <v>495.45</v>
      </c>
      <c r="C77" s="60">
        <f>IFERROR(__xludf.DUMMYFUNCTION("MAX(QUERY(SORT(GOOGLEFINANCE(A77,""high"",TODAY()-100,TODAY()),1,0),""select Col2 limit 55""))"),523.1)</f>
        <v>523.1</v>
      </c>
      <c r="D77" s="32">
        <f>IFERROR(__xludf.DUMMYFUNCTION("GOOGLEFINANCE(A77,""high52"")"),523.1)</f>
        <v>523.1</v>
      </c>
      <c r="E77" s="33">
        <f>IFERROR(__xludf.DUMMYFUNCTION("to_date(index(sort(GOOGLEFINANCE(A77, ""high"", today()-52*7, today(), ""DAILY""),2,0),2,1))"),46146.64583333333)</f>
        <v>46146.64583</v>
      </c>
      <c r="F77" s="32">
        <f>IFERROR(__xludf.DUMMYFUNCTION("GOOGLEFINANCE(A77,""low52"")"),338.05)</f>
        <v>338.05</v>
      </c>
      <c r="G77" s="33">
        <f>IFERROR(__xludf.DUMMYFUNCTION("to_date(index(sort(GOOGLEFINANCE(A77, ""low"", today()-52*7, today(), ""DAILY""),2,1),1,1))"),46043.64583333333)</f>
        <v>46043.64583</v>
      </c>
      <c r="H77" s="61">
        <f>IFERROR(__xludf.DUMMYFUNCTION("MIN(QUERY(SORT(GOOGLEFINANCE(A77,""low"",TODAY()-40,TODAY()),1,0),""select Col2 limit 20""))"),440.6)</f>
        <v>440.6</v>
      </c>
      <c r="I77" s="61">
        <f t="shared" si="1"/>
        <v>5.580785145</v>
      </c>
      <c r="J77" s="35" t="str">
        <f t="shared" si="2"/>
        <v>No need to fresh start</v>
      </c>
    </row>
    <row r="78">
      <c r="A78" s="62" t="s">
        <v>241</v>
      </c>
      <c r="B78" s="59">
        <f>IFERROR(__xludf.DUMMYFUNCTION("GOOGLEFINANCE(A78,""price"")"),1692.6)</f>
        <v>1692.6</v>
      </c>
      <c r="C78" s="60">
        <f>IFERROR(__xludf.DUMMYFUNCTION("MAX(QUERY(SORT(GOOGLEFINANCE(A78,""high"",TODAY()-100,TODAY()),1,0),""select Col2 limit 55""))"),1784.9)</f>
        <v>1784.9</v>
      </c>
      <c r="D78" s="32">
        <f>IFERROR(__xludf.DUMMYFUNCTION("GOOGLEFINANCE(A78,""high52"")"),1892.5)</f>
        <v>1892.5</v>
      </c>
      <c r="E78" s="33">
        <f>IFERROR(__xludf.DUMMYFUNCTION("to_date(index(sort(GOOGLEFINANCE(A78, ""high"", today()-52*7, today(), ""DAILY""),2,0),2,1))"),46076.64583333333)</f>
        <v>46076.64583</v>
      </c>
      <c r="F78" s="32">
        <f>IFERROR(__xludf.DUMMYFUNCTION("GOOGLEFINANCE(A78,""low52"")"),1433.6)</f>
        <v>1433.6</v>
      </c>
      <c r="G78" s="33">
        <f>IFERROR(__xludf.DUMMYFUNCTION("to_date(index(sort(GOOGLEFINANCE(A78, ""low"", today()-52*7, today(), ""DAILY""),2,1),1,1))"),46114.64583333333)</f>
        <v>46114.64583</v>
      </c>
      <c r="H78" s="61">
        <f>IFERROR(__xludf.DUMMYFUNCTION("MIN(QUERY(SORT(GOOGLEFINANCE(A78,""low"",TODAY()-40,TODAY()),1,0),""select Col2 limit 20""))"),1560.0)</f>
        <v>1560</v>
      </c>
      <c r="I78" s="61">
        <f t="shared" si="1"/>
        <v>5.453149002</v>
      </c>
      <c r="J78" s="35" t="str">
        <f t="shared" si="2"/>
        <v>No need to fresh start</v>
      </c>
    </row>
    <row r="79">
      <c r="A79" s="62" t="s">
        <v>242</v>
      </c>
      <c r="B79" s="59">
        <f>IFERROR(__xludf.DUMMYFUNCTION("GOOGLEFINANCE(A79,""price"")"),7310.5)</f>
        <v>7310.5</v>
      </c>
      <c r="C79" s="60">
        <f>IFERROR(__xludf.DUMMYFUNCTION("MAX(QUERY(SORT(GOOGLEFINANCE(A79,""high"",TODAY()-100,TODAY()),1,0),""select Col2 limit 55""))"),7525.0)</f>
        <v>7525</v>
      </c>
      <c r="D79" s="32">
        <f>IFERROR(__xludf.DUMMYFUNCTION("GOOGLEFINANCE(A79,""high52"")"),7470.0)</f>
        <v>7470</v>
      </c>
      <c r="E79" s="33">
        <f>IFERROR(__xludf.DUMMYFUNCTION("to_date(index(sort(GOOGLEFINANCE(A79, ""high"", today()-52*7, today(), ""DAILY""),2,0),2,1))"),46168.64583333333)</f>
        <v>46168.64583</v>
      </c>
      <c r="F79" s="32">
        <f>IFERROR(__xludf.DUMMYFUNCTION("GOOGLEFINANCE(A79,""low52"")"),4225.0)</f>
        <v>4225</v>
      </c>
      <c r="G79" s="33">
        <f>IFERROR(__xludf.DUMMYFUNCTION("to_date(index(sort(GOOGLEFINANCE(A79, ""low"", today()-52*7, today(), ""DAILY""),2,1),1,1))"),45810.64583333333)</f>
        <v>45810.64583</v>
      </c>
      <c r="H79" s="61">
        <f>IFERROR(__xludf.DUMMYFUNCTION("MIN(QUERY(SORT(GOOGLEFINANCE(A79,""low"",TODAY()-40,TODAY()),1,0),""select Col2 limit 20""))"),6567.5)</f>
        <v>6567.5</v>
      </c>
      <c r="I79" s="61">
        <f t="shared" si="1"/>
        <v>2.934135832</v>
      </c>
      <c r="J79" s="35" t="str">
        <f t="shared" si="2"/>
        <v>No need to fresh start</v>
      </c>
    </row>
    <row r="80">
      <c r="A80" s="62" t="s">
        <v>173</v>
      </c>
      <c r="B80" s="59">
        <f>IFERROR(__xludf.DUMMYFUNCTION("GOOGLEFINANCE(A80,""price"")"),3161.9)</f>
        <v>3161.9</v>
      </c>
      <c r="C80" s="60">
        <f>IFERROR(__xludf.DUMMYFUNCTION("MAX(QUERY(SORT(GOOGLEFINANCE(A80,""high"",TODAY()-100,TODAY()),1,0),""select Col2 limit 55""))"),3196.2)</f>
        <v>3196.2</v>
      </c>
      <c r="D80" s="32">
        <f>IFERROR(__xludf.DUMMYFUNCTION("GOOGLEFINANCE(A80,""high52"")"),3197.5)</f>
        <v>3197.5</v>
      </c>
      <c r="E80" s="33">
        <f>IFERROR(__xludf.DUMMYFUNCTION("to_date(index(sort(GOOGLEFINANCE(A80, ""high"", today()-52*7, today(), ""DAILY""),2,0),2,1))"),46168.64583333333)</f>
        <v>46168.64583</v>
      </c>
      <c r="F80" s="32">
        <f>IFERROR(__xludf.DUMMYFUNCTION("GOOGLEFINANCE(A80,""low52"")"),2502.5)</f>
        <v>2502.5</v>
      </c>
      <c r="G80" s="33">
        <f>IFERROR(__xludf.DUMMYFUNCTION("to_date(index(sort(GOOGLEFINANCE(A80, ""low"", today()-52*7, today(), ""DAILY""),2,1),1,1))"),46104.64583333333)</f>
        <v>46104.64583</v>
      </c>
      <c r="H80" s="61">
        <f>IFERROR(__xludf.DUMMYFUNCTION("MIN(QUERY(SORT(GOOGLEFINANCE(A80,""low"",TODAY()-40,TODAY()),1,0),""select Col2 limit 20""))"),2727.0)</f>
        <v>2727</v>
      </c>
      <c r="I80" s="61">
        <f t="shared" si="1"/>
        <v>1.08479079</v>
      </c>
      <c r="J80" s="35" t="str">
        <f t="shared" si="2"/>
        <v>No need to fresh start</v>
      </c>
    </row>
    <row r="81">
      <c r="A81" s="62" t="s">
        <v>243</v>
      </c>
      <c r="B81" s="59">
        <f>IFERROR(__xludf.DUMMYFUNCTION("GOOGLEFINANCE(A81,""price"")"),1261.4)</f>
        <v>1261.4</v>
      </c>
      <c r="C81" s="60">
        <f>IFERROR(__xludf.DUMMYFUNCTION("MAX(QUERY(SORT(GOOGLEFINANCE(A81,""high"",TODAY()-100,TODAY()),1,0),""select Col2 limit 55""))"),1537.9)</f>
        <v>1537.9</v>
      </c>
      <c r="D81" s="32">
        <f>IFERROR(__xludf.DUMMYFUNCTION("GOOGLEFINANCE(A81,""high52"")"),1582.5)</f>
        <v>1582.5</v>
      </c>
      <c r="E81" s="33">
        <f>IFERROR(__xludf.DUMMYFUNCTION("to_date(index(sort(GOOGLEFINANCE(A81, ""high"", today()-52*7, today(), ""DAILY""),2,0),2,1))"),46080.64583333333)</f>
        <v>46080.64583</v>
      </c>
      <c r="F81" s="32">
        <f>IFERROR(__xludf.DUMMYFUNCTION("GOOGLEFINANCE(A81,""low52"")"),1186.8)</f>
        <v>1186.8</v>
      </c>
      <c r="G81" s="33">
        <f>IFERROR(__xludf.DUMMYFUNCTION("to_date(index(sort(GOOGLEFINANCE(A81, ""low"", today()-52*7, today(), ""DAILY""),2,1),1,1))"),46114.64583333333)</f>
        <v>46114.64583</v>
      </c>
      <c r="H81" s="61">
        <f>IFERROR(__xludf.DUMMYFUNCTION("MIN(QUERY(SORT(GOOGLEFINANCE(A81,""low"",TODAY()-40,TODAY()),1,0),""select Col2 limit 20""))"),1198.6)</f>
        <v>1198.6</v>
      </c>
      <c r="I81" s="61">
        <f t="shared" si="1"/>
        <v>21.92008879</v>
      </c>
      <c r="J81" s="35" t="str">
        <f t="shared" si="2"/>
        <v>No need to fresh start</v>
      </c>
    </row>
    <row r="82">
      <c r="A82" s="62" t="s">
        <v>178</v>
      </c>
      <c r="B82" s="59">
        <f>IFERROR(__xludf.DUMMYFUNCTION("GOOGLEFINANCE(A82,""price"")"),10283.5)</f>
        <v>10283.5</v>
      </c>
      <c r="C82" s="60">
        <f>IFERROR(__xludf.DUMMYFUNCTION("MAX(QUERY(SORT(GOOGLEFINANCE(A82,""high"",TODAY()-100,TODAY()),1,0),""select Col2 limit 55""))"),9999.0)</f>
        <v>9999</v>
      </c>
      <c r="D82" s="32">
        <f>IFERROR(__xludf.DUMMYFUNCTION("GOOGLEFINANCE(A82,""high52"")"),10357.0)</f>
        <v>10357</v>
      </c>
      <c r="E82" s="33">
        <f>IFERROR(__xludf.DUMMYFUNCTION("to_date(index(sort(GOOGLEFINANCE(A82, ""high"", today()-52*7, today(), ""DAILY""),2,0),2,1))"),46161.64583333333)</f>
        <v>46161.64583</v>
      </c>
      <c r="F82" s="32">
        <f>IFERROR(__xludf.DUMMYFUNCTION("GOOGLEFINANCE(A82,""low52"")"),6234.5)</f>
        <v>6234.5</v>
      </c>
      <c r="G82" s="33">
        <f>IFERROR(__xludf.DUMMYFUNCTION("to_date(index(sort(GOOGLEFINANCE(A82, ""low"", today()-52*7, today(), ""DAILY""),2,1),1,1))"),46098.64583333333)</f>
        <v>46098.64583</v>
      </c>
      <c r="H82" s="61">
        <f>IFERROR(__xludf.DUMMYFUNCTION("MIN(QUERY(SORT(GOOGLEFINANCE(A82,""low"",TODAY()-40,TODAY()),1,0),""select Col2 limit 20""))"),8646.5)</f>
        <v>8646.5</v>
      </c>
      <c r="I82" s="61">
        <f t="shared" si="1"/>
        <v>-2.766567803</v>
      </c>
      <c r="J82" s="35" t="str">
        <f t="shared" si="2"/>
        <v>No need to fresh start</v>
      </c>
    </row>
    <row r="83">
      <c r="A83" s="62" t="s">
        <v>244</v>
      </c>
      <c r="B83" s="59">
        <f>IFERROR(__xludf.DUMMYFUNCTION("GOOGLEFINANCE(A83,""price"")"),532.15)</f>
        <v>532.15</v>
      </c>
      <c r="C83" s="60">
        <f>IFERROR(__xludf.DUMMYFUNCTION("MAX(QUERY(SORT(GOOGLEFINANCE(A83,""high"",TODAY()-100,TODAY()),1,0),""select Col2 limit 55""))"),543.95)</f>
        <v>543.95</v>
      </c>
      <c r="D83" s="32">
        <f>IFERROR(__xludf.DUMMYFUNCTION("GOOGLEFINANCE(A83,""high52"")"),543.95)</f>
        <v>543.95</v>
      </c>
      <c r="E83" s="33">
        <f>IFERROR(__xludf.DUMMYFUNCTION("to_date(index(sort(GOOGLEFINANCE(A83, ""high"", today()-52*7, today(), ""DAILY""),2,0),2,1))"),46167.64583333333)</f>
        <v>46167.64583</v>
      </c>
      <c r="F83" s="32">
        <f>IFERROR(__xludf.DUMMYFUNCTION("GOOGLEFINANCE(A83,""low52"")"),381.0)</f>
        <v>381</v>
      </c>
      <c r="G83" s="33">
        <f>IFERROR(__xludf.DUMMYFUNCTION("to_date(index(sort(GOOGLEFINANCE(A83, ""low"", today()-52*7, today(), ""DAILY""),2,1),1,1))"),46104.64583333333)</f>
        <v>46104.64583</v>
      </c>
      <c r="H83" s="61">
        <f>IFERROR(__xludf.DUMMYFUNCTION("MIN(QUERY(SORT(GOOGLEFINANCE(A83,""low"",TODAY()-40,TODAY()),1,0),""select Col2 limit 20""))"),484.65)</f>
        <v>484.65</v>
      </c>
      <c r="I83" s="61">
        <f t="shared" si="1"/>
        <v>2.2174199</v>
      </c>
      <c r="J83" s="35" t="str">
        <f t="shared" si="2"/>
        <v>No need to fresh start</v>
      </c>
    </row>
    <row r="84">
      <c r="A84" s="62" t="s">
        <v>245</v>
      </c>
      <c r="B84" s="59">
        <f>IFERROR(__xludf.DUMMYFUNCTION("GOOGLEFINANCE(A84,""price"")"),2845.9)</f>
        <v>2845.9</v>
      </c>
      <c r="C84" s="60">
        <f>IFERROR(__xludf.DUMMYFUNCTION("MAX(QUERY(SORT(GOOGLEFINANCE(A84,""high"",TODAY()-100,TODAY()),1,0),""select Col2 limit 55""))"),3194.1)</f>
        <v>3194.1</v>
      </c>
      <c r="D84" s="32">
        <f>IFERROR(__xludf.DUMMYFUNCTION("GOOGLEFINANCE(A84,""high52"")"),4330.0)</f>
        <v>4330</v>
      </c>
      <c r="E84" s="33">
        <f>IFERROR(__xludf.DUMMYFUNCTION("to_date(index(sort(GOOGLEFINANCE(A84, ""high"", today()-52*7, today(), ""DAILY""),2,0),2,1))"),45868.64583333333)</f>
        <v>45868.64583</v>
      </c>
      <c r="F84" s="32">
        <f>IFERROR(__xludf.DUMMYFUNCTION("GOOGLEFINANCE(A84,""low52"")"),2700.0)</f>
        <v>2700</v>
      </c>
      <c r="G84" s="33">
        <f>IFERROR(__xludf.DUMMYFUNCTION("to_date(index(sort(GOOGLEFINANCE(A84, ""low"", today()-52*7, today(), ""DAILY""),2,1),1,1))"),46111.64583333333)</f>
        <v>46111.64583</v>
      </c>
      <c r="H84" s="61">
        <f>IFERROR(__xludf.DUMMYFUNCTION("MIN(QUERY(SORT(GOOGLEFINANCE(A84,""low"",TODAY()-40,TODAY()),1,0),""select Col2 limit 20""))"),2700.0)</f>
        <v>2700</v>
      </c>
      <c r="I84" s="61">
        <f t="shared" si="1"/>
        <v>12.2351453</v>
      </c>
      <c r="J84" s="35" t="str">
        <f t="shared" si="2"/>
        <v>Start GTT Order</v>
      </c>
    </row>
    <row r="85">
      <c r="A85" s="62" t="s">
        <v>89</v>
      </c>
      <c r="B85" s="59">
        <f>IFERROR(__xludf.DUMMYFUNCTION("GOOGLEFINANCE(A85,""price"")"),92.23)</f>
        <v>92.23</v>
      </c>
      <c r="C85" s="60">
        <f>IFERROR(__xludf.DUMMYFUNCTION("MAX(QUERY(SORT(GOOGLEFINANCE(A85,""high"",TODAY()-100,TODAY()),1,0),""select Col2 limit 55""))"),94.25)</f>
        <v>94.25</v>
      </c>
      <c r="D85" s="32">
        <f>IFERROR(__xludf.DUMMYFUNCTION("GOOGLEFINANCE(A85,""high52"")"),94.25)</f>
        <v>94.25</v>
      </c>
      <c r="E85" s="33">
        <f>IFERROR(__xludf.DUMMYFUNCTION("to_date(index(sort(GOOGLEFINANCE(A85, ""high"", today()-52*7, today(), ""DAILY""),2,0),2,1))"),46157.64583333333)</f>
        <v>46157.64583</v>
      </c>
      <c r="F85" s="32">
        <f>IFERROR(__xludf.DUMMYFUNCTION("GOOGLEFINANCE(A85,""low52"")"),66.8)</f>
        <v>66.8</v>
      </c>
      <c r="G85" s="33">
        <f>IFERROR(__xludf.DUMMYFUNCTION("to_date(index(sort(GOOGLEFINANCE(A85, ""low"", today()-52*7, today(), ""DAILY""),2,1),1,1))"),45827.64583333333)</f>
        <v>45827.64583</v>
      </c>
      <c r="H85" s="61">
        <f>IFERROR(__xludf.DUMMYFUNCTION("MIN(QUERY(SORT(GOOGLEFINANCE(A85,""low"",TODAY()-40,TODAY()),1,0),""select Col2 limit 20""))"),86.38)</f>
        <v>86.38</v>
      </c>
      <c r="I85" s="61">
        <f t="shared" si="1"/>
        <v>2.190176732</v>
      </c>
      <c r="J85" s="35" t="str">
        <f t="shared" si="2"/>
        <v>No need to fresh start</v>
      </c>
    </row>
    <row r="86">
      <c r="A86" s="62" t="s">
        <v>193</v>
      </c>
      <c r="B86" s="59">
        <f>IFERROR(__xludf.DUMMYFUNCTION("GOOGLEFINANCE(A86,""price"")"),10080.0)</f>
        <v>10080</v>
      </c>
      <c r="C86" s="60">
        <f>IFERROR(__xludf.DUMMYFUNCTION("MAX(QUERY(SORT(GOOGLEFINANCE(A86,""high"",TODAY()-100,TODAY()),1,0),""select Col2 limit 55""))"),11250.0)</f>
        <v>11250</v>
      </c>
      <c r="D86" s="32">
        <f>IFERROR(__xludf.DUMMYFUNCTION("GOOGLEFINANCE(A86,""high52"")"),14540.0)</f>
        <v>14540</v>
      </c>
      <c r="E86" s="33">
        <f>IFERROR(__xludf.DUMMYFUNCTION("to_date(index(sort(GOOGLEFINANCE(A86, ""high"", today()-52*7, today(), ""DAILY""),2,0),2,1))"),45868.64583333333)</f>
        <v>45868.64583</v>
      </c>
      <c r="F86" s="32">
        <f>IFERROR(__xludf.DUMMYFUNCTION("GOOGLEFINANCE(A86,""low52"")"),8979.0)</f>
        <v>8979</v>
      </c>
      <c r="G86" s="33">
        <f>IFERROR(__xludf.DUMMYFUNCTION("to_date(index(sort(GOOGLEFINANCE(A86, ""low"", today()-52*7, today(), ""DAILY""),2,1),1,1))"),46111.64583333333)</f>
        <v>46111.64583</v>
      </c>
      <c r="H86" s="61">
        <f>IFERROR(__xludf.DUMMYFUNCTION("MIN(QUERY(SORT(GOOGLEFINANCE(A86,""low"",TODAY()-40,TODAY()),1,0),""select Col2 limit 20""))"),9432.0)</f>
        <v>9432</v>
      </c>
      <c r="I86" s="61">
        <f t="shared" si="1"/>
        <v>11.60714286</v>
      </c>
      <c r="J86" s="35" t="str">
        <f t="shared" si="2"/>
        <v>Start GTT Order</v>
      </c>
    </row>
    <row r="87">
      <c r="A87" s="62" t="s">
        <v>46</v>
      </c>
      <c r="B87" s="59">
        <f>IFERROR(__xludf.DUMMYFUNCTION("GOOGLEFINANCE(A87,""price"")"),430.75)</f>
        <v>430.75</v>
      </c>
      <c r="C87" s="60">
        <f>IFERROR(__xludf.DUMMYFUNCTION("MAX(QUERY(SORT(GOOGLEFINANCE(A87,""high"",TODAY()-100,TODAY()),1,0),""select Col2 limit 55""))"),486.5)</f>
        <v>486.5</v>
      </c>
      <c r="D87" s="32">
        <f>IFERROR(__xludf.DUMMYFUNCTION("GOOGLEFINANCE(A87,""high52"")"),486.5)</f>
        <v>486.5</v>
      </c>
      <c r="E87" s="33">
        <f>IFERROR(__xludf.DUMMYFUNCTION("to_date(index(sort(GOOGLEFINANCE(A87, ""high"", today()-52*7, today(), ""DAILY""),2,0),2,1))"),46140.64583333333)</f>
        <v>46140.64583</v>
      </c>
      <c r="F87" s="32">
        <f>IFERROR(__xludf.DUMMYFUNCTION("GOOGLEFINANCE(A87,""low52"")"),329.9)</f>
        <v>329.9</v>
      </c>
      <c r="G87" s="33">
        <f>IFERROR(__xludf.DUMMYFUNCTION("to_date(index(sort(GOOGLEFINANCE(A87, ""low"", today()-52*7, today(), ""DAILY""),2,1),1,1))"),46009.64583333333)</f>
        <v>46009.64583</v>
      </c>
      <c r="H87" s="61">
        <f>IFERROR(__xludf.DUMMYFUNCTION("MIN(QUERY(SORT(GOOGLEFINANCE(A87,""low"",TODAY()-40,TODAY()),1,0),""select Col2 limit 20""))"),422.35)</f>
        <v>422.35</v>
      </c>
      <c r="I87" s="61">
        <f t="shared" si="1"/>
        <v>12.94254208</v>
      </c>
      <c r="J87" s="35" t="str">
        <f t="shared" si="2"/>
        <v>No need to fresh start</v>
      </c>
    </row>
    <row r="88">
      <c r="A88" s="62" t="s">
        <v>246</v>
      </c>
      <c r="B88" s="59" t="str">
        <f>IFERROR(__xludf.DUMMYFUNCTION("GOOGLEFINANCE(A88,""price"")"),"#N/A")</f>
        <v>#N/A</v>
      </c>
      <c r="C88" s="60" t="str">
        <f>IFERROR(__xludf.DUMMYFUNCTION("MAX(QUERY(SORT(GOOGLEFINANCE(A88,""high"",TODAY()-100,TODAY()),1,0),""select Col2 limit 55""))"),"#N/A")</f>
        <v>#N/A</v>
      </c>
      <c r="D88" s="32" t="str">
        <f>IFERROR(__xludf.DUMMYFUNCTION("GOOGLEFINANCE(A88,""high52"")"),"#N/A")</f>
        <v>#N/A</v>
      </c>
      <c r="E88" s="33" t="str">
        <f>IFERROR(__xludf.DUMMYFUNCTION("to_date(index(sort(GOOGLEFINANCE(A88, ""high"", today()-52*7, today(), ""DAILY""),2,0),2,1))"),"#N/A")</f>
        <v>#N/A</v>
      </c>
      <c r="F88" s="32" t="str">
        <f>IFERROR(__xludf.DUMMYFUNCTION("GOOGLEFINANCE(A88,""low52"")"),"#N/A")</f>
        <v>#N/A</v>
      </c>
      <c r="G88" s="33" t="str">
        <f>IFERROR(__xludf.DUMMYFUNCTION("to_date(index(sort(GOOGLEFINANCE(A88, ""low"", today()-52*7, today(), ""DAILY""),2,1),1,1))"),"#N/A")</f>
        <v>#N/A</v>
      </c>
      <c r="H88" s="61" t="str">
        <f>IFERROR(__xludf.DUMMYFUNCTION("MIN(QUERY(SORT(GOOGLEFINANCE(A88,""low"",TODAY()-40,TODAY()),1,0),""select Col2 limit 20""))"),"#N/A")</f>
        <v>#N/A</v>
      </c>
      <c r="I88" s="61" t="str">
        <f t="shared" si="1"/>
        <v>#N/A</v>
      </c>
      <c r="J88" s="35" t="str">
        <f t="shared" si="2"/>
        <v>#N/A</v>
      </c>
    </row>
    <row r="89">
      <c r="A89" s="62" t="s">
        <v>56</v>
      </c>
      <c r="B89" s="59">
        <f>IFERROR(__xludf.DUMMYFUNCTION("GOOGLEFINANCE(A89,""price"")"),418.6)</f>
        <v>418.6</v>
      </c>
      <c r="C89" s="60">
        <f>IFERROR(__xludf.DUMMYFUNCTION("MAX(QUERY(SORT(GOOGLEFINANCE(A89,""high"",TODAY()-100,TODAY()),1,0),""select Col2 limit 55""))"),473.45)</f>
        <v>473.45</v>
      </c>
      <c r="D89" s="32">
        <f>IFERROR(__xludf.DUMMYFUNCTION("GOOGLEFINANCE(A89,""high52"")"),473.45)</f>
        <v>473.45</v>
      </c>
      <c r="E89" s="33">
        <f>IFERROR(__xludf.DUMMYFUNCTION("to_date(index(sort(GOOGLEFINANCE(A89, ""high"", today()-52*7, today(), ""DAILY""),2,0),2,1))"),46087.64583333333)</f>
        <v>46087.64583</v>
      </c>
      <c r="F89" s="32">
        <f>IFERROR(__xludf.DUMMYFUNCTION("GOOGLEFINANCE(A89,""low52"")"),361.2)</f>
        <v>361.2</v>
      </c>
      <c r="G89" s="33">
        <f>IFERROR(__xludf.DUMMYFUNCTION("to_date(index(sort(GOOGLEFINANCE(A89, ""low"", today()-52*7, today(), ""DAILY""),2,1),1,1))"),45897.64583333333)</f>
        <v>45897.64583</v>
      </c>
      <c r="H89" s="61">
        <f>IFERROR(__xludf.DUMMYFUNCTION("MIN(QUERY(SORT(GOOGLEFINANCE(A89,""low"",TODAY()-40,TODAY()),1,0),""select Col2 limit 20""))"),407.0)</f>
        <v>407</v>
      </c>
      <c r="I89" s="61">
        <f t="shared" si="1"/>
        <v>13.10320115</v>
      </c>
      <c r="J89" s="35" t="str">
        <f t="shared" si="2"/>
        <v>No need to fresh start</v>
      </c>
    </row>
    <row r="90">
      <c r="A90" s="62" t="s">
        <v>197</v>
      </c>
      <c r="B90" s="59">
        <f>IFERROR(__xludf.DUMMYFUNCTION("GOOGLEFINANCE(A90,""price"")"),933.65)</f>
        <v>933.65</v>
      </c>
      <c r="C90" s="60">
        <f>IFERROR(__xludf.DUMMYFUNCTION("MAX(QUERY(SORT(GOOGLEFINANCE(A90,""high"",TODAY()-100,TODAY()),1,0),""select Col2 limit 55""))"),957.9)</f>
        <v>957.9</v>
      </c>
      <c r="D90" s="32">
        <f>IFERROR(__xludf.DUMMYFUNCTION("GOOGLEFINANCE(A90,""high52"")"),968.85)</f>
        <v>968.85</v>
      </c>
      <c r="E90" s="33">
        <f>IFERROR(__xludf.DUMMYFUNCTION("to_date(index(sort(GOOGLEFINANCE(A90, ""high"", today()-52*7, today(), ""DAILY""),2,0),2,1))"),46079.64583333333)</f>
        <v>46079.64583</v>
      </c>
      <c r="F90" s="32">
        <f>IFERROR(__xludf.DUMMYFUNCTION("GOOGLEFINANCE(A90,""low52"")"),710.6)</f>
        <v>710.6</v>
      </c>
      <c r="G90" s="33">
        <f>IFERROR(__xludf.DUMMYFUNCTION("to_date(index(sort(GOOGLEFINANCE(A90, ""low"", today()-52*7, today(), ""DAILY""),2,1),1,1))"),45926.64583333333)</f>
        <v>45926.64583</v>
      </c>
      <c r="H90" s="61">
        <f>IFERROR(__xludf.DUMMYFUNCTION("MIN(QUERY(SORT(GOOGLEFINANCE(A90,""low"",TODAY()-40,TODAY()),1,0),""select Col2 limit 20""))"),870.2)</f>
        <v>870.2</v>
      </c>
      <c r="I90" s="61">
        <f t="shared" si="1"/>
        <v>2.597333048</v>
      </c>
      <c r="J90" s="35" t="str">
        <f t="shared" si="2"/>
        <v>No need to fresh start</v>
      </c>
    </row>
    <row r="91">
      <c r="A91" s="62" t="s">
        <v>160</v>
      </c>
      <c r="B91" s="59">
        <f>IFERROR(__xludf.DUMMYFUNCTION("GOOGLEFINANCE(A91,""price"")"),3128.6)</f>
        <v>3128.6</v>
      </c>
      <c r="C91" s="60">
        <f>IFERROR(__xludf.DUMMYFUNCTION("MAX(QUERY(SORT(GOOGLEFINANCE(A91,""high"",TODAY()-100,TODAY()),1,0),""select Col2 limit 55""))"),3399.0)</f>
        <v>3399</v>
      </c>
      <c r="D91" s="32">
        <f>IFERROR(__xludf.DUMMYFUNCTION("GOOGLEFINANCE(A91,""high52"")"),3839.9)</f>
        <v>3839.9</v>
      </c>
      <c r="E91" s="33">
        <f>IFERROR(__xludf.DUMMYFUNCTION("to_date(index(sort(GOOGLEFINANCE(A91, ""high"", today()-52*7, today(), ""DAILY""),2,0),2,1))"),46027.64583333333)</f>
        <v>46027.64583</v>
      </c>
      <c r="F91" s="32">
        <f>IFERROR(__xludf.DUMMYFUNCTION("GOOGLEFINANCE(A91,""low52"")"),2896.0)</f>
        <v>2896</v>
      </c>
      <c r="G91" s="33">
        <f>IFERROR(__xludf.DUMMYFUNCTION("to_date(index(sort(GOOGLEFINANCE(A91, ""low"", today()-52*7, today(), ""DAILY""),2,1),1,1))"),46097.64583333333)</f>
        <v>46097.64583</v>
      </c>
      <c r="H91" s="61">
        <f>IFERROR(__xludf.DUMMYFUNCTION("MIN(QUERY(SORT(GOOGLEFINANCE(A91,""low"",TODAY()-40,TODAY()),1,0),""select Col2 limit 20""))"),3033.0)</f>
        <v>3033</v>
      </c>
      <c r="I91" s="61">
        <f t="shared" si="1"/>
        <v>8.642843444</v>
      </c>
      <c r="J91" s="35" t="str">
        <f t="shared" si="2"/>
        <v>No need to fresh start</v>
      </c>
    </row>
    <row r="92">
      <c r="A92" s="62" t="s">
        <v>172</v>
      </c>
      <c r="B92" s="59">
        <f>IFERROR(__xludf.DUMMYFUNCTION("GOOGLEFINANCE(A92,""price"")"),627.9)</f>
        <v>627.9</v>
      </c>
      <c r="C92" s="60">
        <f>IFERROR(__xludf.DUMMYFUNCTION("MAX(QUERY(SORT(GOOGLEFINANCE(A92,""high"",TODAY()-100,TODAY()),1,0),""select Col2 limit 55""))"),740.0)</f>
        <v>740</v>
      </c>
      <c r="D92" s="32">
        <f>IFERROR(__xludf.DUMMYFUNCTION("GOOGLEFINANCE(A92,""high52"")"),1027.25)</f>
        <v>1027.25</v>
      </c>
      <c r="E92" s="33">
        <f>IFERROR(__xludf.DUMMYFUNCTION("to_date(index(sort(GOOGLEFINANCE(A92, ""high"", today()-52*7, today(), ""DAILY""),2,0),2,1))"),45818.64583333333)</f>
        <v>45818.64583</v>
      </c>
      <c r="F92" s="32">
        <f>IFERROR(__xludf.DUMMYFUNCTION("GOOGLEFINANCE(A92,""low52"")"),612.1)</f>
        <v>612.1</v>
      </c>
      <c r="G92" s="33">
        <f>IFERROR(__xludf.DUMMYFUNCTION("to_date(index(sort(GOOGLEFINANCE(A92, ""low"", today()-52*7, today(), ""DAILY""),2,1),1,1))"),46160.64583333333)</f>
        <v>46160.64583</v>
      </c>
      <c r="H92" s="61">
        <f>IFERROR(__xludf.DUMMYFUNCTION("MIN(QUERY(SORT(GOOGLEFINANCE(A92,""low"",TODAY()-40,TODAY()),1,0),""select Col2 limit 20""))"),612.1)</f>
        <v>612.1</v>
      </c>
      <c r="I92" s="61">
        <f t="shared" si="1"/>
        <v>17.85316133</v>
      </c>
      <c r="J92" s="35" t="str">
        <f t="shared" si="2"/>
        <v>Start GTT Order</v>
      </c>
    </row>
    <row r="93">
      <c r="A93" s="62" t="s">
        <v>167</v>
      </c>
      <c r="B93" s="59">
        <f>IFERROR(__xludf.DUMMYFUNCTION("GOOGLEFINANCE(A93,""price"")"),5031.5)</f>
        <v>5031.5</v>
      </c>
      <c r="C93" s="60">
        <f>IFERROR(__xludf.DUMMYFUNCTION("MAX(QUERY(SORT(GOOGLEFINANCE(A93,""high"",TODAY()-100,TODAY()),1,0),""select Col2 limit 55""))"),5766.0)</f>
        <v>5766</v>
      </c>
      <c r="D93" s="32">
        <f>IFERROR(__xludf.DUMMYFUNCTION("GOOGLEFINANCE(A93,""high52"")"),6388.5)</f>
        <v>6388.5</v>
      </c>
      <c r="E93" s="33">
        <f>IFERROR(__xludf.DUMMYFUNCTION("to_date(index(sort(GOOGLEFINANCE(A93, ""high"", today()-52*7, today(), ""DAILY""),2,0),2,1))"),45996.64583333333)</f>
        <v>45996.64583</v>
      </c>
      <c r="F93" s="32">
        <f>IFERROR(__xludf.DUMMYFUNCTION("GOOGLEFINANCE(A93,""low52"")"),4158.1)</f>
        <v>4158.1</v>
      </c>
      <c r="G93" s="33">
        <f>IFERROR(__xludf.DUMMYFUNCTION("to_date(index(sort(GOOGLEFINANCE(A93, ""low"", today()-52*7, today(), ""DAILY""),2,1),1,1))"),45814.64583333333)</f>
        <v>45814.64583</v>
      </c>
      <c r="H93" s="61">
        <f>IFERROR(__xludf.DUMMYFUNCTION("MIN(QUERY(SORT(GOOGLEFINANCE(A93,""low"",TODAY()-40,TODAY()),1,0),""select Col2 limit 20""))"),4880.0)</f>
        <v>4880</v>
      </c>
      <c r="I93" s="61">
        <f t="shared" si="1"/>
        <v>14.5980324</v>
      </c>
      <c r="J93" s="35" t="str">
        <f t="shared" si="2"/>
        <v>No need to fresh start</v>
      </c>
    </row>
    <row r="94">
      <c r="A94" s="62" t="s">
        <v>148</v>
      </c>
      <c r="B94" s="59">
        <f>IFERROR(__xludf.DUMMYFUNCTION("GOOGLEFINANCE(A94,""price"")"),1859.2)</f>
        <v>1859.2</v>
      </c>
      <c r="C94" s="60">
        <f>IFERROR(__xludf.DUMMYFUNCTION("MAX(QUERY(SORT(GOOGLEFINANCE(A94,""high"",TODAY()-100,TODAY()),1,0),""select Col2 limit 55""))"),1910.7)</f>
        <v>1910.7</v>
      </c>
      <c r="D94" s="32">
        <f>IFERROR(__xludf.DUMMYFUNCTION("GOOGLEFINANCE(A94,""high52"")"),2068.7)</f>
        <v>2068.7</v>
      </c>
      <c r="E94" s="33">
        <f>IFERROR(__xludf.DUMMYFUNCTION("to_date(index(sort(GOOGLEFINANCE(A94, ""high"", today()-52*7, today(), ""DAILY""),2,0),2,1))"),45839.64583333333)</f>
        <v>45839.64583</v>
      </c>
      <c r="F94" s="32">
        <f>IFERROR(__xludf.DUMMYFUNCTION("GOOGLEFINANCE(A94,""low52"")"),1629.5)</f>
        <v>1629.5</v>
      </c>
      <c r="G94" s="33">
        <f>IFERROR(__xludf.DUMMYFUNCTION("to_date(index(sort(GOOGLEFINANCE(A94, ""low"", today()-52*7, today(), ""DAILY""),2,1),1,1))"),46114.64583333333)</f>
        <v>46114.64583</v>
      </c>
      <c r="H94" s="61">
        <f>IFERROR(__xludf.DUMMYFUNCTION("MIN(QUERY(SORT(GOOGLEFINANCE(A94,""low"",TODAY()-40,TODAY()),1,0),""select Col2 limit 20""))"),1736.3)</f>
        <v>1736.3</v>
      </c>
      <c r="I94" s="61">
        <f t="shared" si="1"/>
        <v>2.770008606</v>
      </c>
      <c r="J94" s="35" t="str">
        <f t="shared" si="2"/>
        <v>No need to fresh start</v>
      </c>
    </row>
    <row r="95">
      <c r="A95" s="62" t="s">
        <v>247</v>
      </c>
      <c r="B95" s="59">
        <f>IFERROR(__xludf.DUMMYFUNCTION("GOOGLEFINANCE(A95,""price"")"),38100.0)</f>
        <v>38100</v>
      </c>
      <c r="C95" s="60">
        <f>IFERROR(__xludf.DUMMYFUNCTION("MAX(QUERY(SORT(GOOGLEFINANCE(A95,""high"",TODAY()-100,TODAY()),1,0),""select Col2 limit 55""))"),40490.0)</f>
        <v>40490</v>
      </c>
      <c r="D95" s="32">
        <f>IFERROR(__xludf.DUMMYFUNCTION("GOOGLEFINANCE(A95,""high52"")"),50590.0)</f>
        <v>50590</v>
      </c>
      <c r="E95" s="33">
        <f>IFERROR(__xludf.DUMMYFUNCTION("to_date(index(sort(GOOGLEFINANCE(A95, ""high"", today()-52*7, today(), ""DAILY""),2,0),2,1))"),45835.64583333333)</f>
        <v>45835.64583</v>
      </c>
      <c r="F95" s="32">
        <f>IFERROR(__xludf.DUMMYFUNCTION("GOOGLEFINANCE(A95,""low52"")"),29805.0)</f>
        <v>29805</v>
      </c>
      <c r="G95" s="33">
        <f>IFERROR(__xludf.DUMMYFUNCTION("to_date(index(sort(GOOGLEFINANCE(A95, ""low"", today()-52*7, today(), ""DAILY""),2,1),1,1))"),46097.64583333333)</f>
        <v>46097.64583</v>
      </c>
      <c r="H95" s="61">
        <f>IFERROR(__xludf.DUMMYFUNCTION("MIN(QUERY(SORT(GOOGLEFINANCE(A95,""low"",TODAY()-40,TODAY()),1,0),""select Col2 limit 20""))"),34720.0)</f>
        <v>34720</v>
      </c>
      <c r="I95" s="61">
        <f t="shared" si="1"/>
        <v>6.272965879</v>
      </c>
      <c r="J95" s="35" t="str">
        <f t="shared" si="2"/>
        <v>No need to fresh start</v>
      </c>
    </row>
    <row r="96">
      <c r="A96" s="62" t="s">
        <v>131</v>
      </c>
      <c r="B96" s="59">
        <f>IFERROR(__xludf.DUMMYFUNCTION("GOOGLEFINANCE(A96,""price"")"),1165.5)</f>
        <v>1165.5</v>
      </c>
      <c r="C96" s="60">
        <f>IFERROR(__xludf.DUMMYFUNCTION("MAX(QUERY(SORT(GOOGLEFINANCE(A96,""high"",TODAY()-100,TODAY()),1,0),""select Col2 limit 55""))"),1376.9)</f>
        <v>1376.9</v>
      </c>
      <c r="D96" s="32">
        <f>IFERROR(__xludf.DUMMYFUNCTION("GOOGLEFINANCE(A96,""high52"")"),1728.0)</f>
        <v>1728</v>
      </c>
      <c r="E96" s="33">
        <f>IFERROR(__xludf.DUMMYFUNCTION("to_date(index(sort(GOOGLEFINANCE(A96, ""high"", today()-52*7, today(), ""DAILY""),2,0),2,1))"),46056.64583333333)</f>
        <v>46056.64583</v>
      </c>
      <c r="F96" s="32">
        <f>IFERROR(__xludf.DUMMYFUNCTION("GOOGLEFINANCE(A96,""low52"")"),1089.0)</f>
        <v>1089</v>
      </c>
      <c r="G96" s="33">
        <f>IFERROR(__xludf.DUMMYFUNCTION("to_date(index(sort(GOOGLEFINANCE(A96, ""low"", today()-52*7, today(), ""DAILY""),2,1),1,1))"),46156.64583333333)</f>
        <v>46156.64583</v>
      </c>
      <c r="H96" s="61">
        <f>IFERROR(__xludf.DUMMYFUNCTION("MIN(QUERY(SORT(GOOGLEFINANCE(A96,""low"",TODAY()-40,TODAY()),1,0),""select Col2 limit 20""))"),1089.0)</f>
        <v>1089</v>
      </c>
      <c r="I96" s="61">
        <f t="shared" si="1"/>
        <v>18.13813814</v>
      </c>
      <c r="J96" s="35" t="str">
        <f t="shared" si="2"/>
        <v>Start GTT Order</v>
      </c>
    </row>
    <row r="97">
      <c r="A97" s="62" t="s">
        <v>248</v>
      </c>
      <c r="B97" s="59">
        <f>IFERROR(__xludf.DUMMYFUNCTION("GOOGLEFINANCE(A97,""price"")"),663.6)</f>
        <v>663.6</v>
      </c>
      <c r="C97" s="60">
        <f>IFERROR(__xludf.DUMMYFUNCTION("MAX(QUERY(SORT(GOOGLEFINANCE(A97,""high"",TODAY()-100,TODAY()),1,0),""select Col2 limit 55""))"),678.5)</f>
        <v>678.5</v>
      </c>
      <c r="D97" s="32">
        <f>IFERROR(__xludf.DUMMYFUNCTION("GOOGLEFINANCE(A97,""high52"")"),811.95)</f>
        <v>811.95</v>
      </c>
      <c r="E97" s="33">
        <f>IFERROR(__xludf.DUMMYFUNCTION("to_date(index(sort(GOOGLEFINANCE(A97, ""high"", today()-52*7, today(), ""DAILY""),2,0),2,1))"),45890.64583333333)</f>
        <v>45890.64583</v>
      </c>
      <c r="F97" s="32">
        <f>IFERROR(__xludf.DUMMYFUNCTION("GOOGLEFINANCE(A97,""low52"")"),565.0)</f>
        <v>565</v>
      </c>
      <c r="G97" s="33">
        <f>IFERROR(__xludf.DUMMYFUNCTION("to_date(index(sort(GOOGLEFINANCE(A97, ""low"", today()-52*7, today(), ""DAILY""),2,1),1,1))"),46114.64583333333)</f>
        <v>46114.64583</v>
      </c>
      <c r="H97" s="61">
        <f>IFERROR(__xludf.DUMMYFUNCTION("MIN(QUERY(SORT(GOOGLEFINANCE(A97,""low"",TODAY()-40,TODAY()),1,0),""select Col2 limit 20""))"),622.45)</f>
        <v>622.45</v>
      </c>
      <c r="I97" s="61">
        <f t="shared" si="1"/>
        <v>2.245328511</v>
      </c>
      <c r="J97" s="35" t="str">
        <f t="shared" si="2"/>
        <v>No need to fresh start</v>
      </c>
    </row>
    <row r="98">
      <c r="A98" s="62" t="s">
        <v>152</v>
      </c>
      <c r="B98" s="59">
        <f>IFERROR(__xludf.DUMMYFUNCTION("GOOGLEFINANCE(A98,""price"")"),525.35)</f>
        <v>525.35</v>
      </c>
      <c r="C98" s="60">
        <f>IFERROR(__xludf.DUMMYFUNCTION("MAX(QUERY(SORT(GOOGLEFINANCE(A98,""high"",TODAY()-100,TODAY()),1,0),""select Col2 limit 55""))"),540.35)</f>
        <v>540.35</v>
      </c>
      <c r="D98" s="32">
        <f>IFERROR(__xludf.DUMMYFUNCTION("GOOGLEFINANCE(A98,""high52"")"),605.0)</f>
        <v>605</v>
      </c>
      <c r="E98" s="33">
        <f>IFERROR(__xludf.DUMMYFUNCTION("to_date(index(sort(GOOGLEFINANCE(A98, ""high"", today()-52*7, today(), ""DAILY""),2,0),2,1))"),45841.64583333333)</f>
        <v>45841.64583</v>
      </c>
      <c r="F98" s="32">
        <f>IFERROR(__xludf.DUMMYFUNCTION("GOOGLEFINANCE(A98,""low52"")"),391.1)</f>
        <v>391.1</v>
      </c>
      <c r="G98" s="33">
        <f>IFERROR(__xludf.DUMMYFUNCTION("to_date(index(sort(GOOGLEFINANCE(A98, ""low"", today()-52*7, today(), ""DAILY""),2,1),1,1))"),46097.64583333333)</f>
        <v>46097.64583</v>
      </c>
      <c r="H98" s="61">
        <f>IFERROR(__xludf.DUMMYFUNCTION("MIN(QUERY(SORT(GOOGLEFINANCE(A98,""low"",TODAY()-40,TODAY()),1,0),""select Col2 limit 20""))"),455.75)</f>
        <v>455.75</v>
      </c>
      <c r="I98" s="61">
        <f t="shared" si="1"/>
        <v>2.855239364</v>
      </c>
      <c r="J98" s="35" t="str">
        <f t="shared" si="2"/>
        <v>No need to fresh start</v>
      </c>
    </row>
    <row r="99">
      <c r="A99" s="62" t="s">
        <v>175</v>
      </c>
      <c r="B99" s="59">
        <f>IFERROR(__xludf.DUMMYFUNCTION("GOOGLEFINANCE(A99,""price"")"),459.45)</f>
        <v>459.45</v>
      </c>
      <c r="C99" s="60">
        <f>IFERROR(__xludf.DUMMYFUNCTION("MAX(QUERY(SORT(GOOGLEFINANCE(A99,""high"",TODAY()-100,TODAY()),1,0),""select Col2 limit 55""))"),482.4)</f>
        <v>482.4</v>
      </c>
      <c r="D99" s="32">
        <f>IFERROR(__xludf.DUMMYFUNCTION("GOOGLEFINANCE(A99,""high52"")"),624.95)</f>
        <v>624.95</v>
      </c>
      <c r="E99" s="33">
        <f>IFERROR(__xludf.DUMMYFUNCTION("to_date(index(sort(GOOGLEFINANCE(A99, ""high"", today()-52*7, today(), ""DAILY""),2,0),2,1))"),45860.64583333333)</f>
        <v>45860.64583</v>
      </c>
      <c r="F99" s="32">
        <f>IFERROR(__xludf.DUMMYFUNCTION("GOOGLEFINANCE(A99,""low52"")"),394.0)</f>
        <v>394</v>
      </c>
      <c r="G99" s="33">
        <f>IFERROR(__xludf.DUMMYFUNCTION("to_date(index(sort(GOOGLEFINANCE(A99, ""low"", today()-52*7, today(), ""DAILY""),2,1),1,1))"),46104.64583333333)</f>
        <v>46104.64583</v>
      </c>
      <c r="H99" s="61">
        <f>IFERROR(__xludf.DUMMYFUNCTION("MIN(QUERY(SORT(GOOGLEFINANCE(A99,""low"",TODAY()-40,TODAY()),1,0),""select Col2 limit 20""))"),421.1)</f>
        <v>421.1</v>
      </c>
      <c r="I99" s="61">
        <f t="shared" si="1"/>
        <v>4.99510284</v>
      </c>
      <c r="J99" s="35" t="str">
        <f t="shared" si="2"/>
        <v>No need to fresh start</v>
      </c>
    </row>
    <row r="100">
      <c r="A100" s="62" t="s">
        <v>203</v>
      </c>
      <c r="B100" s="59">
        <f>IFERROR(__xludf.DUMMYFUNCTION("GOOGLEFINANCE(A100,""price"")"),656.55)</f>
        <v>656.55</v>
      </c>
      <c r="C100" s="60">
        <f>IFERROR(__xludf.DUMMYFUNCTION("MAX(QUERY(SORT(GOOGLEFINANCE(A100,""high"",TODAY()-100,TODAY()),1,0),""select Col2 limit 55""))"),678.25)</f>
        <v>678.25</v>
      </c>
      <c r="D100" s="32">
        <f>IFERROR(__xludf.DUMMYFUNCTION("GOOGLEFINANCE(A100,""high52"")"),733.0)</f>
        <v>733</v>
      </c>
      <c r="E100" s="33">
        <f>IFERROR(__xludf.DUMMYFUNCTION("to_date(index(sort(GOOGLEFINANCE(A100, ""high"", today()-52*7, today(), ""DAILY""),2,0),2,1))"),46049.64583333333)</f>
        <v>46049.64583</v>
      </c>
      <c r="F100" s="32">
        <f>IFERROR(__xludf.DUMMYFUNCTION("GOOGLEFINANCE(A100,""low52"")"),413.5)</f>
        <v>413.5</v>
      </c>
      <c r="G100" s="33">
        <f>IFERROR(__xludf.DUMMYFUNCTION("to_date(index(sort(GOOGLEFINANCE(A100, ""low"", today()-52*7, today(), ""DAILY""),2,1),1,1))"),45870.64583333333)</f>
        <v>45870.64583</v>
      </c>
      <c r="H100" s="61">
        <f>IFERROR(__xludf.DUMMYFUNCTION("MIN(QUERY(SORT(GOOGLEFINANCE(A100,""low"",TODAY()-40,TODAY()),1,0),""select Col2 limit 20""))"),583.35)</f>
        <v>583.35</v>
      </c>
      <c r="I100" s="61">
        <f t="shared" si="1"/>
        <v>3.305155738</v>
      </c>
      <c r="J100" s="35" t="str">
        <f t="shared" si="2"/>
        <v>No need to fresh start</v>
      </c>
    </row>
    <row r="101">
      <c r="A101" s="62" t="s">
        <v>186</v>
      </c>
      <c r="B101" s="59">
        <f>IFERROR(__xludf.DUMMYFUNCTION("GOOGLEFINANCE(A101,""price"")"),442.65)</f>
        <v>442.65</v>
      </c>
      <c r="C101" s="60">
        <f>IFERROR(__xludf.DUMMYFUNCTION("MAX(QUERY(SORT(GOOGLEFINANCE(A101,""high"",TODAY()-100,TODAY()),1,0),""select Col2 limit 55""))"),504.95)</f>
        <v>504.95</v>
      </c>
      <c r="D101" s="32">
        <f>IFERROR(__xludf.DUMMYFUNCTION("GOOGLEFINANCE(A101,""high52"")"),577.0)</f>
        <v>577</v>
      </c>
      <c r="E101" s="33">
        <f>IFERROR(__xludf.DUMMYFUNCTION("to_date(index(sort(GOOGLEFINANCE(A101, ""high"", today()-52*7, today(), ""DAILY""),2,0),2,1))"),45904.64583333333)</f>
        <v>45904.64583</v>
      </c>
      <c r="F101" s="32">
        <f>IFERROR(__xludf.DUMMYFUNCTION("GOOGLEFINANCE(A101,""low52"")"),403.35)</f>
        <v>403.35</v>
      </c>
      <c r="G101" s="33">
        <f>IFERROR(__xludf.DUMMYFUNCTION("to_date(index(sort(GOOGLEFINANCE(A101, ""low"", today()-52*7, today(), ""DAILY""),2,1),1,1))"),46114.64583333333)</f>
        <v>46114.64583</v>
      </c>
      <c r="H101" s="61">
        <f>IFERROR(__xludf.DUMMYFUNCTION("MIN(QUERY(SORT(GOOGLEFINANCE(A101,""low"",TODAY()-40,TODAY()),1,0),""select Col2 limit 20""))"),440.35)</f>
        <v>440.35</v>
      </c>
      <c r="I101" s="61">
        <f t="shared" si="1"/>
        <v>14.07432509</v>
      </c>
      <c r="J101" s="35" t="str">
        <f t="shared" si="2"/>
        <v>Start GTT Order</v>
      </c>
    </row>
    <row r="102">
      <c r="A102" s="62" t="s">
        <v>249</v>
      </c>
      <c r="B102" s="59">
        <f>IFERROR(__xludf.DUMMYFUNCTION("GOOGLEFINANCE(A102,""price"")"),855.0)</f>
        <v>855</v>
      </c>
      <c r="C102" s="60">
        <f>IFERROR(__xludf.DUMMYFUNCTION("MAX(QUERY(SORT(GOOGLEFINANCE(A102,""high"",TODAY()-100,TODAY()),1,0),""select Col2 limit 55""))"),1029.95)</f>
        <v>1029.95</v>
      </c>
      <c r="D102" s="32">
        <f>IFERROR(__xludf.DUMMYFUNCTION("GOOGLEFINANCE(A102,""high52"")"),1473.8)</f>
        <v>1473.8</v>
      </c>
      <c r="E102" s="33">
        <f>IFERROR(__xludf.DUMMYFUNCTION("to_date(index(sort(GOOGLEFINANCE(A102, ""high"", today()-52*7, today(), ""DAILY""),2,0),2,1))"),45861.64583333333)</f>
        <v>45861.64583</v>
      </c>
      <c r="F102" s="32">
        <f>IFERROR(__xludf.DUMMYFUNCTION("GOOGLEFINANCE(A102,""low52"")"),756.85)</f>
        <v>756.85</v>
      </c>
      <c r="G102" s="33">
        <f>IFERROR(__xludf.DUMMYFUNCTION("to_date(index(sort(GOOGLEFINANCE(A102, ""low"", today()-52*7, today(), ""DAILY""),2,1),1,1))"),46055.64583333333)</f>
        <v>46055.64583</v>
      </c>
      <c r="H102" s="61">
        <f>IFERROR(__xludf.DUMMYFUNCTION("MIN(QUERY(SORT(GOOGLEFINANCE(A102,""low"",TODAY()-40,TODAY()),1,0),""select Col2 limit 20""))"),826.35)</f>
        <v>826.35</v>
      </c>
      <c r="I102" s="61">
        <f t="shared" si="1"/>
        <v>20.4619883</v>
      </c>
      <c r="J102" s="35" t="str">
        <f t="shared" si="2"/>
        <v>No need to fresh start</v>
      </c>
    </row>
    <row r="103">
      <c r="A103" s="62" t="s">
        <v>250</v>
      </c>
      <c r="B103" s="59">
        <f>IFERROR(__xludf.DUMMYFUNCTION("GOOGLEFINANCE(A103,""price"")"),1458.4)</f>
        <v>1458.4</v>
      </c>
      <c r="C103" s="60">
        <f>IFERROR(__xludf.DUMMYFUNCTION("MAX(QUERY(SORT(GOOGLEFINANCE(A103,""high"",TODAY()-100,TODAY()),1,0),""select Col2 limit 55""))"),1824.1)</f>
        <v>1824.1</v>
      </c>
      <c r="D103" s="32">
        <f>IFERROR(__xludf.DUMMYFUNCTION("GOOGLEFINANCE(A103,""high52"")"),1824.1)</f>
        <v>1824.1</v>
      </c>
      <c r="E103" s="33">
        <f>IFERROR(__xludf.DUMMYFUNCTION("to_date(index(sort(GOOGLEFINANCE(A103, ""high"", today()-52*7, today(), ""DAILY""),2,0),2,1))"),46139.64583333333)</f>
        <v>46139.64583</v>
      </c>
      <c r="F103" s="32">
        <f>IFERROR(__xludf.DUMMYFUNCTION("GOOGLEFINANCE(A103,""low52"")"),1188.0)</f>
        <v>1188</v>
      </c>
      <c r="G103" s="33">
        <f>IFERROR(__xludf.DUMMYFUNCTION("to_date(index(sort(GOOGLEFINANCE(A103, ""low"", today()-52*7, today(), ""DAILY""),2,1),1,1))"),45936.64583333333)</f>
        <v>45936.64583</v>
      </c>
      <c r="H103" s="61">
        <f>IFERROR(__xludf.DUMMYFUNCTION("MIN(QUERY(SORT(GOOGLEFINANCE(A103,""low"",TODAY()-40,TODAY()),1,0),""select Col2 limit 20""))"),1434.1)</f>
        <v>1434.1</v>
      </c>
      <c r="I103" s="61">
        <f t="shared" si="1"/>
        <v>25.07542512</v>
      </c>
      <c r="J103" s="35" t="str">
        <f t="shared" si="2"/>
        <v>No need to fresh start</v>
      </c>
    </row>
    <row r="104">
      <c r="A104" s="62" t="s">
        <v>138</v>
      </c>
      <c r="B104" s="59">
        <f>IFERROR(__xludf.DUMMYFUNCTION("GOOGLEFINANCE(A104,""price"")"),433.8)</f>
        <v>433.8</v>
      </c>
      <c r="C104" s="60">
        <f>IFERROR(__xludf.DUMMYFUNCTION("MAX(QUERY(SORT(GOOGLEFINANCE(A104,""high"",TODAY()-100,TODAY()),1,0),""select Col2 limit 55""))"),440.4)</f>
        <v>440.4</v>
      </c>
      <c r="D104" s="32">
        <f>IFERROR(__xludf.DUMMYFUNCTION("GOOGLEFINANCE(A104,""high52"")"),438.45)</f>
        <v>438.45</v>
      </c>
      <c r="E104" s="33">
        <f>IFERROR(__xludf.DUMMYFUNCTION("to_date(index(sort(GOOGLEFINANCE(A104, ""high"", today()-52*7, today(), ""DAILY""),2,0),2,1))"),46168.64583333333)</f>
        <v>46168.64583</v>
      </c>
      <c r="F104" s="32">
        <f>IFERROR(__xludf.DUMMYFUNCTION("GOOGLEFINANCE(A104,""low52"")"),327.6)</f>
        <v>327.6</v>
      </c>
      <c r="G104" s="33">
        <f>IFERROR(__xludf.DUMMYFUNCTION("to_date(index(sort(GOOGLEFINANCE(A104, ""low"", today()-52*7, today(), ""DAILY""),2,1),1,1))"),45814.64583333333)</f>
        <v>45814.64583</v>
      </c>
      <c r="H104" s="61">
        <f>IFERROR(__xludf.DUMMYFUNCTION("MIN(QUERY(SORT(GOOGLEFINANCE(A104,""low"",TODAY()-40,TODAY()),1,0),""select Col2 limit 20""))"),354.25)</f>
        <v>354.25</v>
      </c>
      <c r="I104" s="61">
        <f t="shared" si="1"/>
        <v>1.521438451</v>
      </c>
      <c r="J104" s="35" t="str">
        <f t="shared" si="2"/>
        <v>No need to fresh start</v>
      </c>
    </row>
    <row r="105">
      <c r="A105" s="62" t="s">
        <v>251</v>
      </c>
      <c r="B105" s="59">
        <f>IFERROR(__xludf.DUMMYFUNCTION("GOOGLEFINANCE(A105,""price"")"),1410.9)</f>
        <v>1410.9</v>
      </c>
      <c r="C105" s="60">
        <f>IFERROR(__xludf.DUMMYFUNCTION("MAX(QUERY(SORT(GOOGLEFINANCE(A105,""high"",TODAY()-100,TODAY()),1,0),""select Col2 limit 55""))"),1514.7)</f>
        <v>1514.7</v>
      </c>
      <c r="D105" s="32">
        <f>IFERROR(__xludf.DUMMYFUNCTION("GOOGLEFINANCE(A105,""high52"")"),1814.0)</f>
        <v>1814</v>
      </c>
      <c r="E105" s="33">
        <f>IFERROR(__xludf.DUMMYFUNCTION("to_date(index(sort(GOOGLEFINANCE(A105, ""high"", today()-52*7, today(), ""DAILY""),2,0),2,1))"),45860.64583333333)</f>
        <v>45860.64583</v>
      </c>
      <c r="F105" s="32">
        <f>IFERROR(__xludf.DUMMYFUNCTION("GOOGLEFINANCE(A105,""low52"")"),1090.0)</f>
        <v>1090</v>
      </c>
      <c r="G105" s="33">
        <f>IFERROR(__xludf.DUMMYFUNCTION("to_date(index(sort(GOOGLEFINANCE(A105, ""low"", today()-52*7, today(), ""DAILY""),2,1),1,1))"),46114.64583333333)</f>
        <v>46114.64583</v>
      </c>
      <c r="H105" s="61">
        <f>IFERROR(__xludf.DUMMYFUNCTION("MIN(QUERY(SORT(GOOGLEFINANCE(A105,""low"",TODAY()-40,TODAY()),1,0),""select Col2 limit 20""))"),1297.9)</f>
        <v>1297.9</v>
      </c>
      <c r="I105" s="61">
        <f t="shared" si="1"/>
        <v>7.357006166</v>
      </c>
      <c r="J105" s="35" t="str">
        <f t="shared" si="2"/>
        <v>No need to fresh start</v>
      </c>
    </row>
    <row r="106">
      <c r="A106" s="62" t="s">
        <v>63</v>
      </c>
      <c r="B106" s="59">
        <f>IFERROR(__xludf.DUMMYFUNCTION("GOOGLEFINANCE(A106,""price"")"),304.9)</f>
        <v>304.9</v>
      </c>
      <c r="C106" s="60">
        <f>IFERROR(__xludf.DUMMYFUNCTION("MAX(QUERY(SORT(GOOGLEFINANCE(A106,""high"",TODAY()-100,TODAY()),1,0),""select Col2 limit 55""))"),367.85)</f>
        <v>367.85</v>
      </c>
      <c r="D106" s="32">
        <f>IFERROR(__xludf.DUMMYFUNCTION("GOOGLEFINANCE(A106,""high52"")"),391.65)</f>
        <v>391.65</v>
      </c>
      <c r="E106" s="33">
        <f>IFERROR(__xludf.DUMMYFUNCTION("to_date(index(sort(GOOGLEFINANCE(A106, ""high"", today()-52*7, today(), ""DAILY""),2,0),2,1))"),46058.64583333333)</f>
        <v>46058.64583</v>
      </c>
      <c r="F106" s="32">
        <f>IFERROR(__xludf.DUMMYFUNCTION("GOOGLEFINANCE(A106,""low52"")"),266.6)</f>
        <v>266.6</v>
      </c>
      <c r="G106" s="33">
        <f>IFERROR(__xludf.DUMMYFUNCTION("to_date(index(sort(GOOGLEFINANCE(A106, ""low"", today()-52*7, today(), ""DAILY""),2,1),1,1))"),46114.64583333333)</f>
        <v>46114.64583</v>
      </c>
      <c r="H106" s="61">
        <f>IFERROR(__xludf.DUMMYFUNCTION("MIN(QUERY(SORT(GOOGLEFINANCE(A106,""low"",TODAY()-40,TODAY()),1,0),""select Col2 limit 20""))"),276.6)</f>
        <v>276.6</v>
      </c>
      <c r="I106" s="61">
        <f t="shared" si="1"/>
        <v>20.64611348</v>
      </c>
      <c r="J106" s="35" t="str">
        <f t="shared" si="2"/>
        <v>No need to fresh start</v>
      </c>
    </row>
    <row r="107">
      <c r="A107" s="62" t="s">
        <v>252</v>
      </c>
      <c r="B107" s="59">
        <f>IFERROR(__xludf.DUMMYFUNCTION("GOOGLEFINANCE(A107,""price"")"),184.65)</f>
        <v>184.65</v>
      </c>
      <c r="C107" s="60">
        <f>IFERROR(__xludf.DUMMYFUNCTION("MAX(QUERY(SORT(GOOGLEFINANCE(A107,""high"",TODAY()-100,TODAY()),1,0),""select Col2 limit 55""))"),188.5)</f>
        <v>188.5</v>
      </c>
      <c r="D107" s="32">
        <f>IFERROR(__xludf.DUMMYFUNCTION("GOOGLEFINANCE(A107,""high52"")"),232.43)</f>
        <v>232.43</v>
      </c>
      <c r="E107" s="33">
        <f>IFERROR(__xludf.DUMMYFUNCTION("to_date(index(sort(GOOGLEFINANCE(A107, ""high"", today()-52*7, today(), ""DAILY""),2,0),2,1))"),45852.64583333333)</f>
        <v>45852.64583</v>
      </c>
      <c r="F107" s="32">
        <f>IFERROR(__xludf.DUMMYFUNCTION("GOOGLEFINANCE(A107,""low52"")"),170.1)</f>
        <v>170.1</v>
      </c>
      <c r="G107" s="33">
        <f>IFERROR(__xludf.DUMMYFUNCTION("to_date(index(sort(GOOGLEFINANCE(A107, ""low"", today()-52*7, today(), ""DAILY""),2,1),1,1))"),46105.64583333333)</f>
        <v>46105.64583</v>
      </c>
      <c r="H107" s="61">
        <f>IFERROR(__xludf.DUMMYFUNCTION("MIN(QUERY(SORT(GOOGLEFINANCE(A107,""low"",TODAY()-40,TODAY()),1,0),""select Col2 limit 20""))"),180.5)</f>
        <v>180.5</v>
      </c>
      <c r="I107" s="61">
        <f t="shared" si="1"/>
        <v>2.085025724</v>
      </c>
      <c r="J107" s="35" t="str">
        <f t="shared" si="2"/>
        <v>No need to fresh start</v>
      </c>
    </row>
    <row r="108">
      <c r="A108" s="62" t="s">
        <v>153</v>
      </c>
      <c r="B108" s="59">
        <f>IFERROR(__xludf.DUMMYFUNCTION("GOOGLEFINANCE(A108,""price"")"),3802.0)</f>
        <v>3802</v>
      </c>
      <c r="C108" s="60">
        <f>IFERROR(__xludf.DUMMYFUNCTION("MAX(QUERY(SORT(GOOGLEFINANCE(A108,""high"",TODAY()-100,TODAY()),1,0),""select Col2 limit 55""))"),3930.0)</f>
        <v>3930</v>
      </c>
      <c r="D108" s="32">
        <f>IFERROR(__xludf.DUMMYFUNCTION("GOOGLEFINANCE(A108,""high52"")"),3930.0)</f>
        <v>3930</v>
      </c>
      <c r="E108" s="33">
        <f>IFERROR(__xludf.DUMMYFUNCTION("to_date(index(sort(GOOGLEFINANCE(A108, ""high"", today()-52*7, today(), ""DAILY""),2,0),2,1))"),46146.64583333333)</f>
        <v>46146.64583</v>
      </c>
      <c r="F108" s="32">
        <f>IFERROR(__xludf.DUMMYFUNCTION("GOOGLEFINANCE(A108,""low52"")"),2826.0)</f>
        <v>2826</v>
      </c>
      <c r="G108" s="33">
        <f>IFERROR(__xludf.DUMMYFUNCTION("to_date(index(sort(GOOGLEFINANCE(A108, ""low"", today()-52*7, today(), ""DAILY""),2,1),1,1))"),46043.64583333333)</f>
        <v>46043.64583</v>
      </c>
      <c r="H108" s="61">
        <f>IFERROR(__xludf.DUMMYFUNCTION("MIN(QUERY(SORT(GOOGLEFINANCE(A108,""low"",TODAY()-40,TODAY()),1,0),""select Col2 limit 20""))"),3454.5)</f>
        <v>3454.5</v>
      </c>
      <c r="I108" s="61">
        <f t="shared" si="1"/>
        <v>3.366649132</v>
      </c>
      <c r="J108" s="35" t="str">
        <f t="shared" si="2"/>
        <v>No need to fresh start</v>
      </c>
    </row>
    <row r="109">
      <c r="A109" s="62" t="s">
        <v>137</v>
      </c>
      <c r="B109" s="59">
        <f>IFERROR(__xludf.DUMMYFUNCTION("GOOGLEFINANCE(A109,""price"")"),521.55)</f>
        <v>521.55</v>
      </c>
      <c r="C109" s="60">
        <f>IFERROR(__xludf.DUMMYFUNCTION("MAX(QUERY(SORT(GOOGLEFINANCE(A109,""high"",TODAY()-100,TODAY()),1,0),""select Col2 limit 55""))"),650.0)</f>
        <v>650</v>
      </c>
      <c r="D109" s="32">
        <f>IFERROR(__xludf.DUMMYFUNCTION("GOOGLEFINANCE(A109,""high52"")"),706.8)</f>
        <v>706.8</v>
      </c>
      <c r="E109" s="33">
        <f>IFERROR(__xludf.DUMMYFUNCTION("to_date(index(sort(GOOGLEFINANCE(A109, ""high"", today()-52*7, today(), ""DAILY""),2,0),2,1))"),46035.64583333333)</f>
        <v>46035.64583</v>
      </c>
      <c r="F109" s="32">
        <f>IFERROR(__xludf.DUMMYFUNCTION("GOOGLEFINANCE(A109,""low52"")"),488.6)</f>
        <v>488.6</v>
      </c>
      <c r="G109" s="33">
        <f>IFERROR(__xludf.DUMMYFUNCTION("to_date(index(sort(GOOGLEFINANCE(A109, ""low"", today()-52*7, today(), ""DAILY""),2,1),1,1))"),46160.64583333333)</f>
        <v>46160.64583</v>
      </c>
      <c r="H109" s="61">
        <f>IFERROR(__xludf.DUMMYFUNCTION("MIN(QUERY(SORT(GOOGLEFINANCE(A109,""low"",TODAY()-40,TODAY()),1,0),""select Col2 limit 20""))"),488.6)</f>
        <v>488.6</v>
      </c>
      <c r="I109" s="61">
        <f t="shared" si="1"/>
        <v>24.62851117</v>
      </c>
      <c r="J109" s="35" t="str">
        <f t="shared" si="2"/>
        <v>No need to fresh start</v>
      </c>
    </row>
    <row r="110">
      <c r="A110" s="62" t="s">
        <v>135</v>
      </c>
      <c r="B110" s="59">
        <f>IFERROR(__xludf.DUMMYFUNCTION("GOOGLEFINANCE(A110,""price"")"),205.72)</f>
        <v>205.72</v>
      </c>
      <c r="C110" s="60">
        <f>IFERROR(__xludf.DUMMYFUNCTION("MAX(QUERY(SORT(GOOGLEFINANCE(A110,""high"",TODAY()-100,TODAY()),1,0),""select Col2 limit 55""))"),212.98)</f>
        <v>212.98</v>
      </c>
      <c r="D110" s="32">
        <f>IFERROR(__xludf.DUMMYFUNCTION("GOOGLEFINANCE(A110,""high52"")"),273.1)</f>
        <v>273.1</v>
      </c>
      <c r="E110" s="33">
        <f>IFERROR(__xludf.DUMMYFUNCTION("to_date(index(sort(GOOGLEFINANCE(A110, ""high"", today()-52*7, today(), ""DAILY""),2,0),2,1))"),46013.64583333333)</f>
        <v>46013.64583</v>
      </c>
      <c r="F110" s="32">
        <f>IFERROR(__xludf.DUMMYFUNCTION("GOOGLEFINANCE(A110,""low52"")"),186.5)</f>
        <v>186.5</v>
      </c>
      <c r="G110" s="33">
        <f>IFERROR(__xludf.DUMMYFUNCTION("to_date(index(sort(GOOGLEFINANCE(A110, ""low"", today()-52*7, today(), ""DAILY""),2,1),1,1))"),46111.64583333333)</f>
        <v>46111.64583</v>
      </c>
      <c r="H110" s="61">
        <f>IFERROR(__xludf.DUMMYFUNCTION("MIN(QUERY(SORT(GOOGLEFINANCE(A110,""low"",TODAY()-40,TODAY()),1,0),""select Col2 limit 20""))"),187.0)</f>
        <v>187</v>
      </c>
      <c r="I110" s="61">
        <f t="shared" si="1"/>
        <v>3.529068637</v>
      </c>
      <c r="J110" s="35" t="str">
        <f t="shared" si="2"/>
        <v>No need to fresh start</v>
      </c>
    </row>
    <row r="111">
      <c r="A111" s="62" t="s">
        <v>253</v>
      </c>
      <c r="B111" s="59">
        <f>IFERROR(__xludf.DUMMYFUNCTION("GOOGLEFINANCE(A111,""price"")"),394.0)</f>
        <v>394</v>
      </c>
      <c r="C111" s="60">
        <f>IFERROR(__xludf.DUMMYFUNCTION("MAX(QUERY(SORT(GOOGLEFINANCE(A111,""high"",TODAY()-100,TODAY()),1,0),""select Col2 limit 55""))"),447.5)</f>
        <v>447.5</v>
      </c>
      <c r="D111" s="32">
        <f>IFERROR(__xludf.DUMMYFUNCTION("GOOGLEFINANCE(A111,""high52"")"),540.5)</f>
        <v>540.5</v>
      </c>
      <c r="E111" s="33">
        <f>IFERROR(__xludf.DUMMYFUNCTION("to_date(index(sort(GOOGLEFINANCE(A111, ""high"", today()-52*7, today(), ""DAILY""),2,0),2,1))"),45975.64583333333)</f>
        <v>45975.64583</v>
      </c>
      <c r="F111" s="32">
        <f>IFERROR(__xludf.DUMMYFUNCTION("GOOGLEFINANCE(A111,""low52"")"),365.3)</f>
        <v>365.3</v>
      </c>
      <c r="G111" s="33">
        <f>IFERROR(__xludf.DUMMYFUNCTION("to_date(index(sort(GOOGLEFINANCE(A111, ""low"", today()-52*7, today(), ""DAILY""),2,1),1,1))"),46162.64583333333)</f>
        <v>46162.64583</v>
      </c>
      <c r="H111" s="61">
        <f>IFERROR(__xludf.DUMMYFUNCTION("MIN(QUERY(SORT(GOOGLEFINANCE(A111,""low"",TODAY()-40,TODAY()),1,0),""select Col2 limit 20""))"),365.3)</f>
        <v>365.3</v>
      </c>
      <c r="I111" s="61">
        <f t="shared" si="1"/>
        <v>13.5786802</v>
      </c>
      <c r="J111" s="35" t="str">
        <f t="shared" si="2"/>
        <v>Start GTT Order</v>
      </c>
    </row>
    <row r="112">
      <c r="A112" s="62" t="s">
        <v>207</v>
      </c>
      <c r="B112" s="59">
        <f>IFERROR(__xludf.DUMMYFUNCTION("GOOGLEFINANCE(A112,""price"")"),4092.0)</f>
        <v>4092</v>
      </c>
      <c r="C112" s="60">
        <f>IFERROR(__xludf.DUMMYFUNCTION("MAX(QUERY(SORT(GOOGLEFINANCE(A112,""high"",TODAY()-100,TODAY()),1,0),""select Col2 limit 55""))"),4644.0)</f>
        <v>4644</v>
      </c>
      <c r="D112" s="32">
        <f>IFERROR(__xludf.DUMMYFUNCTION("GOOGLEFINANCE(A112,""high52"")"),4949.5)</f>
        <v>4949.5</v>
      </c>
      <c r="E112" s="33">
        <f>IFERROR(__xludf.DUMMYFUNCTION("to_date(index(sort(GOOGLEFINANCE(A112, ""high"", today()-52*7, today(), ""DAILY""),2,0),2,1))"),45904.64583333333)</f>
        <v>45904.64583</v>
      </c>
      <c r="F112" s="32">
        <f>IFERROR(__xludf.DUMMYFUNCTION("GOOGLEFINANCE(A112,""low52"")"),3529.0)</f>
        <v>3529</v>
      </c>
      <c r="G112" s="33">
        <f>IFERROR(__xludf.DUMMYFUNCTION("to_date(index(sort(GOOGLEFINANCE(A112, ""low"", today()-52*7, today(), ""DAILY""),2,1),1,1))"),46055.64583333333)</f>
        <v>46055.64583</v>
      </c>
      <c r="H112" s="61">
        <f>IFERROR(__xludf.DUMMYFUNCTION("MIN(QUERY(SORT(GOOGLEFINANCE(A112,""low"",TODAY()-40,TODAY()),1,0),""select Col2 limit 20""))"),4059.9)</f>
        <v>4059.9</v>
      </c>
      <c r="I112" s="61">
        <f t="shared" si="1"/>
        <v>13.48973607</v>
      </c>
      <c r="J112" s="35" t="str">
        <f t="shared" si="2"/>
        <v>Start GTT Order</v>
      </c>
    </row>
    <row r="113">
      <c r="A113" s="62" t="s">
        <v>254</v>
      </c>
      <c r="B113" s="59">
        <f>IFERROR(__xludf.DUMMYFUNCTION("GOOGLEFINANCE(A113,""price"")"),14.23)</f>
        <v>14.23</v>
      </c>
      <c r="C113" s="60">
        <f>IFERROR(__xludf.DUMMYFUNCTION("MAX(QUERY(SORT(GOOGLEFINANCE(A113,""high"",TODAY()-100,TODAY()),1,0),""select Col2 limit 55""))"),14.2)</f>
        <v>14.2</v>
      </c>
      <c r="D113" s="32">
        <f>IFERROR(__xludf.DUMMYFUNCTION("GOOGLEFINANCE(A113,""high52"")"),14.29)</f>
        <v>14.29</v>
      </c>
      <c r="E113" s="33">
        <f>IFERROR(__xludf.DUMMYFUNCTION("to_date(index(sort(GOOGLEFINANCE(A113, ""high"", today()-52*7, today(), ""DAILY""),2,0),2,1))"),46168.64583333333)</f>
        <v>46168.64583</v>
      </c>
      <c r="F113" s="32">
        <f>IFERROR(__xludf.DUMMYFUNCTION("GOOGLEFINANCE(A113,""low52"")"),6.12)</f>
        <v>6.12</v>
      </c>
      <c r="G113" s="33">
        <f>IFERROR(__xludf.DUMMYFUNCTION("to_date(index(sort(GOOGLEFINANCE(A113, ""low"", today()-52*7, today(), ""DAILY""),2,1),1,1))"),45883.64583333333)</f>
        <v>45883.64583</v>
      </c>
      <c r="H113" s="61">
        <f>IFERROR(__xludf.DUMMYFUNCTION("MIN(QUERY(SORT(GOOGLEFINANCE(A113,""low"",TODAY()-40,TODAY()),1,0),""select Col2 limit 20""))"),9.67)</f>
        <v>9.67</v>
      </c>
      <c r="I113" s="61">
        <f t="shared" si="1"/>
        <v>-0.2108222066</v>
      </c>
      <c r="J113" s="35" t="str">
        <f t="shared" si="2"/>
        <v>No need to fresh start</v>
      </c>
    </row>
    <row r="114">
      <c r="A114" s="62" t="s">
        <v>154</v>
      </c>
      <c r="B114" s="59">
        <f>IFERROR(__xludf.DUMMYFUNCTION("GOOGLEFINANCE(A114,""price"")"),2680.0)</f>
        <v>2680</v>
      </c>
      <c r="C114" s="60">
        <f>IFERROR(__xludf.DUMMYFUNCTION("MAX(QUERY(SORT(GOOGLEFINANCE(A114,""high"",TODAY()-100,TODAY()),1,0),""select Col2 limit 55""))"),2684.1)</f>
        <v>2684.1</v>
      </c>
      <c r="D114" s="32">
        <f>IFERROR(__xludf.DUMMYFUNCTION("GOOGLEFINANCE(A114,""high52"")"),2985.7)</f>
        <v>2985.7</v>
      </c>
      <c r="E114" s="33">
        <f>IFERROR(__xludf.DUMMYFUNCTION("to_date(index(sort(GOOGLEFINANCE(A114, ""high"", today()-52*7, today(), ""DAILY""),2,0),2,1))"),45995.64583333333)</f>
        <v>45995.64583</v>
      </c>
      <c r="F114" s="32">
        <f>IFERROR(__xludf.DUMMYFUNCTION("GOOGLEFINANCE(A114,""low52"")"),2115.0)</f>
        <v>2115</v>
      </c>
      <c r="G114" s="33">
        <f>IFERROR(__xludf.DUMMYFUNCTION("to_date(index(sort(GOOGLEFINANCE(A114, ""low"", today()-52*7, today(), ""DAILY""),2,1),1,1))"),46104.64583333333)</f>
        <v>46104.64583</v>
      </c>
      <c r="H114" s="61">
        <f>IFERROR(__xludf.DUMMYFUNCTION("MIN(QUERY(SORT(GOOGLEFINANCE(A114,""low"",TODAY()-40,TODAY()),1,0),""select Col2 limit 20""))"),2385.5)</f>
        <v>2385.5</v>
      </c>
      <c r="I114" s="61">
        <f t="shared" si="1"/>
        <v>0.1529850746</v>
      </c>
      <c r="J114" s="35" t="str">
        <f t="shared" si="2"/>
        <v>No need to fresh start</v>
      </c>
    </row>
    <row r="115">
      <c r="A115" s="62" t="s">
        <v>255</v>
      </c>
      <c r="B115" s="59">
        <f>IFERROR(__xludf.DUMMYFUNCTION("GOOGLEFINANCE(A115,""price"")"),779.1)</f>
        <v>779.1</v>
      </c>
      <c r="C115" s="60">
        <f>IFERROR(__xludf.DUMMYFUNCTION("MAX(QUERY(SORT(GOOGLEFINANCE(A115,""high"",TODAY()-100,TODAY()),1,0),""select Col2 limit 55""))"),854.85)</f>
        <v>854.85</v>
      </c>
      <c r="D115" s="32">
        <f>IFERROR(__xludf.DUMMYFUNCTION("GOOGLEFINANCE(A115,""high52"")"),1026.65)</f>
        <v>1026.65</v>
      </c>
      <c r="E115" s="33">
        <f>IFERROR(__xludf.DUMMYFUNCTION("to_date(index(sort(GOOGLEFINANCE(A115, ""high"", today()-52*7, today(), ""DAILY""),2,0),2,1))"),45917.64583333333)</f>
        <v>45917.64583</v>
      </c>
      <c r="F115" s="32">
        <f>IFERROR(__xludf.DUMMYFUNCTION("GOOGLEFINANCE(A115,""low52"")"),580.3)</f>
        <v>580.3</v>
      </c>
      <c r="G115" s="33">
        <f>IFERROR(__xludf.DUMMYFUNCTION("to_date(index(sort(GOOGLEFINANCE(A115, ""low"", today()-52*7, today(), ""DAILY""),2,1),1,1))"),46111.64583333333)</f>
        <v>46111.64583</v>
      </c>
      <c r="H115" s="61">
        <f>IFERROR(__xludf.DUMMYFUNCTION("MIN(QUERY(SORT(GOOGLEFINANCE(A115,""low"",TODAY()-40,TODAY()),1,0),""select Col2 limit 20""))"),717.1)</f>
        <v>717.1</v>
      </c>
      <c r="I115" s="61">
        <f t="shared" si="1"/>
        <v>9.722757027</v>
      </c>
      <c r="J115" s="35" t="str">
        <f t="shared" si="2"/>
        <v>No need to fresh start</v>
      </c>
    </row>
    <row r="116">
      <c r="A116" s="62" t="s">
        <v>159</v>
      </c>
      <c r="B116" s="59">
        <f>IFERROR(__xludf.DUMMYFUNCTION("GOOGLEFINANCE(A116,""price"")"),2280.0)</f>
        <v>2280</v>
      </c>
      <c r="C116" s="60">
        <f>IFERROR(__xludf.DUMMYFUNCTION("MAX(QUERY(SORT(GOOGLEFINANCE(A116,""high"",TODAY()-100,TODAY()),1,0),""select Col2 limit 55""))"),2635.0)</f>
        <v>2635</v>
      </c>
      <c r="D116" s="32">
        <f>IFERROR(__xludf.DUMMYFUNCTION("GOOGLEFINANCE(A116,""high52"")"),3540.0)</f>
        <v>3540</v>
      </c>
      <c r="E116" s="33">
        <f>IFERROR(__xludf.DUMMYFUNCTION("to_date(index(sort(GOOGLEFINANCE(A116, ""high"", today()-52*7, today(), ""DAILY""),2,0),2,1))"),45826.64583333333)</f>
        <v>45826.64583</v>
      </c>
      <c r="F116" s="32">
        <f>IFERROR(__xludf.DUMMYFUNCTION("GOOGLEFINANCE(A116,""low52"")"),2206.4)</f>
        <v>2206.4</v>
      </c>
      <c r="G116" s="33">
        <f>IFERROR(__xludf.DUMMYFUNCTION("to_date(index(sort(GOOGLEFINANCE(A116, ""low"", today()-52*7, today(), ""DAILY""),2,1),1,1))"),46129.64583333333)</f>
        <v>46129.64583</v>
      </c>
      <c r="H116" s="61">
        <f>IFERROR(__xludf.DUMMYFUNCTION("MIN(QUERY(SORT(GOOGLEFINANCE(A116,""low"",TODAY()-40,TODAY()),1,0),""select Col2 limit 20""))"),2206.4)</f>
        <v>2206.4</v>
      </c>
      <c r="I116" s="61">
        <f t="shared" si="1"/>
        <v>15.57017544</v>
      </c>
      <c r="J116" s="35" t="str">
        <f t="shared" si="2"/>
        <v>Start GTT Order</v>
      </c>
    </row>
    <row r="117">
      <c r="A117" s="62" t="s">
        <v>85</v>
      </c>
      <c r="B117" s="59">
        <f>IFERROR(__xludf.DUMMYFUNCTION("GOOGLEFINANCE(A117,""price"")"),133.75)</f>
        <v>133.75</v>
      </c>
      <c r="C117" s="60">
        <f>IFERROR(__xludf.DUMMYFUNCTION("MAX(QUERY(SORT(GOOGLEFINANCE(A117,""high"",TODAY()-100,TODAY()),1,0),""select Col2 limit 55""))"),156.25)</f>
        <v>156.25</v>
      </c>
      <c r="D117" s="32">
        <f>IFERROR(__xludf.DUMMYFUNCTION("GOOGLEFINANCE(A117,""high52"")"),162.89)</f>
        <v>162.89</v>
      </c>
      <c r="E117" s="33">
        <f>IFERROR(__xludf.DUMMYFUNCTION("to_date(index(sort(GOOGLEFINANCE(A117, ""high"", today()-52*7, today(), ""DAILY""),2,0),2,1))"),46079.64583333333)</f>
        <v>46079.64583</v>
      </c>
      <c r="F117" s="32">
        <f>IFERROR(__xludf.DUMMYFUNCTION("GOOGLEFINANCE(A117,""low52"")"),103.55)</f>
        <v>103.55</v>
      </c>
      <c r="G117" s="33">
        <f>IFERROR(__xludf.DUMMYFUNCTION("to_date(index(sort(GOOGLEFINANCE(A117, ""low"", today()-52*7, today(), ""DAILY""),2,1),1,1))"),45898.64583333333)</f>
        <v>45898.64583</v>
      </c>
      <c r="H117" s="61">
        <f>IFERROR(__xludf.DUMMYFUNCTION("MIN(QUERY(SORT(GOOGLEFINANCE(A117,""low"",TODAY()-40,TODAY()),1,0),""select Col2 limit 20""))"),123.67)</f>
        <v>123.67</v>
      </c>
      <c r="I117" s="61">
        <f t="shared" si="1"/>
        <v>16.82242991</v>
      </c>
      <c r="J117" s="35" t="str">
        <f t="shared" si="2"/>
        <v>No need to fresh start</v>
      </c>
    </row>
    <row r="118">
      <c r="A118" s="62" t="s">
        <v>132</v>
      </c>
      <c r="B118" s="59" t="str">
        <f>IFERROR(__xludf.DUMMYFUNCTION("GOOGLEFINANCE(A118,""price"")"),"#N/A")</f>
        <v>#N/A</v>
      </c>
      <c r="C118" s="60" t="str">
        <f>IFERROR(__xludf.DUMMYFUNCTION("MAX(QUERY(SORT(GOOGLEFINANCE(A118,""high"",TODAY()-100,TODAY()),1,0),""select Col2 limit 55""))"),"#N/A")</f>
        <v>#N/A</v>
      </c>
      <c r="D118" s="32" t="str">
        <f>IFERROR(__xludf.DUMMYFUNCTION("GOOGLEFINANCE(A118,""high52"")"),"#N/A")</f>
        <v>#N/A</v>
      </c>
      <c r="E118" s="33" t="str">
        <f>IFERROR(__xludf.DUMMYFUNCTION("to_date(index(sort(GOOGLEFINANCE(A118, ""high"", today()-52*7, today(), ""DAILY""),2,0),2,1))"),"#N/A")</f>
        <v>#N/A</v>
      </c>
      <c r="F118" s="32" t="str">
        <f>IFERROR(__xludf.DUMMYFUNCTION("GOOGLEFINANCE(A118,""low52"")"),"#N/A")</f>
        <v>#N/A</v>
      </c>
      <c r="G118" s="33" t="str">
        <f>IFERROR(__xludf.DUMMYFUNCTION("to_date(index(sort(GOOGLEFINANCE(A118, ""low"", today()-52*7, today(), ""DAILY""),2,1),1,1))"),"#N/A")</f>
        <v>#N/A</v>
      </c>
      <c r="H118" s="61" t="str">
        <f>IFERROR(__xludf.DUMMYFUNCTION("MIN(QUERY(SORT(GOOGLEFINANCE(A118,""low"",TODAY()-40,TODAY()),1,0),""select Col2 limit 20""))"),"#N/A")</f>
        <v>#N/A</v>
      </c>
      <c r="I118" s="61" t="str">
        <f t="shared" si="1"/>
        <v>#N/A</v>
      </c>
      <c r="J118" s="35" t="str">
        <f t="shared" si="2"/>
        <v>#N/A</v>
      </c>
    </row>
    <row r="119">
      <c r="A119" s="62" t="s">
        <v>143</v>
      </c>
      <c r="B119" s="59">
        <f>IFERROR(__xludf.DUMMYFUNCTION("GOOGLEFINANCE(A119,""price"")"),4068.6)</f>
        <v>4068.6</v>
      </c>
      <c r="C119" s="60">
        <f>IFERROR(__xludf.DUMMYFUNCTION("MAX(QUERY(SORT(GOOGLEFINANCE(A119,""high"",TODAY()-100,TODAY()),1,0),""select Col2 limit 55""))"),4149.0)</f>
        <v>4149</v>
      </c>
      <c r="D119" s="32">
        <f>IFERROR(__xludf.DUMMYFUNCTION("GOOGLEFINANCE(A119,""high52"")"),4440.0)</f>
        <v>4440</v>
      </c>
      <c r="E119" s="33">
        <f>IFERROR(__xludf.DUMMYFUNCTION("to_date(index(sort(GOOGLEFINANCE(A119, ""high"", today()-52*7, today(), ""DAILY""),2,0),2,1))"),46077.64583333333)</f>
        <v>46077.64583</v>
      </c>
      <c r="F119" s="32">
        <f>IFERROR(__xludf.DUMMYFUNCTION("GOOGLEFINANCE(A119,""low52"")"),3288.1)</f>
        <v>3288.1</v>
      </c>
      <c r="G119" s="33">
        <f>IFERROR(__xludf.DUMMYFUNCTION("to_date(index(sort(GOOGLEFINANCE(A119, ""low"", today()-52*7, today(), ""DAILY""),2,1),1,1))"),46085.64583333333)</f>
        <v>46085.64583</v>
      </c>
      <c r="H119" s="61">
        <f>IFERROR(__xludf.DUMMYFUNCTION("MIN(QUERY(SORT(GOOGLEFINANCE(A119,""low"",TODAY()-40,TODAY()),1,0),""select Col2 limit 20""))"),3847.0)</f>
        <v>3847</v>
      </c>
      <c r="I119" s="61">
        <f t="shared" si="1"/>
        <v>1.976109718</v>
      </c>
      <c r="J119" s="35" t="str">
        <f t="shared" si="2"/>
        <v>No need to fresh start</v>
      </c>
    </row>
    <row r="120">
      <c r="A120" s="62" t="s">
        <v>129</v>
      </c>
      <c r="B120" s="59">
        <f>IFERROR(__xludf.DUMMYFUNCTION("GOOGLEFINANCE(A120,""price"")"),1475.7)</f>
        <v>1475.7</v>
      </c>
      <c r="C120" s="60">
        <f>IFERROR(__xludf.DUMMYFUNCTION("MAX(QUERY(SORT(GOOGLEFINANCE(A120,""high"",TODAY()-100,TODAY()),1,0),""select Col2 limit 55""))"),1531.3)</f>
        <v>1531.3</v>
      </c>
      <c r="D120" s="32">
        <f>IFERROR(__xludf.DUMMYFUNCTION("GOOGLEFINANCE(A120,""high52"")"),1854.0)</f>
        <v>1854</v>
      </c>
      <c r="E120" s="33">
        <f>IFERROR(__xludf.DUMMYFUNCTION("to_date(index(sort(GOOGLEFINANCE(A120, ""high"", today()-52*7, today(), ""DAILY""),2,0),2,1))"),46056.64583333333)</f>
        <v>46056.64583</v>
      </c>
      <c r="F120" s="32">
        <f>IFERROR(__xludf.DUMMYFUNCTION("GOOGLEFINANCE(A120,""low52"")"),1304.1)</f>
        <v>1304.1</v>
      </c>
      <c r="G120" s="33">
        <f>IFERROR(__xludf.DUMMYFUNCTION("to_date(index(sort(GOOGLEFINANCE(A120, ""low"", today()-52*7, today(), ""DAILY""),2,1),1,1))"),46090.64583333333)</f>
        <v>46090.64583</v>
      </c>
      <c r="H120" s="61">
        <f>IFERROR(__xludf.DUMMYFUNCTION("MIN(QUERY(SORT(GOOGLEFINANCE(A120,""low"",TODAY()-40,TODAY()),1,0),""select Col2 limit 20""))"),1327.3)</f>
        <v>1327.3</v>
      </c>
      <c r="I120" s="61">
        <f t="shared" si="1"/>
        <v>3.767703463</v>
      </c>
      <c r="J120" s="35" t="str">
        <f t="shared" si="2"/>
        <v>No need to fresh start</v>
      </c>
    </row>
    <row r="121">
      <c r="A121" s="62" t="s">
        <v>97</v>
      </c>
      <c r="B121" s="59">
        <f>IFERROR(__xludf.DUMMYFUNCTION("GOOGLEFINANCE(A121,""price"")"),106.44)</f>
        <v>106.44</v>
      </c>
      <c r="C121" s="60">
        <f>IFERROR(__xludf.DUMMYFUNCTION("MAX(QUERY(SORT(GOOGLEFINANCE(A121,""high"",TODAY()-100,TODAY()),1,0),""select Col2 limit 55""))"),124.9)</f>
        <v>124.9</v>
      </c>
      <c r="D121" s="32">
        <f>IFERROR(__xludf.DUMMYFUNCTION("GOOGLEFINANCE(A121,""high52"")"),135.15)</f>
        <v>135.15</v>
      </c>
      <c r="E121" s="33">
        <f>IFERROR(__xludf.DUMMYFUNCTION("to_date(index(sort(GOOGLEFINANCE(A121, ""high"", today()-52*7, today(), ""DAILY""),2,0),2,1))"),46041.64583333333)</f>
        <v>46041.64583</v>
      </c>
      <c r="F121" s="32">
        <f>IFERROR(__xludf.DUMMYFUNCTION("GOOGLEFINANCE(A121,""low52"")"),98.5)</f>
        <v>98.5</v>
      </c>
      <c r="G121" s="33">
        <f>IFERROR(__xludf.DUMMYFUNCTION("to_date(index(sort(GOOGLEFINANCE(A121, ""low"", today()-52*7, today(), ""DAILY""),2,1),1,1))"),46160.64583333333)</f>
        <v>46160.64583</v>
      </c>
      <c r="H121" s="61">
        <f>IFERROR(__xludf.DUMMYFUNCTION("MIN(QUERY(SORT(GOOGLEFINANCE(A121,""low"",TODAY()-40,TODAY()),1,0),""select Col2 limit 20""))"),98.5)</f>
        <v>98.5</v>
      </c>
      <c r="I121" s="61">
        <f t="shared" si="1"/>
        <v>17.3431041</v>
      </c>
      <c r="J121" s="35" t="str">
        <f t="shared" si="2"/>
        <v>Start GTT Order</v>
      </c>
    </row>
    <row r="122">
      <c r="A122" s="62" t="s">
        <v>256</v>
      </c>
      <c r="B122" s="59">
        <f>IFERROR(__xludf.DUMMYFUNCTION("GOOGLEFINANCE(A122,""price"")"),365.05)</f>
        <v>365.05</v>
      </c>
      <c r="C122" s="60">
        <f>IFERROR(__xludf.DUMMYFUNCTION("MAX(QUERY(SORT(GOOGLEFINANCE(A122,""high"",TODAY()-100,TODAY()),1,0),""select Col2 limit 55""))"),375.95)</f>
        <v>375.95</v>
      </c>
      <c r="D122" s="32">
        <f>IFERROR(__xludf.DUMMYFUNCTION("GOOGLEFINANCE(A122,""high52"")"),375.95)</f>
        <v>375.95</v>
      </c>
      <c r="E122" s="33">
        <f>IFERROR(__xludf.DUMMYFUNCTION("to_date(index(sort(GOOGLEFINANCE(A122, ""high"", today()-52*7, today(), ""DAILY""),2,0),2,1))"),46149.64583333333)</f>
        <v>46149.64583</v>
      </c>
      <c r="F122" s="32">
        <f>IFERROR(__xludf.DUMMYFUNCTION("GOOGLEFINANCE(A122,""low52"")"),217.14)</f>
        <v>217.14</v>
      </c>
      <c r="G122" s="33">
        <f>IFERROR(__xludf.DUMMYFUNCTION("to_date(index(sort(GOOGLEFINANCE(A122, ""low"", today()-52*7, today(), ""DAILY""),2,1),1,1))"),45805.64583333333)</f>
        <v>45805.64583</v>
      </c>
      <c r="H122" s="61">
        <f>IFERROR(__xludf.DUMMYFUNCTION("MIN(QUERY(SORT(GOOGLEFINANCE(A122,""low"",TODAY()-40,TODAY()),1,0),""select Col2 limit 20""))"),337.45)</f>
        <v>337.45</v>
      </c>
      <c r="I122" s="61">
        <f t="shared" si="1"/>
        <v>2.985892344</v>
      </c>
      <c r="J122" s="35" t="str">
        <f t="shared" si="2"/>
        <v>No need to fresh start</v>
      </c>
    </row>
    <row r="123">
      <c r="A123" s="62" t="s">
        <v>257</v>
      </c>
      <c r="B123" s="59">
        <f>IFERROR(__xludf.DUMMYFUNCTION("GOOGLEFINANCE(A123,""price"")"),187.11)</f>
        <v>187.11</v>
      </c>
      <c r="C123" s="60">
        <f>IFERROR(__xludf.DUMMYFUNCTION("MAX(QUERY(SORT(GOOGLEFINANCE(A123,""high"",TODAY()-100,TODAY()),1,0),""select Col2 limit 55""))"),204.5)</f>
        <v>204.5</v>
      </c>
      <c r="D123" s="32">
        <f>IFERROR(__xludf.DUMMYFUNCTION("GOOGLEFINANCE(A123,""high52"")"),204.5)</f>
        <v>204.5</v>
      </c>
      <c r="E123" s="33">
        <f>IFERROR(__xludf.DUMMYFUNCTION("to_date(index(sort(GOOGLEFINANCE(A123, ""high"", today()-52*7, today(), ""DAILY""),2,0),2,1))"),46146.64583333333)</f>
        <v>46146.64583</v>
      </c>
      <c r="F123" s="32">
        <f>IFERROR(__xludf.DUMMYFUNCTION("GOOGLEFINANCE(A123,""low52"")"),138.12)</f>
        <v>138.12</v>
      </c>
      <c r="G123" s="33">
        <f>IFERROR(__xludf.DUMMYFUNCTION("to_date(index(sort(GOOGLEFINANCE(A123, ""low"", today()-52*7, today(), ""DAILY""),2,1),1,1))"),46049.64583333333)</f>
        <v>46049.64583</v>
      </c>
      <c r="H123" s="61">
        <f>IFERROR(__xludf.DUMMYFUNCTION("MIN(QUERY(SORT(GOOGLEFINANCE(A123,""low"",TODAY()-40,TODAY()),1,0),""select Col2 limit 20""))"),175.01)</f>
        <v>175.01</v>
      </c>
      <c r="I123" s="61">
        <f t="shared" si="1"/>
        <v>9.293998183</v>
      </c>
      <c r="J123" s="35" t="str">
        <f t="shared" si="2"/>
        <v>No need to fresh start</v>
      </c>
    </row>
    <row r="124">
      <c r="A124" s="62" t="s">
        <v>189</v>
      </c>
      <c r="B124" s="59">
        <f>IFERROR(__xludf.DUMMYFUNCTION("GOOGLEFINANCE(A124,""price"")"),1346.9)</f>
        <v>1346.9</v>
      </c>
      <c r="C124" s="60">
        <f>IFERROR(__xludf.DUMMYFUNCTION("MAX(QUERY(SORT(GOOGLEFINANCE(A124,""high"",TODAY()-100,TODAY()),1,0),""select Col2 limit 55""))"),1779.1)</f>
        <v>1779.1</v>
      </c>
      <c r="D124" s="32">
        <f>IFERROR(__xludf.DUMMYFUNCTION("GOOGLEFINANCE(A124,""high52"")"),2134.7)</f>
        <v>2134.7</v>
      </c>
      <c r="E124" s="33">
        <f>IFERROR(__xludf.DUMMYFUNCTION("to_date(index(sort(GOOGLEFINANCE(A124, ""high"", today()-52*7, today(), ""DAILY""),2,0),2,1))"),45819.64583333333)</f>
        <v>45819.64583</v>
      </c>
      <c r="F124" s="32">
        <f>IFERROR(__xludf.DUMMYFUNCTION("GOOGLEFINANCE(A124,""low52"")"),1312.7)</f>
        <v>1312.7</v>
      </c>
      <c r="G124" s="33">
        <f>IFERROR(__xludf.DUMMYFUNCTION("to_date(index(sort(GOOGLEFINANCE(A124, ""low"", today()-52*7, today(), ""DAILY""),2,1),1,1))"),46164.64583333333)</f>
        <v>46164.64583</v>
      </c>
      <c r="H124" s="61">
        <f>IFERROR(__xludf.DUMMYFUNCTION("MIN(QUERY(SORT(GOOGLEFINANCE(A124,""low"",TODAY()-40,TODAY()),1,0),""select Col2 limit 20""))"),1312.7)</f>
        <v>1312.7</v>
      </c>
      <c r="I124" s="61">
        <f t="shared" si="1"/>
        <v>32.08849952</v>
      </c>
      <c r="J124" s="35" t="str">
        <f t="shared" si="2"/>
        <v>No need to fresh start</v>
      </c>
    </row>
    <row r="125">
      <c r="A125" s="62" t="s">
        <v>169</v>
      </c>
      <c r="B125" s="59">
        <f>IFERROR(__xludf.DUMMYFUNCTION("GOOGLEFINANCE(A125,""price"")"),2332.8)</f>
        <v>2332.8</v>
      </c>
      <c r="C125" s="60">
        <f>IFERROR(__xludf.DUMMYFUNCTION("MAX(QUERY(SORT(GOOGLEFINANCE(A125,""high"",TODAY()-100,TODAY()),1,0),""select Col2 limit 55""))"),2396.0)</f>
        <v>2396</v>
      </c>
      <c r="D125" s="32">
        <f>IFERROR(__xludf.DUMMYFUNCTION("GOOGLEFINANCE(A125,""high52"")"),2396.0)</f>
        <v>2396</v>
      </c>
      <c r="E125" s="33">
        <f>IFERROR(__xludf.DUMMYFUNCTION("to_date(index(sort(GOOGLEFINANCE(A125, ""high"", today()-52*7, today(), ""DAILY""),2,0),2,1))"),46167.64583333333)</f>
        <v>46167.64583</v>
      </c>
      <c r="F125" s="32">
        <f>IFERROR(__xludf.DUMMYFUNCTION("GOOGLEFINANCE(A125,""low52"")"),1513.4)</f>
        <v>1513.4</v>
      </c>
      <c r="G125" s="33">
        <f>IFERROR(__xludf.DUMMYFUNCTION("to_date(index(sort(GOOGLEFINANCE(A125, ""low"", today()-52*7, today(), ""DAILY""),2,1),1,1))"),45806.64583333333)</f>
        <v>45806.64583</v>
      </c>
      <c r="H125" s="61">
        <f>IFERROR(__xludf.DUMMYFUNCTION("MIN(QUERY(SORT(GOOGLEFINANCE(A125,""low"",TODAY()-40,TODAY()),1,0),""select Col2 limit 20""))"),1728.4)</f>
        <v>1728.4</v>
      </c>
      <c r="I125" s="61">
        <f t="shared" si="1"/>
        <v>2.709190672</v>
      </c>
      <c r="J125" s="35" t="str">
        <f t="shared" si="2"/>
        <v>No need to fresh start</v>
      </c>
    </row>
    <row r="126">
      <c r="A126" s="62" t="s">
        <v>126</v>
      </c>
      <c r="B126" s="59">
        <f>IFERROR(__xludf.DUMMYFUNCTION("GOOGLEFINANCE(A126,""price"")"),1166.7)</f>
        <v>1166.7</v>
      </c>
      <c r="C126" s="60">
        <f>IFERROR(__xludf.DUMMYFUNCTION("MAX(QUERY(SORT(GOOGLEFINANCE(A126,""high"",TODAY()-100,TODAY()),1,0),""select Col2 limit 55""))"),1474.9)</f>
        <v>1474.9</v>
      </c>
      <c r="D126" s="32">
        <f>IFERROR(__xludf.DUMMYFUNCTION("GOOGLEFINANCE(A126,""high52"")"),1780.1)</f>
        <v>1780.1</v>
      </c>
      <c r="E126" s="33">
        <f>IFERROR(__xludf.DUMMYFUNCTION("to_date(index(sort(GOOGLEFINANCE(A126, ""high"", today()-52*7, today(), ""DAILY""),2,0),2,1))"),46056.64583333333)</f>
        <v>46056.64583</v>
      </c>
      <c r="F126" s="32">
        <f>IFERROR(__xludf.DUMMYFUNCTION("GOOGLEFINANCE(A126,""low52"")"),1103.4)</f>
        <v>1103.4</v>
      </c>
      <c r="G126" s="33">
        <f>IFERROR(__xludf.DUMMYFUNCTION("to_date(index(sort(GOOGLEFINANCE(A126, ""low"", today()-52*7, today(), ""DAILY""),2,1),1,1))"),46156.64583333333)</f>
        <v>46156.64583</v>
      </c>
      <c r="H126" s="61">
        <f>IFERROR(__xludf.DUMMYFUNCTION("MIN(QUERY(SORT(GOOGLEFINANCE(A126,""low"",TODAY()-40,TODAY()),1,0),""select Col2 limit 20""))"),1103.4)</f>
        <v>1103.4</v>
      </c>
      <c r="I126" s="61">
        <f t="shared" si="1"/>
        <v>26.4163881</v>
      </c>
      <c r="J126" s="35" t="str">
        <f t="shared" si="2"/>
        <v>No need to fresh start</v>
      </c>
    </row>
    <row r="127">
      <c r="A127" s="62" t="s">
        <v>98</v>
      </c>
      <c r="B127" s="59">
        <f>IFERROR(__xludf.DUMMYFUNCTION("GOOGLEFINANCE(A127,""price"")"),486.05)</f>
        <v>486.05</v>
      </c>
      <c r="C127" s="60">
        <f>IFERROR(__xludf.DUMMYFUNCTION("MAX(QUERY(SORT(GOOGLEFINANCE(A127,""high"",TODAY()-100,TODAY()),1,0),""select Col2 limit 55""))"),531.0)</f>
        <v>531</v>
      </c>
      <c r="D127" s="32">
        <f>IFERROR(__xludf.DUMMYFUNCTION("GOOGLEFINANCE(A127,""high52"")"),531.0)</f>
        <v>531</v>
      </c>
      <c r="E127" s="33">
        <f>IFERROR(__xludf.DUMMYFUNCTION("to_date(index(sort(GOOGLEFINANCE(A127, ""high"", today()-52*7, today(), ""DAILY""),2,0),2,1))"),46156.64583333333)</f>
        <v>46156.64583</v>
      </c>
      <c r="F127" s="32">
        <f>IFERROR(__xludf.DUMMYFUNCTION("GOOGLEFINANCE(A127,""low52"")"),384.6)</f>
        <v>384.6</v>
      </c>
      <c r="G127" s="33">
        <f>IFERROR(__xludf.DUMMYFUNCTION("to_date(index(sort(GOOGLEFINANCE(A127, ""low"", today()-52*7, today(), ""DAILY""),2,1),1,1))"),45898.64583333333)</f>
        <v>45898.64583</v>
      </c>
      <c r="H127" s="61">
        <f>IFERROR(__xludf.DUMMYFUNCTION("MIN(QUERY(SORT(GOOGLEFINANCE(A127,""low"",TODAY()-40,TODAY()),1,0),""select Col2 limit 20""))"),448.15)</f>
        <v>448.15</v>
      </c>
      <c r="I127" s="61">
        <f t="shared" si="1"/>
        <v>9.248019751</v>
      </c>
      <c r="J127" s="35" t="str">
        <f t="shared" si="2"/>
        <v>No need to fresh start</v>
      </c>
    </row>
    <row r="128">
      <c r="A128" s="62" t="s">
        <v>180</v>
      </c>
      <c r="B128" s="59">
        <f>IFERROR(__xludf.DUMMYFUNCTION("GOOGLEFINANCE(A128,""price"")"),5322.0)</f>
        <v>5322</v>
      </c>
      <c r="C128" s="60">
        <f>IFERROR(__xludf.DUMMYFUNCTION("MAX(QUERY(SORT(GOOGLEFINANCE(A128,""high"",TODAY()-100,TODAY()),1,0),""select Col2 limit 55""))"),6013.0)</f>
        <v>6013</v>
      </c>
      <c r="D128" s="32">
        <f>IFERROR(__xludf.DUMMYFUNCTION("GOOGLEFINANCE(A128,""high52"")"),6336.0)</f>
        <v>6336</v>
      </c>
      <c r="E128" s="33">
        <f>IFERROR(__xludf.DUMMYFUNCTION("to_date(index(sort(GOOGLEFINANCE(A128, ""high"", today()-52*7, today(), ""DAILY""),2,0),2,1))"),45904.64583333333)</f>
        <v>45904.64583</v>
      </c>
      <c r="F128" s="32">
        <f>IFERROR(__xludf.DUMMYFUNCTION("GOOGLEFINANCE(A128,""low52"")"),5279.5)</f>
        <v>5279.5</v>
      </c>
      <c r="G128" s="33">
        <f>IFERROR(__xludf.DUMMYFUNCTION("to_date(index(sort(GOOGLEFINANCE(A128, ""low"", today()-52*7, today(), ""DAILY""),2,1),1,1))"),46155.64583333333)</f>
        <v>46155.64583</v>
      </c>
      <c r="H128" s="61">
        <f>IFERROR(__xludf.DUMMYFUNCTION("MIN(QUERY(SORT(GOOGLEFINANCE(A128,""low"",TODAY()-40,TODAY()),1,0),""select Col2 limit 20""))"),5279.5)</f>
        <v>5279.5</v>
      </c>
      <c r="I128" s="61">
        <f t="shared" si="1"/>
        <v>12.98384066</v>
      </c>
      <c r="J128" s="35" t="str">
        <f t="shared" si="2"/>
        <v>Start GTT Order</v>
      </c>
    </row>
    <row r="129">
      <c r="A129" s="62" t="s">
        <v>53</v>
      </c>
      <c r="B129" s="59">
        <f>IFERROR(__xludf.DUMMYFUNCTION("GOOGLEFINANCE(A129,""price"")"),142.0)</f>
        <v>142</v>
      </c>
      <c r="C129" s="60">
        <f>IFERROR(__xludf.DUMMYFUNCTION("MAX(QUERY(SORT(GOOGLEFINANCE(A129,""high"",TODAY()-100,TODAY()),1,0),""select Col2 limit 55""))"),176.17)</f>
        <v>176.17</v>
      </c>
      <c r="D129" s="32">
        <f>IFERROR(__xludf.DUMMYFUNCTION("GOOGLEFINANCE(A129,""high52"")"),188.96)</f>
        <v>188.96</v>
      </c>
      <c r="E129" s="33">
        <f>IFERROR(__xludf.DUMMYFUNCTION("to_date(index(sort(GOOGLEFINANCE(A129, ""high"", today()-52*7, today(), ""DAILY""),2,0),2,1))"),46080.64583333333)</f>
        <v>46080.64583</v>
      </c>
      <c r="F129" s="32">
        <f>IFERROR(__xludf.DUMMYFUNCTION("GOOGLEFINANCE(A129,""low52"")"),130.22)</f>
        <v>130.22</v>
      </c>
      <c r="G129" s="33">
        <f>IFERROR(__xludf.DUMMYFUNCTION("to_date(index(sort(GOOGLEFINANCE(A129, ""low"", today()-52*7, today(), ""DAILY""),2,1),1,1))"),46114.64583333333)</f>
        <v>46114.64583</v>
      </c>
      <c r="H129" s="61">
        <f>IFERROR(__xludf.DUMMYFUNCTION("MIN(QUERY(SORT(GOOGLEFINANCE(A129,""low"",TODAY()-40,TODAY()),1,0),""select Col2 limit 20""))"),130.53)</f>
        <v>130.53</v>
      </c>
      <c r="I129" s="61">
        <f t="shared" si="1"/>
        <v>24.06338028</v>
      </c>
      <c r="J129" s="35" t="str">
        <f t="shared" si="2"/>
        <v>No need to fresh start</v>
      </c>
    </row>
    <row r="130">
      <c r="A130" s="62" t="s">
        <v>258</v>
      </c>
      <c r="B130" s="59">
        <f>IFERROR(__xludf.DUMMYFUNCTION("GOOGLEFINANCE(A130,""price"")"),70.39)</f>
        <v>70.39</v>
      </c>
      <c r="C130" s="60">
        <f>IFERROR(__xludf.DUMMYFUNCTION("MAX(QUERY(SORT(GOOGLEFINANCE(A130,""high"",TODAY()-100,TODAY()),1,0),""select Col2 limit 55""))"),71.45)</f>
        <v>71.45</v>
      </c>
      <c r="D130" s="32">
        <f>IFERROR(__xludf.DUMMYFUNCTION("GOOGLEFINANCE(A130,""high52"")"),87.0)</f>
        <v>87</v>
      </c>
      <c r="E130" s="33">
        <f>IFERROR(__xludf.DUMMYFUNCTION("to_date(index(sort(GOOGLEFINANCE(A130, ""high"", today()-52*7, today(), ""DAILY""),2,0),2,1))"),46024.64583333333)</f>
        <v>46024.64583</v>
      </c>
      <c r="F130" s="32">
        <f>IFERROR(__xludf.DUMMYFUNCTION("GOOGLEFINANCE(A130,""low52"")"),58.08)</f>
        <v>58.08</v>
      </c>
      <c r="G130" s="33">
        <f>IFERROR(__xludf.DUMMYFUNCTION("to_date(index(sort(GOOGLEFINANCE(A130, ""low"", today()-52*7, today(), ""DAILY""),2,1),1,1))"),46114.64583333333)</f>
        <v>46114.64583</v>
      </c>
      <c r="H130" s="61">
        <f>IFERROR(__xludf.DUMMYFUNCTION("MIN(QUERY(SORT(GOOGLEFINANCE(A130,""low"",TODAY()-40,TODAY()),1,0),""select Col2 limit 20""))"),66.16)</f>
        <v>66.16</v>
      </c>
      <c r="I130" s="61">
        <f t="shared" si="1"/>
        <v>1.505895724</v>
      </c>
      <c r="J130" s="35" t="str">
        <f t="shared" si="2"/>
        <v>No need to fresh start</v>
      </c>
    </row>
    <row r="131">
      <c r="A131" s="62" t="s">
        <v>151</v>
      </c>
      <c r="B131" s="59">
        <f>IFERROR(__xludf.DUMMYFUNCTION("GOOGLEFINANCE(A131,""price"")"),7357.5)</f>
        <v>7357.5</v>
      </c>
      <c r="C131" s="60">
        <f>IFERROR(__xludf.DUMMYFUNCTION("MAX(QUERY(SORT(GOOGLEFINANCE(A131,""high"",TODAY()-100,TODAY()),1,0),""select Col2 limit 55""))"),7801.5)</f>
        <v>7801.5</v>
      </c>
      <c r="D131" s="32">
        <f>IFERROR(__xludf.DUMMYFUNCTION("GOOGLEFINANCE(A131,""high52"")"),8230.0)</f>
        <v>8230</v>
      </c>
      <c r="E131" s="33">
        <f>IFERROR(__xludf.DUMMYFUNCTION("to_date(index(sort(GOOGLEFINANCE(A131, ""high"", today()-52*7, today(), ""DAILY""),2,0),2,1))"),46080.64583333333)</f>
        <v>46080.64583</v>
      </c>
      <c r="F131" s="32">
        <f>IFERROR(__xludf.DUMMYFUNCTION("GOOGLEFINANCE(A131,""low52"")"),5219.5)</f>
        <v>5219.5</v>
      </c>
      <c r="G131" s="33">
        <f>IFERROR(__xludf.DUMMYFUNCTION("to_date(index(sort(GOOGLEFINANCE(A131, ""low"", today()-52*7, today(), ""DAILY""),2,1),1,1))"),45821.64583333333)</f>
        <v>45821.64583</v>
      </c>
      <c r="H131" s="61">
        <f>IFERROR(__xludf.DUMMYFUNCTION("MIN(QUERY(SORT(GOOGLEFINANCE(A131,""low"",TODAY()-40,TODAY()),1,0),""select Col2 limit 20""))"),6752.5)</f>
        <v>6752.5</v>
      </c>
      <c r="I131" s="61">
        <f t="shared" si="1"/>
        <v>6.034658512</v>
      </c>
      <c r="J131" s="35" t="str">
        <f t="shared" si="2"/>
        <v>No need to fresh start</v>
      </c>
    </row>
    <row r="132">
      <c r="A132" s="62" t="s">
        <v>259</v>
      </c>
      <c r="B132" s="59">
        <f>IFERROR(__xludf.DUMMYFUNCTION("GOOGLEFINANCE(A132,""price"")"),289.9)</f>
        <v>289.9</v>
      </c>
      <c r="C132" s="60">
        <f>IFERROR(__xludf.DUMMYFUNCTION("MAX(QUERY(SORT(GOOGLEFINANCE(A132,""high"",TODAY()-100,TODAY()),1,0),""select Col2 limit 55""))"),310.5)</f>
        <v>310.5</v>
      </c>
      <c r="D132" s="32">
        <f>IFERROR(__xludf.DUMMYFUNCTION("GOOGLEFINANCE(A132,""high52"")"),362.0)</f>
        <v>362</v>
      </c>
      <c r="E132" s="33">
        <f>IFERROR(__xludf.DUMMYFUNCTION("to_date(index(sort(GOOGLEFINANCE(A132, ""high"", today()-52*7, today(), ""DAILY""),2,0),2,1))"),45835.64583333333)</f>
        <v>45835.64583</v>
      </c>
      <c r="F132" s="32">
        <f>IFERROR(__xludf.DUMMYFUNCTION("GOOGLEFINANCE(A132,""low52"")"),217.4)</f>
        <v>217.4</v>
      </c>
      <c r="G132" s="33">
        <f>IFERROR(__xludf.DUMMYFUNCTION("to_date(index(sort(GOOGLEFINANCE(A132, ""low"", today()-52*7, today(), ""DAILY""),2,1),1,1))"),46052.64583333333)</f>
        <v>46052.64583</v>
      </c>
      <c r="H132" s="61">
        <f>IFERROR(__xludf.DUMMYFUNCTION("MIN(QUERY(SORT(GOOGLEFINANCE(A132,""low"",TODAY()-40,TODAY()),1,0),""select Col2 limit 20""))"),256.5)</f>
        <v>256.5</v>
      </c>
      <c r="I132" s="61">
        <f t="shared" si="1"/>
        <v>7.105898586</v>
      </c>
      <c r="J132" s="35" t="str">
        <f t="shared" si="2"/>
        <v>No need to fresh start</v>
      </c>
    </row>
    <row r="133">
      <c r="A133" s="62" t="s">
        <v>182</v>
      </c>
      <c r="B133" s="59">
        <f>IFERROR(__xludf.DUMMYFUNCTION("GOOGLEFINANCE(A133,""price"")"),838.4)</f>
        <v>838.4</v>
      </c>
      <c r="C133" s="60">
        <f>IFERROR(__xludf.DUMMYFUNCTION("MAX(QUERY(SORT(GOOGLEFINANCE(A133,""high"",TODAY()-100,TODAY()),1,0),""select Col2 limit 55""))"),848.8)</f>
        <v>848.8</v>
      </c>
      <c r="D133" s="32">
        <f>IFERROR(__xludf.DUMMYFUNCTION("GOOGLEFINANCE(A133,""high52"")"),848.8)</f>
        <v>848.8</v>
      </c>
      <c r="E133" s="33">
        <f>IFERROR(__xludf.DUMMYFUNCTION("to_date(index(sort(GOOGLEFINANCE(A133, ""high"", today()-52*7, today(), ""DAILY""),2,0),2,1))"),46153.64583333333)</f>
        <v>46153.64583</v>
      </c>
      <c r="F133" s="32">
        <f>IFERROR(__xludf.DUMMYFUNCTION("GOOGLEFINANCE(A133,""low52"")"),680.3)</f>
        <v>680.3</v>
      </c>
      <c r="G133" s="33">
        <f>IFERROR(__xludf.DUMMYFUNCTION("to_date(index(sort(GOOGLEFINANCE(A133, ""low"", today()-52*7, today(), ""DAILY""),2,1),1,1))"),45824.64583333333)</f>
        <v>45824.64583</v>
      </c>
      <c r="H133" s="61">
        <f>IFERROR(__xludf.DUMMYFUNCTION("MIN(QUERY(SORT(GOOGLEFINANCE(A133,""low"",TODAY()-40,TODAY()),1,0),""select Col2 limit 20""))"),760.6)</f>
        <v>760.6</v>
      </c>
      <c r="I133" s="61">
        <f t="shared" si="1"/>
        <v>1.240458015</v>
      </c>
      <c r="J133" s="35" t="str">
        <f t="shared" si="2"/>
        <v>No need to fresh start</v>
      </c>
    </row>
    <row r="134">
      <c r="A134" s="62" t="s">
        <v>260</v>
      </c>
      <c r="B134" s="59">
        <f>IFERROR(__xludf.DUMMYFUNCTION("GOOGLEFINANCE(A134,""price"")"),2254.0)</f>
        <v>2254</v>
      </c>
      <c r="C134" s="60">
        <f>IFERROR(__xludf.DUMMYFUNCTION("MAX(QUERY(SORT(GOOGLEFINANCE(A134,""high"",TODAY()-100,TODAY()),1,0),""select Col2 limit 55""))"),2479.0)</f>
        <v>2479</v>
      </c>
      <c r="D134" s="32">
        <f>IFERROR(__xludf.DUMMYFUNCTION("GOOGLEFINANCE(A134,""high52"")"),3037.2)</f>
        <v>3037.2</v>
      </c>
      <c r="E134" s="33">
        <f>IFERROR(__xludf.DUMMYFUNCTION("to_date(index(sort(GOOGLEFINANCE(A134, ""high"", today()-52*7, today(), ""DAILY""),2,0),2,1))"),45918.64583333333)</f>
        <v>45918.64583</v>
      </c>
      <c r="F134" s="32">
        <f>IFERROR(__xludf.DUMMYFUNCTION("GOOGLEFINANCE(A134,""low52"")"),2013.0)</f>
        <v>2013</v>
      </c>
      <c r="G134" s="33">
        <f>IFERROR(__xludf.DUMMYFUNCTION("to_date(index(sort(GOOGLEFINANCE(A134, ""low"", today()-52*7, today(), ""DAILY""),2,1),1,1))"),46111.64583333333)</f>
        <v>46111.64583</v>
      </c>
      <c r="H134" s="61">
        <f>IFERROR(__xludf.DUMMYFUNCTION("MIN(QUERY(SORT(GOOGLEFINANCE(A134,""low"",TODAY()-40,TODAY()),1,0),""select Col2 limit 20""))"),2063.6)</f>
        <v>2063.6</v>
      </c>
      <c r="I134" s="61">
        <f t="shared" si="1"/>
        <v>9.982253771</v>
      </c>
      <c r="J134" s="35" t="str">
        <f t="shared" si="2"/>
        <v>No need to fresh start</v>
      </c>
    </row>
    <row r="135">
      <c r="A135" s="62" t="s">
        <v>164</v>
      </c>
      <c r="B135" s="59">
        <f>IFERROR(__xludf.DUMMYFUNCTION("GOOGLEFINANCE(A135,""price"")"),36000.0)</f>
        <v>36000</v>
      </c>
      <c r="C135" s="60">
        <f>IFERROR(__xludf.DUMMYFUNCTION("MAX(QUERY(SORT(GOOGLEFINANCE(A135,""high"",TODAY()-100,TODAY()),1,0),""select Col2 limit 55""))"),38855.0)</f>
        <v>38855</v>
      </c>
      <c r="D135" s="32">
        <f>IFERROR(__xludf.DUMMYFUNCTION("GOOGLEFINANCE(A135,""high52"")"),41945.0)</f>
        <v>41945</v>
      </c>
      <c r="E135" s="33">
        <f>IFERROR(__xludf.DUMMYFUNCTION("to_date(index(sort(GOOGLEFINANCE(A135, ""high"", today()-52*7, today(), ""DAILY""),2,0),2,1))"),45910.64583333333)</f>
        <v>45910.64583</v>
      </c>
      <c r="F135" s="32">
        <f>IFERROR(__xludf.DUMMYFUNCTION("GOOGLEFINANCE(A135,""low52"")"),28610.0)</f>
        <v>28610</v>
      </c>
      <c r="G135" s="33">
        <f>IFERROR(__xludf.DUMMYFUNCTION("to_date(index(sort(GOOGLEFINANCE(A135, ""low"", today()-52*7, today(), ""DAILY""),2,1),1,1))"),46111.64583333333)</f>
        <v>46111.64583</v>
      </c>
      <c r="H135" s="61">
        <f>IFERROR(__xludf.DUMMYFUNCTION("MIN(QUERY(SORT(GOOGLEFINANCE(A135,""low"",TODAY()-40,TODAY()),1,0),""select Col2 limit 20""))"),34825.0)</f>
        <v>34825</v>
      </c>
      <c r="I135" s="61">
        <f t="shared" si="1"/>
        <v>7.930555556</v>
      </c>
      <c r="J135" s="35" t="str">
        <f t="shared" si="2"/>
        <v>No need to fresh start</v>
      </c>
    </row>
    <row r="136">
      <c r="A136" s="62" t="s">
        <v>47</v>
      </c>
      <c r="B136" s="59">
        <f>IFERROR(__xludf.DUMMYFUNCTION("GOOGLEFINANCE(A136,""price"")"),397.5)</f>
        <v>397.5</v>
      </c>
      <c r="C136" s="60">
        <f>IFERROR(__xludf.DUMMYFUNCTION("MAX(QUERY(SORT(GOOGLEFINANCE(A136,""high"",TODAY()-100,TODAY()),1,0),""select Col2 limit 55""))"),417.95)</f>
        <v>417.95</v>
      </c>
      <c r="D136" s="32">
        <f>IFERROR(__xludf.DUMMYFUNCTION("GOOGLEFINANCE(A136,""high52"")"),435.8)</f>
        <v>435.8</v>
      </c>
      <c r="E136" s="33">
        <f>IFERROR(__xludf.DUMMYFUNCTION("to_date(index(sort(GOOGLEFINANCE(A136, ""high"", today()-52*7, today(), ""DAILY""),2,0),2,1))"),45805.64583333333)</f>
        <v>45805.64583</v>
      </c>
      <c r="F136" s="32">
        <f>IFERROR(__xludf.DUMMYFUNCTION("GOOGLEFINANCE(A136,""low52"")"),350.25)</f>
        <v>350.25</v>
      </c>
      <c r="G136" s="33">
        <f>IFERROR(__xludf.DUMMYFUNCTION("to_date(index(sort(GOOGLEFINANCE(A136, ""low"", today()-52*7, today(), ""DAILY""),2,1),1,1))"),46090.64583333333)</f>
        <v>46090.64583</v>
      </c>
      <c r="H136" s="61">
        <f>IFERROR(__xludf.DUMMYFUNCTION("MIN(QUERY(SORT(GOOGLEFINANCE(A136,""low"",TODAY()-40,TODAY()),1,0),""select Col2 limit 20""))"),378.2)</f>
        <v>378.2</v>
      </c>
      <c r="I136" s="61">
        <f t="shared" si="1"/>
        <v>5.144654088</v>
      </c>
      <c r="J136" s="35" t="str">
        <f t="shared" si="2"/>
        <v>No need to fresh start</v>
      </c>
    </row>
    <row r="137">
      <c r="A137" s="62" t="s">
        <v>179</v>
      </c>
      <c r="B137" s="59">
        <f>IFERROR(__xludf.DUMMYFUNCTION("GOOGLEFINANCE(A137,""price"")"),25560.0)</f>
        <v>25560</v>
      </c>
      <c r="C137" s="60">
        <f>IFERROR(__xludf.DUMMYFUNCTION("MAX(QUERY(SORT(GOOGLEFINANCE(A137,""high"",TODAY()-100,TODAY()),1,0),""select Col2 limit 55""))"),25990.0)</f>
        <v>25990</v>
      </c>
      <c r="D137" s="32">
        <f>IFERROR(__xludf.DUMMYFUNCTION("GOOGLEFINANCE(A137,""high52"")"),32490.0)</f>
        <v>32490</v>
      </c>
      <c r="E137" s="33">
        <f>IFERROR(__xludf.DUMMYFUNCTION("to_date(index(sort(GOOGLEFINANCE(A137, ""high"", today()-52*7, today(), ""DAILY""),2,0),2,1))"),45860.64583333333)</f>
        <v>45860.64583</v>
      </c>
      <c r="F137" s="32">
        <f>IFERROR(__xludf.DUMMYFUNCTION("GOOGLEFINANCE(A137,""low52"")"),22550.0)</f>
        <v>22550</v>
      </c>
      <c r="G137" s="33">
        <f>IFERROR(__xludf.DUMMYFUNCTION("to_date(index(sort(GOOGLEFINANCE(A137, ""low"", today()-52*7, today(), ""DAILY""),2,1),1,1))"),46104.64583333333)</f>
        <v>46104.64583</v>
      </c>
      <c r="H137" s="61">
        <f>IFERROR(__xludf.DUMMYFUNCTION("MIN(QUERY(SORT(GOOGLEFINANCE(A137,""low"",TODAY()-40,TODAY()),1,0),""select Col2 limit 20""))"),23800.0)</f>
        <v>23800</v>
      </c>
      <c r="I137" s="61">
        <f t="shared" si="1"/>
        <v>1.682316119</v>
      </c>
      <c r="J137" s="35" t="str">
        <f t="shared" si="2"/>
        <v>No need to fresh start</v>
      </c>
    </row>
    <row r="138">
      <c r="A138" s="62" t="s">
        <v>123</v>
      </c>
      <c r="B138" s="59">
        <f>IFERROR(__xludf.DUMMYFUNCTION("GOOGLEFINANCE(A138,""price"")"),165.91)</f>
        <v>165.91</v>
      </c>
      <c r="C138" s="60">
        <f>IFERROR(__xludf.DUMMYFUNCTION("MAX(QUERY(SORT(GOOGLEFINANCE(A138,""high"",TODAY()-100,TODAY()),1,0),""select Col2 limit 55""))"),173.29)</f>
        <v>173.29</v>
      </c>
      <c r="D138" s="32">
        <f>IFERROR(__xludf.DUMMYFUNCTION("GOOGLEFINANCE(A138,""high52"")"),229.0)</f>
        <v>229</v>
      </c>
      <c r="E138" s="33">
        <f>IFERROR(__xludf.DUMMYFUNCTION("to_date(index(sort(GOOGLEFINANCE(A138, ""high"", today()-52*7, today(), ""DAILY""),2,0),2,1))"),45842.64583333333)</f>
        <v>45842.64583</v>
      </c>
      <c r="F138" s="32">
        <f>IFERROR(__xludf.DUMMYFUNCTION("GOOGLEFINANCE(A138,""low52"")"),141.74)</f>
        <v>141.74</v>
      </c>
      <c r="G138" s="33">
        <f>IFERROR(__xludf.DUMMYFUNCTION("to_date(index(sort(GOOGLEFINANCE(A138, ""low"", today()-52*7, today(), ""DAILY""),2,1),1,1))"),46114.64583333333)</f>
        <v>46114.64583</v>
      </c>
      <c r="H138" s="61">
        <f>IFERROR(__xludf.DUMMYFUNCTION("MIN(QUERY(SORT(GOOGLEFINANCE(A138,""low"",TODAY()-40,TODAY()),1,0),""select Col2 limit 20""))"),149.61)</f>
        <v>149.61</v>
      </c>
      <c r="I138" s="61">
        <f t="shared" si="1"/>
        <v>4.448194804</v>
      </c>
      <c r="J138" s="35" t="str">
        <f t="shared" si="2"/>
        <v>No need to fresh start</v>
      </c>
    </row>
    <row r="139">
      <c r="A139" s="62" t="s">
        <v>74</v>
      </c>
      <c r="B139" s="59">
        <f>IFERROR(__xludf.DUMMYFUNCTION("GOOGLEFINANCE(A139,""price"")"),168.69)</f>
        <v>168.69</v>
      </c>
      <c r="C139" s="60">
        <f>IFERROR(__xludf.DUMMYFUNCTION("MAX(QUERY(SORT(GOOGLEFINANCE(A139,""high"",TODAY()-100,TODAY()),1,0),""select Col2 limit 55""))"),170.7)</f>
        <v>170.7</v>
      </c>
      <c r="D139" s="32">
        <f>IFERROR(__xludf.DUMMYFUNCTION("GOOGLEFINANCE(A139,""high52"")"),202.79)</f>
        <v>202.79</v>
      </c>
      <c r="E139" s="33">
        <f>IFERROR(__xludf.DUMMYFUNCTION("to_date(index(sort(GOOGLEFINANCE(A139, ""high"", today()-52*7, today(), ""DAILY""),2,0),2,1))"),45820.64583333333)</f>
        <v>45820.64583</v>
      </c>
      <c r="F139" s="32">
        <f>IFERROR(__xludf.DUMMYFUNCTION("GOOGLEFINANCE(A139,""low52"")"),134.36)</f>
        <v>134.36</v>
      </c>
      <c r="G139" s="33">
        <f>IFERROR(__xludf.DUMMYFUNCTION("to_date(index(sort(GOOGLEFINANCE(A139, ""low"", today()-52*7, today(), ""DAILY""),2,1),1,1))"),46104.64583333333)</f>
        <v>46104.64583</v>
      </c>
      <c r="H139" s="61">
        <f>IFERROR(__xludf.DUMMYFUNCTION("MIN(QUERY(SORT(GOOGLEFINANCE(A139,""low"",TODAY()-40,TODAY()),1,0),""select Col2 limit 20""))"),151.41)</f>
        <v>151.41</v>
      </c>
      <c r="I139" s="61">
        <f t="shared" si="1"/>
        <v>1.191534768</v>
      </c>
      <c r="J139" s="35" t="str">
        <f t="shared" si="2"/>
        <v>No need to fresh start</v>
      </c>
    </row>
    <row r="140">
      <c r="A140" s="62" t="s">
        <v>261</v>
      </c>
      <c r="B140" s="59">
        <f>IFERROR(__xludf.DUMMYFUNCTION("GOOGLEFINANCE(A140,""price"")"),127385.0)</f>
        <v>127385</v>
      </c>
      <c r="C140" s="60">
        <f>IFERROR(__xludf.DUMMYFUNCTION("MAX(QUERY(SORT(GOOGLEFINANCE(A140,""high"",TODAY()-100,TODAY()),1,0),""select Col2 limit 55""))"),142500.0)</f>
        <v>142500</v>
      </c>
      <c r="D140" s="32">
        <f>IFERROR(__xludf.DUMMYFUNCTION("GOOGLEFINANCE(A140,""high52"")"),163600.0)</f>
        <v>163600</v>
      </c>
      <c r="E140" s="33">
        <f>IFERROR(__xludf.DUMMYFUNCTION("to_date(index(sort(GOOGLEFINANCE(A140, ""high"", today()-52*7, today(), ""DAILY""),2,0),2,1))"),45954.64583333333)</f>
        <v>45954.64583</v>
      </c>
      <c r="F140" s="32">
        <f>IFERROR(__xludf.DUMMYFUNCTION("GOOGLEFINANCE(A140,""low52"")"),123455.0)</f>
        <v>123455</v>
      </c>
      <c r="G140" s="33">
        <f>IFERROR(__xludf.DUMMYFUNCTION("to_date(index(sort(GOOGLEFINANCE(A140, ""low"", today()-52*7, today(), ""DAILY""),2,1),1,1))"),46104.64583333333)</f>
        <v>46104.64583</v>
      </c>
      <c r="H140" s="61">
        <f>IFERROR(__xludf.DUMMYFUNCTION("MIN(QUERY(SORT(GOOGLEFINANCE(A140,""low"",TODAY()-40,TODAY()),1,0),""select Col2 limit 20""))"),124900.0)</f>
        <v>124900</v>
      </c>
      <c r="I140" s="61">
        <f t="shared" si="1"/>
        <v>11.86560427</v>
      </c>
      <c r="J140" s="35" t="str">
        <f t="shared" si="2"/>
        <v>Start GTT Order</v>
      </c>
    </row>
    <row r="141">
      <c r="A141" s="62" t="s">
        <v>262</v>
      </c>
      <c r="B141" s="59">
        <f>IFERROR(__xludf.DUMMYFUNCTION("GOOGLEFINANCE(A141,""price"")"),1935.4)</f>
        <v>1935.4</v>
      </c>
      <c r="C141" s="60">
        <f>IFERROR(__xludf.DUMMYFUNCTION("MAX(QUERY(SORT(GOOGLEFINANCE(A141,""high"",TODAY()-100,TODAY()),1,0),""select Col2 limit 55""))"),2044.0)</f>
        <v>2044</v>
      </c>
      <c r="D141" s="32">
        <f>IFERROR(__xludf.DUMMYFUNCTION("GOOGLEFINANCE(A141,""high52"")"),2044.0)</f>
        <v>2044</v>
      </c>
      <c r="E141" s="33">
        <f>IFERROR(__xludf.DUMMYFUNCTION("to_date(index(sort(GOOGLEFINANCE(A141, ""high"", today()-52*7, today(), ""DAILY""),2,0),2,1))"),46150.64583333333)</f>
        <v>46150.64583</v>
      </c>
      <c r="F141" s="32">
        <f>IFERROR(__xludf.DUMMYFUNCTION("GOOGLEFINANCE(A141,""low52"")"),1100.5)</f>
        <v>1100.5</v>
      </c>
      <c r="G141" s="33">
        <f>IFERROR(__xludf.DUMMYFUNCTION("to_date(index(sort(GOOGLEFINANCE(A141, ""low"", today()-52*7, today(), ""DAILY""),2,1),1,1))"),45898.64583333333)</f>
        <v>45898.64583</v>
      </c>
      <c r="H141" s="61">
        <f>IFERROR(__xludf.DUMMYFUNCTION("MIN(QUERY(SORT(GOOGLEFINANCE(A141,""low"",TODAY()-40,TODAY()),1,0),""select Col2 limit 20""))"),1818.3)</f>
        <v>1818.3</v>
      </c>
      <c r="I141" s="61">
        <f t="shared" si="1"/>
        <v>5.611243154</v>
      </c>
      <c r="J141" s="35" t="str">
        <f t="shared" si="2"/>
        <v>No need to fresh start</v>
      </c>
    </row>
    <row r="142">
      <c r="A142" s="62" t="s">
        <v>263</v>
      </c>
      <c r="B142" s="59" t="str">
        <f>IFERROR(__xludf.DUMMYFUNCTION("GOOGLEFINANCE(A142,""price"")"),"#N/A")</f>
        <v>#N/A</v>
      </c>
      <c r="C142" s="60" t="str">
        <f>IFERROR(__xludf.DUMMYFUNCTION("MAX(QUERY(SORT(GOOGLEFINANCE(A142,""high"",TODAY()-100,TODAY()),1,0),""select Col2 limit 55""))"),"#N/A")</f>
        <v>#N/A</v>
      </c>
      <c r="D142" s="32" t="str">
        <f>IFERROR(__xludf.DUMMYFUNCTION("GOOGLEFINANCE(A142,""high52"")"),"#N/A")</f>
        <v>#N/A</v>
      </c>
      <c r="E142" s="33" t="str">
        <f>IFERROR(__xludf.DUMMYFUNCTION("to_date(index(sort(GOOGLEFINANCE(A142, ""high"", today()-52*7, today(), ""DAILY""),2,0),2,1))"),"#N/A")</f>
        <v>#N/A</v>
      </c>
      <c r="F142" s="32" t="str">
        <f>IFERROR(__xludf.DUMMYFUNCTION("GOOGLEFINANCE(A142,""low52"")"),"#N/A")</f>
        <v>#N/A</v>
      </c>
      <c r="G142" s="33" t="str">
        <f>IFERROR(__xludf.DUMMYFUNCTION("to_date(index(sort(GOOGLEFINANCE(A142, ""low"", today()-52*7, today(), ""DAILY""),2,1),1,1))"),"#N/A")</f>
        <v>#N/A</v>
      </c>
      <c r="H142" s="61" t="str">
        <f>IFERROR(__xludf.DUMMYFUNCTION("MIN(QUERY(SORT(GOOGLEFINANCE(A142,""low"",TODAY()-40,TODAY()),1,0),""select Col2 limit 20""))"),"#N/A")</f>
        <v>#N/A</v>
      </c>
      <c r="I142" s="61" t="str">
        <f t="shared" si="1"/>
        <v>#N/A</v>
      </c>
      <c r="J142" s="35" t="str">
        <f t="shared" si="2"/>
        <v>#N/A</v>
      </c>
    </row>
    <row r="143">
      <c r="A143" s="62" t="s">
        <v>43</v>
      </c>
      <c r="B143" s="59">
        <f>IFERROR(__xludf.DUMMYFUNCTION("GOOGLEFINANCE(A143,""price"")"),207.33)</f>
        <v>207.33</v>
      </c>
      <c r="C143" s="60">
        <f>IFERROR(__xludf.DUMMYFUNCTION("MAX(QUERY(SORT(GOOGLEFINANCE(A143,""high"",TODAY()-100,TODAY()),1,0),""select Col2 limit 55""))"),235.5)</f>
        <v>235.5</v>
      </c>
      <c r="D143" s="32">
        <f>IFERROR(__xludf.DUMMYFUNCTION("GOOGLEFINANCE(A143,""high52"")"),253.73)</f>
        <v>253.73</v>
      </c>
      <c r="E143" s="33">
        <f>IFERROR(__xludf.DUMMYFUNCTION("to_date(index(sort(GOOGLEFINANCE(A143, ""high"", today()-52*7, today(), ""DAILY""),2,0),2,1))"),45811.64583333333)</f>
        <v>45811.64583</v>
      </c>
      <c r="F143" s="32">
        <f>IFERROR(__xludf.DUMMYFUNCTION("GOOGLEFINANCE(A143,""low52"")"),159.0)</f>
        <v>159</v>
      </c>
      <c r="G143" s="33">
        <f>IFERROR(__xludf.DUMMYFUNCTION("to_date(index(sort(GOOGLEFINANCE(A143, ""low"", today()-52*7, today(), ""DAILY""),2,1),1,1))"),46111.64583333333)</f>
        <v>46111.64583</v>
      </c>
      <c r="H143" s="61">
        <f>IFERROR(__xludf.DUMMYFUNCTION("MIN(QUERY(SORT(GOOGLEFINANCE(A143,""low"",TODAY()-40,TODAY()),1,0),""select Col2 limit 20""))"),197.11)</f>
        <v>197.11</v>
      </c>
      <c r="I143" s="61">
        <f t="shared" si="1"/>
        <v>13.58703516</v>
      </c>
      <c r="J143" s="35" t="str">
        <f t="shared" si="2"/>
        <v>Start GTT Order</v>
      </c>
    </row>
    <row r="144">
      <c r="A144" s="62" t="s">
        <v>181</v>
      </c>
      <c r="B144" s="59">
        <f>IFERROR(__xludf.DUMMYFUNCTION("GOOGLEFINANCE(A144,""price"")"),3336.3)</f>
        <v>3336.3</v>
      </c>
      <c r="C144" s="60">
        <f>IFERROR(__xludf.DUMMYFUNCTION("MAX(QUERY(SORT(GOOGLEFINANCE(A144,""high"",TODAY()-100,TODAY()),1,0),""select Col2 limit 55""))"),3678.5)</f>
        <v>3678.5</v>
      </c>
      <c r="D144" s="32">
        <f>IFERROR(__xludf.DUMMYFUNCTION("GOOGLEFINANCE(A144,""high52"")"),4149.5)</f>
        <v>4149.5</v>
      </c>
      <c r="E144" s="33">
        <f>IFERROR(__xludf.DUMMYFUNCTION("to_date(index(sort(GOOGLEFINANCE(A144, ""high"", today()-52*7, today(), ""DAILY""),2,0),2,1))"),46051.64583333333)</f>
        <v>46051.64583</v>
      </c>
      <c r="F144" s="32">
        <f>IFERROR(__xludf.DUMMYFUNCTION("GOOGLEFINANCE(A144,""low52"")"),2058.5)</f>
        <v>2058.5</v>
      </c>
      <c r="G144" s="33">
        <f>IFERROR(__xludf.DUMMYFUNCTION("to_date(index(sort(GOOGLEFINANCE(A144, ""low"", today()-52*7, today(), ""DAILY""),2,1),1,1))"),45806.64583333333)</f>
        <v>45806.64583</v>
      </c>
      <c r="H144" s="61">
        <f>IFERROR(__xludf.DUMMYFUNCTION("MIN(QUERY(SORT(GOOGLEFINANCE(A144,""low"",TODAY()-40,TODAY()),1,0),""select Col2 limit 20""))"),3236.0)</f>
        <v>3236</v>
      </c>
      <c r="I144" s="61">
        <f t="shared" si="1"/>
        <v>10.25687138</v>
      </c>
      <c r="J144" s="35" t="str">
        <f t="shared" si="2"/>
        <v>No need to fresh start</v>
      </c>
    </row>
    <row r="145">
      <c r="A145" s="62" t="s">
        <v>196</v>
      </c>
      <c r="B145" s="59">
        <f>IFERROR(__xludf.DUMMYFUNCTION("GOOGLEFINANCE(A145,""price"")"),1421.7)</f>
        <v>1421.7</v>
      </c>
      <c r="C145" s="60">
        <f>IFERROR(__xludf.DUMMYFUNCTION("MAX(QUERY(SORT(GOOGLEFINANCE(A145,""high"",TODAY()-100,TODAY()),1,0),""select Col2 limit 55""))"),1545.5)</f>
        <v>1545.5</v>
      </c>
      <c r="D145" s="32">
        <f>IFERROR(__xludf.DUMMYFUNCTION("GOOGLEFINANCE(A145,""high52"")"),2028.8)</f>
        <v>2028.8</v>
      </c>
      <c r="E145" s="33">
        <f>IFERROR(__xludf.DUMMYFUNCTION("to_date(index(sort(GOOGLEFINANCE(A145, ""high"", today()-52*7, today(), ""DAILY""),2,0),2,1))"),45849.64583333333)</f>
        <v>45849.64583</v>
      </c>
      <c r="F145" s="32">
        <f>IFERROR(__xludf.DUMMYFUNCTION("GOOGLEFINANCE(A145,""low52"")"),1251.7)</f>
        <v>1251.7</v>
      </c>
      <c r="G145" s="33">
        <f>IFERROR(__xludf.DUMMYFUNCTION("to_date(index(sort(GOOGLEFINANCE(A145, ""low"", today()-52*7, today(), ""DAILY""),2,1),1,1))"),46111.64583333333)</f>
        <v>46111.64583</v>
      </c>
      <c r="H145" s="61">
        <f>IFERROR(__xludf.DUMMYFUNCTION("MIN(QUERY(SORT(GOOGLEFINANCE(A145,""low"",TODAY()-40,TODAY()),1,0),""select Col2 limit 20""))"),1332.0)</f>
        <v>1332</v>
      </c>
      <c r="I145" s="61">
        <f t="shared" si="1"/>
        <v>8.707884926</v>
      </c>
      <c r="J145" s="35" t="str">
        <f t="shared" si="2"/>
        <v>No need to fresh start</v>
      </c>
    </row>
    <row r="146">
      <c r="A146" s="62" t="s">
        <v>205</v>
      </c>
      <c r="B146" s="59">
        <f>IFERROR(__xludf.DUMMYFUNCTION("GOOGLEFINANCE(A146,""price"")"),5388.5)</f>
        <v>5388.5</v>
      </c>
      <c r="C146" s="60">
        <f>IFERROR(__xludf.DUMMYFUNCTION("MAX(QUERY(SORT(GOOGLEFINANCE(A146,""high"",TODAY()-100,TODAY()),1,0),""select Col2 limit 55""))"),5735.0)</f>
        <v>5735</v>
      </c>
      <c r="D146" s="32">
        <f>IFERROR(__xludf.DUMMYFUNCTION("GOOGLEFINANCE(A146,""high52"")"),5933.5)</f>
        <v>5933.5</v>
      </c>
      <c r="E146" s="33">
        <f>IFERROR(__xludf.DUMMYFUNCTION("to_date(index(sort(GOOGLEFINANCE(A146, ""high"", today()-52*7, today(), ""DAILY""),2,0),2,1))"),46035.64583333333)</f>
        <v>46035.64583</v>
      </c>
      <c r="F146" s="32">
        <f>IFERROR(__xludf.DUMMYFUNCTION("GOOGLEFINANCE(A146,""low52"")"),4716.2)</f>
        <v>4716.2</v>
      </c>
      <c r="G146" s="33">
        <f>IFERROR(__xludf.DUMMYFUNCTION("to_date(index(sort(GOOGLEFINANCE(A146, ""low"", today()-52*7, today(), ""DAILY""),2,1),1,1))"),45848.64583333333)</f>
        <v>45848.64583</v>
      </c>
      <c r="H146" s="61">
        <f>IFERROR(__xludf.DUMMYFUNCTION("MIN(QUERY(SORT(GOOGLEFINANCE(A146,""low"",TODAY()-40,TODAY()),1,0),""select Col2 limit 20""))"),5291.0)</f>
        <v>5291</v>
      </c>
      <c r="I146" s="61">
        <f t="shared" si="1"/>
        <v>6.430360954</v>
      </c>
      <c r="J146" s="35" t="str">
        <f t="shared" si="2"/>
        <v>No need to fresh start</v>
      </c>
    </row>
    <row r="147">
      <c r="A147" s="62" t="s">
        <v>191</v>
      </c>
      <c r="B147" s="59" t="str">
        <f>IFERROR(__xludf.DUMMYFUNCTION("GOOGLEFINANCE(A147,""price"")"),"#N/A")</f>
        <v>#N/A</v>
      </c>
      <c r="C147" s="60" t="str">
        <f>IFERROR(__xludf.DUMMYFUNCTION("MAX(QUERY(SORT(GOOGLEFINANCE(A147,""high"",TODAY()-100,TODAY()),1,0),""select Col2 limit 55""))"),"#N/A")</f>
        <v>#N/A</v>
      </c>
      <c r="D147" s="32" t="str">
        <f>IFERROR(__xludf.DUMMYFUNCTION("GOOGLEFINANCE(A147,""high52"")"),"#N/A")</f>
        <v>#N/A</v>
      </c>
      <c r="E147" s="33" t="str">
        <f>IFERROR(__xludf.DUMMYFUNCTION("to_date(index(sort(GOOGLEFINANCE(A147, ""high"", today()-52*7, today(), ""DAILY""),2,0),2,1))"),"#N/A")</f>
        <v>#N/A</v>
      </c>
      <c r="F147" s="32" t="str">
        <f>IFERROR(__xludf.DUMMYFUNCTION("GOOGLEFINANCE(A147,""low52"")"),"#N/A")</f>
        <v>#N/A</v>
      </c>
      <c r="G147" s="33" t="str">
        <f>IFERROR(__xludf.DUMMYFUNCTION("to_date(index(sort(GOOGLEFINANCE(A147, ""low"", today()-52*7, today(), ""DAILY""),2,1),1,1))"),"#N/A")</f>
        <v>#N/A</v>
      </c>
      <c r="H147" s="61" t="str">
        <f>IFERROR(__xludf.DUMMYFUNCTION("MIN(QUERY(SORT(GOOGLEFINANCE(A147,""low"",TODAY()-40,TODAY()),1,0),""select Col2 limit 20""))"),"#N/A")</f>
        <v>#N/A</v>
      </c>
      <c r="I147" s="61" t="str">
        <f t="shared" si="1"/>
        <v>#N/A</v>
      </c>
      <c r="J147" s="35" t="str">
        <f t="shared" si="2"/>
        <v>#N/A</v>
      </c>
    </row>
    <row r="148">
      <c r="A148" s="62" t="s">
        <v>264</v>
      </c>
      <c r="B148" s="59">
        <f>IFERROR(__xludf.DUMMYFUNCTION("GOOGLEFINANCE(A148,""price"")"),752.0)</f>
        <v>752</v>
      </c>
      <c r="C148" s="60">
        <f>IFERROR(__xludf.DUMMYFUNCTION("MAX(QUERY(SORT(GOOGLEFINANCE(A148,""high"",TODAY()-100,TODAY()),1,0),""select Col2 limit 55""))"),809.0)</f>
        <v>809</v>
      </c>
      <c r="D148" s="32">
        <f>IFERROR(__xludf.DUMMYFUNCTION("GOOGLEFINANCE(A148,""high52"")"),1107.9)</f>
        <v>1107.9</v>
      </c>
      <c r="E148" s="33">
        <f>IFERROR(__xludf.DUMMYFUNCTION("to_date(index(sort(GOOGLEFINANCE(A148, ""high"", today()-52*7, today(), ""DAILY""),2,0),2,1))"),45838.64583333333)</f>
        <v>45838.64583</v>
      </c>
      <c r="F148" s="32">
        <f>IFERROR(__xludf.DUMMYFUNCTION("GOOGLEFINANCE(A148,""low52"")"),635.8)</f>
        <v>635.8</v>
      </c>
      <c r="G148" s="33">
        <f>IFERROR(__xludf.DUMMYFUNCTION("to_date(index(sort(GOOGLEFINANCE(A148, ""low"", today()-52*7, today(), ""DAILY""),2,1),1,1))"),46104.64583333333)</f>
        <v>46104.64583</v>
      </c>
      <c r="H148" s="61">
        <f>IFERROR(__xludf.DUMMYFUNCTION("MIN(QUERY(SORT(GOOGLEFINANCE(A148,""low"",TODAY()-40,TODAY()),1,0),""select Col2 limit 20""))"),710.7)</f>
        <v>710.7</v>
      </c>
      <c r="I148" s="61">
        <f t="shared" si="1"/>
        <v>7.579787234</v>
      </c>
      <c r="J148" s="35" t="str">
        <f t="shared" si="2"/>
        <v>No need to fresh start</v>
      </c>
    </row>
    <row r="149">
      <c r="A149" s="62" t="s">
        <v>265</v>
      </c>
      <c r="B149" s="59" t="str">
        <f>IFERROR(__xludf.DUMMYFUNCTION("GOOGLEFINANCE(A149,""price"")"),"#N/A")</f>
        <v>#N/A</v>
      </c>
      <c r="C149" s="60" t="str">
        <f>IFERROR(__xludf.DUMMYFUNCTION("MAX(QUERY(SORT(GOOGLEFINANCE(A149,""high"",TODAY()-100,TODAY()),1,0),""select Col2 limit 55""))"),"#N/A")</f>
        <v>#N/A</v>
      </c>
      <c r="D149" s="32" t="str">
        <f>IFERROR(__xludf.DUMMYFUNCTION("GOOGLEFINANCE(A149,""high52"")"),"#N/A")</f>
        <v>#N/A</v>
      </c>
      <c r="E149" s="33" t="str">
        <f>IFERROR(__xludf.DUMMYFUNCTION("to_date(index(sort(GOOGLEFINANCE(A149, ""high"", today()-52*7, today(), ""DAILY""),2,0),2,1))"),"#N/A")</f>
        <v>#N/A</v>
      </c>
      <c r="F149" s="32" t="str">
        <f>IFERROR(__xludf.DUMMYFUNCTION("GOOGLEFINANCE(A149,""low52"")"),"#N/A")</f>
        <v>#N/A</v>
      </c>
      <c r="G149" s="33" t="str">
        <f>IFERROR(__xludf.DUMMYFUNCTION("to_date(index(sort(GOOGLEFINANCE(A149, ""low"", today()-52*7, today(), ""DAILY""),2,1),1,1))"),"#N/A")</f>
        <v>#N/A</v>
      </c>
      <c r="H149" s="61" t="str">
        <f>IFERROR(__xludf.DUMMYFUNCTION("MIN(QUERY(SORT(GOOGLEFINANCE(A149,""low"",TODAY()-40,TODAY()),1,0),""select Col2 limit 20""))"),"#N/A")</f>
        <v>#N/A</v>
      </c>
      <c r="I149" s="61" t="str">
        <f t="shared" si="1"/>
        <v>#N/A</v>
      </c>
      <c r="J149" s="35" t="str">
        <f t="shared" si="2"/>
        <v>#N/A</v>
      </c>
    </row>
    <row r="150">
      <c r="A150" s="62" t="s">
        <v>50</v>
      </c>
      <c r="B150" s="59">
        <f>IFERROR(__xludf.DUMMYFUNCTION("GOOGLEFINANCE(A150,""price"")"),393.9)</f>
        <v>393.9</v>
      </c>
      <c r="C150" s="60">
        <f>IFERROR(__xludf.DUMMYFUNCTION("MAX(QUERY(SORT(GOOGLEFINANCE(A150,""high"",TODAY()-100,TODAY()),1,0),""select Col2 limit 55""))"),435.6)</f>
        <v>435.6</v>
      </c>
      <c r="D150" s="32">
        <f>IFERROR(__xludf.DUMMYFUNCTION("GOOGLEFINANCE(A150,""high52"")"),508.45)</f>
        <v>508.45</v>
      </c>
      <c r="E150" s="33">
        <f>IFERROR(__xludf.DUMMYFUNCTION("to_date(index(sort(GOOGLEFINANCE(A150, ""high"", today()-52*7, today(), ""DAILY""),2,0),2,1))"),46027.64583333333)</f>
        <v>46027.64583</v>
      </c>
      <c r="F150" s="32">
        <f>IFERROR(__xludf.DUMMYFUNCTION("GOOGLEFINANCE(A150,""low52"")"),316.2)</f>
        <v>316.2</v>
      </c>
      <c r="G150" s="33">
        <f>IFERROR(__xludf.DUMMYFUNCTION("to_date(index(sort(GOOGLEFINANCE(A150, ""low"", today()-52*7, today(), ""DAILY""),2,1),1,1))"),46085.64583333333)</f>
        <v>46085.64583</v>
      </c>
      <c r="H150" s="61">
        <f>IFERROR(__xludf.DUMMYFUNCTION("MIN(QUERY(SORT(GOOGLEFINANCE(A150,""low"",TODAY()-40,TODAY()),1,0),""select Col2 limit 20""))"),355.8)</f>
        <v>355.8</v>
      </c>
      <c r="I150" s="61">
        <f t="shared" si="1"/>
        <v>10.58644326</v>
      </c>
      <c r="J150" s="35" t="str">
        <f t="shared" si="2"/>
        <v>Start GTT Order</v>
      </c>
    </row>
    <row r="151">
      <c r="A151" s="62" t="s">
        <v>266</v>
      </c>
      <c r="B151" s="59">
        <f>IFERROR(__xludf.DUMMYFUNCTION("GOOGLEFINANCE(A151,""price"")"),1868.0)</f>
        <v>1868</v>
      </c>
      <c r="C151" s="60">
        <f>IFERROR(__xludf.DUMMYFUNCTION("MAX(QUERY(SORT(GOOGLEFINANCE(A151,""high"",TODAY()-100,TODAY()),1,0),""select Col2 limit 55""))"),2197.9)</f>
        <v>2197.9</v>
      </c>
      <c r="D151" s="32">
        <f>IFERROR(__xludf.DUMMYFUNCTION("GOOGLEFINANCE(A151,""high52"")"),2718.9)</f>
        <v>2718.9</v>
      </c>
      <c r="E151" s="33">
        <f>IFERROR(__xludf.DUMMYFUNCTION("to_date(index(sort(GOOGLEFINANCE(A151, ""high"", today()-52*7, today(), ""DAILY""),2,0),2,1))"),45869.64583333333)</f>
        <v>45869.64583</v>
      </c>
      <c r="F151" s="32">
        <f>IFERROR(__xludf.DUMMYFUNCTION("GOOGLEFINANCE(A151,""low52"")"),1786.0)</f>
        <v>1786</v>
      </c>
      <c r="G151" s="33">
        <f>IFERROR(__xludf.DUMMYFUNCTION("to_date(index(sort(GOOGLEFINANCE(A151, ""low"", today()-52*7, today(), ""DAILY""),2,1),1,1))"),46160.64583333333)</f>
        <v>46160.64583</v>
      </c>
      <c r="H151" s="61">
        <f>IFERROR(__xludf.DUMMYFUNCTION("MIN(QUERY(SORT(GOOGLEFINANCE(A151,""low"",TODAY()-40,TODAY()),1,0),""select Col2 limit 20""))"),1786.0)</f>
        <v>1786</v>
      </c>
      <c r="I151" s="61">
        <f t="shared" si="1"/>
        <v>17.66059957</v>
      </c>
      <c r="J151" s="35" t="str">
        <f t="shared" si="2"/>
        <v>Start GTT Order</v>
      </c>
    </row>
    <row r="152">
      <c r="A152" s="62" t="s">
        <v>168</v>
      </c>
      <c r="B152" s="59">
        <f>IFERROR(__xludf.DUMMYFUNCTION("GOOGLEFINANCE(A152,""price"")"),1288.4)</f>
        <v>1288.4</v>
      </c>
      <c r="C152" s="60">
        <f>IFERROR(__xludf.DUMMYFUNCTION("MAX(QUERY(SORT(GOOGLEFINANCE(A152,""high"",TODAY()-100,TODAY()),1,0),""select Col2 limit 55""))"),1393.1)</f>
        <v>1393.1</v>
      </c>
      <c r="D152" s="32">
        <f>IFERROR(__xludf.DUMMYFUNCTION("GOOGLEFINANCE(A152,""high52"")"),1500.0)</f>
        <v>1500</v>
      </c>
      <c r="E152" s="33">
        <f>IFERROR(__xludf.DUMMYFUNCTION("to_date(index(sort(GOOGLEFINANCE(A152, ""high"", today()-52*7, today(), ""DAILY""),2,0),2,1))"),45863.64583333333)</f>
        <v>45863.64583</v>
      </c>
      <c r="F152" s="32">
        <f>IFERROR(__xludf.DUMMYFUNCTION("GOOGLEFINANCE(A152,""low52"")"),1187.6)</f>
        <v>1187.6</v>
      </c>
      <c r="G152" s="33">
        <f>IFERROR(__xludf.DUMMYFUNCTION("to_date(index(sort(GOOGLEFINANCE(A152, ""low"", today()-52*7, today(), ""DAILY""),2,1),1,1))"),46114.64583333333)</f>
        <v>46114.64583</v>
      </c>
      <c r="H152" s="61">
        <f>IFERROR(__xludf.DUMMYFUNCTION("MIN(QUERY(SORT(GOOGLEFINANCE(A152,""low"",TODAY()-40,TODAY()),1,0),""select Col2 limit 20""))"),1223.3)</f>
        <v>1223.3</v>
      </c>
      <c r="I152" s="61">
        <f t="shared" si="1"/>
        <v>8.126358274</v>
      </c>
      <c r="J152" s="35" t="str">
        <f t="shared" si="2"/>
        <v>No need to fresh start</v>
      </c>
    </row>
    <row r="153">
      <c r="A153" s="62" t="s">
        <v>267</v>
      </c>
      <c r="B153" s="59">
        <f>IFERROR(__xludf.DUMMYFUNCTION("GOOGLEFINANCE(A153,""price"")"),766.0)</f>
        <v>766</v>
      </c>
      <c r="C153" s="60">
        <f>IFERROR(__xludf.DUMMYFUNCTION("MAX(QUERY(SORT(GOOGLEFINANCE(A153,""high"",TODAY()-100,TODAY()),1,0),""select Col2 limit 55""))"),731.4)</f>
        <v>731.4</v>
      </c>
      <c r="D153" s="32">
        <f>IFERROR(__xludf.DUMMYFUNCTION("GOOGLEFINANCE(A153,""high52"")"),798.0)</f>
        <v>798</v>
      </c>
      <c r="E153" s="33">
        <f>IFERROR(__xludf.DUMMYFUNCTION("to_date(index(sort(GOOGLEFINANCE(A153, ""high"", today()-52*7, today(), ""DAILY""),2,0),2,1))"),45923.64583333333)</f>
        <v>45923.64583</v>
      </c>
      <c r="F153" s="32">
        <f>IFERROR(__xludf.DUMMYFUNCTION("GOOGLEFINANCE(A153,""low52"")"),462.8)</f>
        <v>462.8</v>
      </c>
      <c r="G153" s="33">
        <f>IFERROR(__xludf.DUMMYFUNCTION("to_date(index(sort(GOOGLEFINANCE(A153, ""low"", today()-52*7, today(), ""DAILY""),2,1),1,1))"),46090.64583333333)</f>
        <v>46090.64583</v>
      </c>
      <c r="H153" s="61">
        <f>IFERROR(__xludf.DUMMYFUNCTION("MIN(QUERY(SORT(GOOGLEFINANCE(A153,""low"",TODAY()-40,TODAY()),1,0),""select Col2 limit 20""))"),588.1)</f>
        <v>588.1</v>
      </c>
      <c r="I153" s="61">
        <f t="shared" si="1"/>
        <v>-4.516971279</v>
      </c>
      <c r="J153" s="35" t="str">
        <f t="shared" si="2"/>
        <v>No need to fresh start</v>
      </c>
    </row>
    <row r="154">
      <c r="A154" s="62" t="s">
        <v>268</v>
      </c>
      <c r="B154" s="59">
        <f>IFERROR(__xludf.DUMMYFUNCTION("GOOGLEFINANCE(A154,""price"")"),1540.0)</f>
        <v>1540</v>
      </c>
      <c r="C154" s="60">
        <f>IFERROR(__xludf.DUMMYFUNCTION("MAX(QUERY(SORT(GOOGLEFINANCE(A154,""high"",TODAY()-100,TODAY()),1,0),""select Col2 limit 55""))"),1640.0)</f>
        <v>1640</v>
      </c>
      <c r="D154" s="32">
        <f>IFERROR(__xludf.DUMMYFUNCTION("GOOGLEFINANCE(A154,""high52"")"),2155.0)</f>
        <v>2155</v>
      </c>
      <c r="E154" s="33">
        <f>IFERROR(__xludf.DUMMYFUNCTION("to_date(index(sort(GOOGLEFINANCE(A154, ""high"", today()-52*7, today(), ""DAILY""),2,0),2,1))"),45820.64583333333)</f>
        <v>45820.64583</v>
      </c>
      <c r="F154" s="32">
        <f>IFERROR(__xludf.DUMMYFUNCTION("GOOGLEFINANCE(A154,""low52"")"),1314.6)</f>
        <v>1314.6</v>
      </c>
      <c r="G154" s="33">
        <f>IFERROR(__xludf.DUMMYFUNCTION("to_date(index(sort(GOOGLEFINANCE(A154, ""low"", today()-52*7, today(), ""DAILY""),2,1),1,1))"),46111.64583333333)</f>
        <v>46111.64583</v>
      </c>
      <c r="H154" s="61">
        <f>IFERROR(__xludf.DUMMYFUNCTION("MIN(QUERY(SORT(GOOGLEFINANCE(A154,""low"",TODAY()-40,TODAY()),1,0),""select Col2 limit 20""))"),1455.1)</f>
        <v>1455.1</v>
      </c>
      <c r="I154" s="61">
        <f t="shared" si="1"/>
        <v>6.493506494</v>
      </c>
      <c r="J154" s="35" t="str">
        <f t="shared" si="2"/>
        <v>No need to fresh start</v>
      </c>
    </row>
    <row r="155">
      <c r="A155" s="62" t="s">
        <v>183</v>
      </c>
      <c r="B155" s="59">
        <f>IFERROR(__xludf.DUMMYFUNCTION("GOOGLEFINANCE(A155,""price"")"),13187.0)</f>
        <v>13187</v>
      </c>
      <c r="C155" s="60">
        <f>IFERROR(__xludf.DUMMYFUNCTION("MAX(QUERY(SORT(GOOGLEFINANCE(A155,""high"",TODAY()-100,TODAY()),1,0),""select Col2 limit 55""))"),14570.0)</f>
        <v>14570</v>
      </c>
      <c r="D155" s="32">
        <f>IFERROR(__xludf.DUMMYFUNCTION("GOOGLEFINANCE(A155,""high52"")"),17370.0)</f>
        <v>17370</v>
      </c>
      <c r="E155" s="33">
        <f>IFERROR(__xludf.DUMMYFUNCTION("to_date(index(sort(GOOGLEFINANCE(A155, ""high"", today()-52*7, today(), ""DAILY""),2,0),2,1))"),46027.64583333333)</f>
        <v>46027.64583</v>
      </c>
      <c r="F155" s="32">
        <f>IFERROR(__xludf.DUMMYFUNCTION("GOOGLEFINANCE(A155,""low52"")"),12016.0)</f>
        <v>12016</v>
      </c>
      <c r="G155" s="33">
        <f>IFERROR(__xludf.DUMMYFUNCTION("to_date(index(sort(GOOGLEFINANCE(A155, ""low"", today()-52*7, today(), ""DAILY""),2,1),1,1))"),45813.64583333333)</f>
        <v>45813.64583</v>
      </c>
      <c r="H155" s="61">
        <f>IFERROR(__xludf.DUMMYFUNCTION("MIN(QUERY(SORT(GOOGLEFINANCE(A155,""low"",TODAY()-40,TODAY()),1,0),""select Col2 limit 20""))"),12753.0)</f>
        <v>12753</v>
      </c>
      <c r="I155" s="61">
        <f t="shared" si="1"/>
        <v>10.48760143</v>
      </c>
      <c r="J155" s="35" t="str">
        <f t="shared" si="2"/>
        <v>No need to fresh start</v>
      </c>
    </row>
    <row r="156">
      <c r="A156" s="62" t="s">
        <v>269</v>
      </c>
      <c r="B156" s="59">
        <f>IFERROR(__xludf.DUMMYFUNCTION("GOOGLEFINANCE(A156,""price"")"),2232.8)</f>
        <v>2232.8</v>
      </c>
      <c r="C156" s="60">
        <f>IFERROR(__xludf.DUMMYFUNCTION("MAX(QUERY(SORT(GOOGLEFINANCE(A156,""high"",TODAY()-100,TODAY()),1,0),""select Col2 limit 55""))"),2366.7)</f>
        <v>2366.7</v>
      </c>
      <c r="D156" s="32">
        <f>IFERROR(__xludf.DUMMYFUNCTION("GOOGLEFINANCE(A156,""high52"")"),2801.3)</f>
        <v>2801.3</v>
      </c>
      <c r="E156" s="33">
        <f>IFERROR(__xludf.DUMMYFUNCTION("to_date(index(sort(GOOGLEFINANCE(A156, ""high"", today()-52*7, today(), ""DAILY""),2,0),2,1))"),45860.64583333333)</f>
        <v>45860.64583</v>
      </c>
      <c r="F156" s="32">
        <f>IFERROR(__xludf.DUMMYFUNCTION("GOOGLEFINANCE(A156,""low52"")"),2015.4)</f>
        <v>2015.4</v>
      </c>
      <c r="G156" s="33">
        <f>IFERROR(__xludf.DUMMYFUNCTION("to_date(index(sort(GOOGLEFINANCE(A156, ""low"", today()-52*7, today(), ""DAILY""),2,1),1,1))"),46105.64583333333)</f>
        <v>46105.64583</v>
      </c>
      <c r="H156" s="61">
        <f>IFERROR(__xludf.DUMMYFUNCTION("MIN(QUERY(SORT(GOOGLEFINANCE(A156,""low"",TODAY()-40,TODAY()),1,0),""select Col2 limit 20""))"),2063.7)</f>
        <v>2063.7</v>
      </c>
      <c r="I156" s="61">
        <f t="shared" si="1"/>
        <v>5.996954497</v>
      </c>
      <c r="J156" s="35" t="str">
        <f t="shared" si="2"/>
        <v>No need to fresh start</v>
      </c>
    </row>
    <row r="157">
      <c r="A157" s="62" t="s">
        <v>185</v>
      </c>
      <c r="B157" s="59">
        <f>IFERROR(__xludf.DUMMYFUNCTION("GOOGLEFINANCE(A157,""price"")"),2087.3)</f>
        <v>2087.3</v>
      </c>
      <c r="C157" s="60">
        <f>IFERROR(__xludf.DUMMYFUNCTION("MAX(QUERY(SORT(GOOGLEFINANCE(A157,""high"",TODAY()-100,TODAY()),1,0),""select Col2 limit 55""))"),2223.7)</f>
        <v>2223.7</v>
      </c>
      <c r="D157" s="32">
        <f>IFERROR(__xludf.DUMMYFUNCTION("GOOGLEFINANCE(A157,""high52"")"),2519.0)</f>
        <v>2519</v>
      </c>
      <c r="E157" s="33">
        <f>IFERROR(__xludf.DUMMYFUNCTION("to_date(index(sort(GOOGLEFINANCE(A157, ""high"", today()-52*7, today(), ""DAILY""),2,0),2,1))"),45805.64583333333)</f>
        <v>45805.64583</v>
      </c>
      <c r="F157" s="32">
        <f>IFERROR(__xludf.DUMMYFUNCTION("GOOGLEFINANCE(A157,""low52"")"),1782.0)</f>
        <v>1782</v>
      </c>
      <c r="G157" s="33">
        <f>IFERROR(__xludf.DUMMYFUNCTION("to_date(index(sort(GOOGLEFINANCE(A157, ""low"", today()-52*7, today(), ""DAILY""),2,1),1,1))"),46111.64583333333)</f>
        <v>46111.64583</v>
      </c>
      <c r="H157" s="61">
        <f>IFERROR(__xludf.DUMMYFUNCTION("MIN(QUERY(SORT(GOOGLEFINANCE(A157,""low"",TODAY()-40,TODAY()),1,0),""select Col2 limit 20""))"),2051.2)</f>
        <v>2051.2</v>
      </c>
      <c r="I157" s="61">
        <f t="shared" si="1"/>
        <v>6.534757821</v>
      </c>
      <c r="J157" s="35" t="str">
        <f t="shared" si="2"/>
        <v>No need to fresh start</v>
      </c>
    </row>
    <row r="158">
      <c r="A158" s="62" t="s">
        <v>140</v>
      </c>
      <c r="B158" s="59">
        <f>IFERROR(__xludf.DUMMYFUNCTION("GOOGLEFINANCE(A158,""price"")"),1478.2)</f>
        <v>1478.2</v>
      </c>
      <c r="C158" s="60">
        <f>IFERROR(__xludf.DUMMYFUNCTION("MAX(QUERY(SORT(GOOGLEFINANCE(A158,""high"",TODAY()-100,TODAY()),1,0),""select Col2 limit 55""))"),1515.0)</f>
        <v>1515</v>
      </c>
      <c r="D158" s="32">
        <f>IFERROR(__xludf.DUMMYFUNCTION("GOOGLEFINANCE(A158,""high52"")"),1574.95)</f>
        <v>1574.95</v>
      </c>
      <c r="E158" s="33">
        <f>IFERROR(__xludf.DUMMYFUNCTION("to_date(index(sort(GOOGLEFINANCE(A158, ""high"", today()-52*7, today(), ""DAILY""),2,0),2,1))"),45903.64583333333)</f>
        <v>45903.64583</v>
      </c>
      <c r="F158" s="32">
        <f>IFERROR(__xludf.DUMMYFUNCTION("GOOGLEFINANCE(A158,""low52"")"),1259.0)</f>
        <v>1259</v>
      </c>
      <c r="G158" s="33">
        <f>IFERROR(__xludf.DUMMYFUNCTION("to_date(index(sort(GOOGLEFINANCE(A158, ""low"", today()-52*7, today(), ""DAILY""),2,1),1,1))"),46118.64583333333)</f>
        <v>46118.64583</v>
      </c>
      <c r="H158" s="61">
        <f>IFERROR(__xludf.DUMMYFUNCTION("MIN(QUERY(SORT(GOOGLEFINANCE(A158,""low"",TODAY()-40,TODAY()),1,0),""select Col2 limit 20""))"),1347.7)</f>
        <v>1347.7</v>
      </c>
      <c r="I158" s="61">
        <f t="shared" si="1"/>
        <v>2.489514274</v>
      </c>
      <c r="J158" s="35" t="str">
        <f t="shared" si="2"/>
        <v>No need to fresh start</v>
      </c>
    </row>
    <row r="159">
      <c r="A159" s="62" t="s">
        <v>130</v>
      </c>
      <c r="B159" s="59">
        <f>IFERROR(__xludf.DUMMYFUNCTION("GOOGLEFINANCE(A159,""price"")"),2712.0)</f>
        <v>2712</v>
      </c>
      <c r="C159" s="60">
        <f>IFERROR(__xludf.DUMMYFUNCTION("MAX(QUERY(SORT(GOOGLEFINANCE(A159,""high"",TODAY()-100,TODAY()),1,0),""select Col2 limit 55""))"),2872.4)</f>
        <v>2872.4</v>
      </c>
      <c r="D159" s="32">
        <f>IFERROR(__xludf.DUMMYFUNCTION("GOOGLEFINANCE(A159,""high52"")"),2967.25)</f>
        <v>2967.25</v>
      </c>
      <c r="E159" s="33">
        <f>IFERROR(__xludf.DUMMYFUNCTION("to_date(index(sort(GOOGLEFINANCE(A159, ""high"", today()-52*7, today(), ""DAILY""),2,0),2,1))"),45946.64583333333)</f>
        <v>45946.64583</v>
      </c>
      <c r="F159" s="32">
        <f>IFERROR(__xludf.DUMMYFUNCTION("GOOGLEFINANCE(A159,""low52"")"),2205.6)</f>
        <v>2205.6</v>
      </c>
      <c r="G159" s="33">
        <f>IFERROR(__xludf.DUMMYFUNCTION("to_date(index(sort(GOOGLEFINANCE(A159, ""low"", today()-52*7, today(), ""DAILY""),2,1),1,1))"),46111.64583333333)</f>
        <v>46111.64583</v>
      </c>
      <c r="H159" s="61">
        <f>IFERROR(__xludf.DUMMYFUNCTION("MIN(QUERY(SORT(GOOGLEFINANCE(A159,""low"",TODAY()-40,TODAY()),1,0),""select Col2 limit 20""))"),2600.1)</f>
        <v>2600.1</v>
      </c>
      <c r="I159" s="61">
        <f t="shared" si="1"/>
        <v>5.914454277</v>
      </c>
      <c r="J159" s="35" t="str">
        <f t="shared" si="2"/>
        <v>No need to fresh start</v>
      </c>
    </row>
    <row r="160">
      <c r="A160" s="62" t="s">
        <v>163</v>
      </c>
      <c r="B160" s="59">
        <f>IFERROR(__xludf.DUMMYFUNCTION("GOOGLEFINANCE(A160,""price"")"),657.6)</f>
        <v>657.6</v>
      </c>
      <c r="C160" s="60">
        <f>IFERROR(__xludf.DUMMYFUNCTION("MAX(QUERY(SORT(GOOGLEFINANCE(A160,""high"",TODAY()-100,TODAY()),1,0),""select Col2 limit 55""))"),682.6)</f>
        <v>682.6</v>
      </c>
      <c r="D160" s="32">
        <f>IFERROR(__xludf.DUMMYFUNCTION("GOOGLEFINANCE(A160,""high52"")"),812.2)</f>
        <v>812.2</v>
      </c>
      <c r="E160" s="33">
        <f>IFERROR(__xludf.DUMMYFUNCTION("to_date(index(sort(GOOGLEFINANCE(A160, ""high"", today()-52*7, today(), ""DAILY""),2,0),2,1))"),46024.64583333333)</f>
        <v>46024.64583</v>
      </c>
      <c r="F160" s="32">
        <f>IFERROR(__xludf.DUMMYFUNCTION("GOOGLEFINANCE(A160,""low52"")"),565.15)</f>
        <v>565.15</v>
      </c>
      <c r="G160" s="33">
        <f>IFERROR(__xludf.DUMMYFUNCTION("to_date(index(sort(GOOGLEFINANCE(A160, ""low"", today()-52*7, today(), ""DAILY""),2,1),1,1))"),46111.64583333333)</f>
        <v>46111.64583</v>
      </c>
      <c r="H160" s="61">
        <f>IFERROR(__xludf.DUMMYFUNCTION("MIN(QUERY(SORT(GOOGLEFINANCE(A160,""low"",TODAY()-40,TODAY()),1,0),""select Col2 limit 20""))"),618.3)</f>
        <v>618.3</v>
      </c>
      <c r="I160" s="61">
        <f t="shared" si="1"/>
        <v>3.801703163</v>
      </c>
      <c r="J160" s="35" t="str">
        <f t="shared" si="2"/>
        <v>No need to fresh start</v>
      </c>
    </row>
    <row r="161">
      <c r="A161" s="62" t="s">
        <v>190</v>
      </c>
      <c r="B161" s="59">
        <f>IFERROR(__xludf.DUMMYFUNCTION("GOOGLEFINANCE(A161,""price"")"),1211.8)</f>
        <v>1211.8</v>
      </c>
      <c r="C161" s="60">
        <f>IFERROR(__xludf.DUMMYFUNCTION("MAX(QUERY(SORT(GOOGLEFINANCE(A161,""high"",TODAY()-100,TODAY()),1,0),""select Col2 limit 55""))"),1410.7)</f>
        <v>1410.7</v>
      </c>
      <c r="D161" s="32">
        <f>IFERROR(__xludf.DUMMYFUNCTION("GOOGLEFINANCE(A161,""high52"")"),1621.1)</f>
        <v>1621.1</v>
      </c>
      <c r="E161" s="33">
        <f>IFERROR(__xludf.DUMMYFUNCTION("to_date(index(sort(GOOGLEFINANCE(A161, ""high"", today()-52*7, today(), ""DAILY""),2,0),2,1))"),45917.64583333333)</f>
        <v>45917.64583</v>
      </c>
      <c r="F161" s="32">
        <f>IFERROR(__xludf.DUMMYFUNCTION("GOOGLEFINANCE(A161,""low52"")"),1142.5)</f>
        <v>1142.5</v>
      </c>
      <c r="G161" s="33">
        <f>IFERROR(__xludf.DUMMYFUNCTION("to_date(index(sort(GOOGLEFINANCE(A161, ""low"", today()-52*7, today(), ""DAILY""),2,1),1,1))"),46114.64583333333)</f>
        <v>46114.64583</v>
      </c>
      <c r="H161" s="61">
        <f>IFERROR(__xludf.DUMMYFUNCTION("MIN(QUERY(SORT(GOOGLEFINANCE(A161,""low"",TODAY()-40,TODAY()),1,0),""select Col2 limit 20""))"),1176.3)</f>
        <v>1176.3</v>
      </c>
      <c r="I161" s="61">
        <f t="shared" si="1"/>
        <v>16.4135996</v>
      </c>
      <c r="J161" s="35" t="str">
        <f t="shared" si="2"/>
        <v>Start GTT Order</v>
      </c>
    </row>
    <row r="162">
      <c r="A162" s="62" t="s">
        <v>270</v>
      </c>
      <c r="B162" s="59">
        <f>IFERROR(__xludf.DUMMYFUNCTION("GOOGLEFINANCE(A162,""price"")"),1099.0)</f>
        <v>1099</v>
      </c>
      <c r="C162" s="60">
        <f>IFERROR(__xludf.DUMMYFUNCTION("MAX(QUERY(SORT(GOOGLEFINANCE(A162,""high"",TODAY()-100,TODAY()),1,0),""select Col2 limit 55""))"),1190.7)</f>
        <v>1190.7</v>
      </c>
      <c r="D162" s="32">
        <f>IFERROR(__xludf.DUMMYFUNCTION("GOOGLEFINANCE(A162,""high52"")"),1586.9)</f>
        <v>1586.9</v>
      </c>
      <c r="E162" s="33">
        <f>IFERROR(__xludf.DUMMYFUNCTION("to_date(index(sort(GOOGLEFINANCE(A162, ""high"", today()-52*7, today(), ""DAILY""),2,0),2,1))"),45842.64583333333)</f>
        <v>45842.64583</v>
      </c>
      <c r="F162" s="32">
        <f>IFERROR(__xludf.DUMMYFUNCTION("GOOGLEFINANCE(A162,""low52"")"),900.0)</f>
        <v>900</v>
      </c>
      <c r="G162" s="33">
        <f>IFERROR(__xludf.DUMMYFUNCTION("to_date(index(sort(GOOGLEFINANCE(A162, ""low"", today()-52*7, today(), ""DAILY""),2,1),1,1))"),46104.64583333333)</f>
        <v>46104.64583</v>
      </c>
      <c r="H162" s="61">
        <f>IFERROR(__xludf.DUMMYFUNCTION("MIN(QUERY(SORT(GOOGLEFINANCE(A162,""low"",TODAY()-40,TODAY()),1,0),""select Col2 limit 20""))"),1024.0)</f>
        <v>1024</v>
      </c>
      <c r="I162" s="61">
        <f t="shared" si="1"/>
        <v>8.343949045</v>
      </c>
      <c r="J162" s="35" t="str">
        <f t="shared" si="2"/>
        <v>No need to fresh start</v>
      </c>
    </row>
    <row r="163">
      <c r="A163" s="62" t="s">
        <v>271</v>
      </c>
      <c r="B163" s="59">
        <f>IFERROR(__xludf.DUMMYFUNCTION("GOOGLEFINANCE(A163,""price"")"),1417.2)</f>
        <v>1417.2</v>
      </c>
      <c r="C163" s="60">
        <f>IFERROR(__xludf.DUMMYFUNCTION("MAX(QUERY(SORT(GOOGLEFINANCE(A163,""high"",TODAY()-100,TODAY()),1,0),""select Col2 limit 55""))"),1447.0)</f>
        <v>1447</v>
      </c>
      <c r="D163" s="32">
        <f>IFERROR(__xludf.DUMMYFUNCTION("GOOGLEFINANCE(A163,""high52"")"),1994.0)</f>
        <v>1994</v>
      </c>
      <c r="E163" s="33">
        <f>IFERROR(__xludf.DUMMYFUNCTION("to_date(index(sort(GOOGLEFINANCE(A163, ""high"", today()-52*7, today(), ""DAILY""),2,0),2,1))"),45846.64583333333)</f>
        <v>45846.64583</v>
      </c>
      <c r="F163" s="32">
        <f>IFERROR(__xludf.DUMMYFUNCTION("GOOGLEFINANCE(A163,""low52"")"),1008.1)</f>
        <v>1008.1</v>
      </c>
      <c r="G163" s="33">
        <f>IFERROR(__xludf.DUMMYFUNCTION("to_date(index(sort(GOOGLEFINANCE(A163, ""low"", today()-52*7, today(), ""DAILY""),2,1),1,1))"),46085.64583333333)</f>
        <v>46085.64583</v>
      </c>
      <c r="H163" s="61">
        <f>IFERROR(__xludf.DUMMYFUNCTION("MIN(QUERY(SORT(GOOGLEFINANCE(A163,""low"",TODAY()-40,TODAY()),1,0),""select Col2 limit 20""))"),1147.1)</f>
        <v>1147.1</v>
      </c>
      <c r="I163" s="61">
        <f t="shared" si="1"/>
        <v>2.102737793</v>
      </c>
      <c r="J163" s="35" t="str">
        <f t="shared" si="2"/>
        <v>No need to fresh start</v>
      </c>
    </row>
    <row r="164">
      <c r="A164" s="62" t="s">
        <v>272</v>
      </c>
      <c r="B164" s="59" t="str">
        <f>IFERROR(__xludf.DUMMYFUNCTION("GOOGLEFINANCE(A164,""price"")"),"#N/A")</f>
        <v>#N/A</v>
      </c>
      <c r="C164" s="60" t="str">
        <f>IFERROR(__xludf.DUMMYFUNCTION("MAX(QUERY(SORT(GOOGLEFINANCE(A164,""high"",TODAY()-100,TODAY()),1,0),""select Col2 limit 55""))"),"#N/A")</f>
        <v>#N/A</v>
      </c>
      <c r="D164" s="32" t="str">
        <f>IFERROR(__xludf.DUMMYFUNCTION("GOOGLEFINANCE(A164,""high52"")"),"#N/A")</f>
        <v>#N/A</v>
      </c>
      <c r="E164" s="33" t="str">
        <f>IFERROR(__xludf.DUMMYFUNCTION("to_date(index(sort(GOOGLEFINANCE(A164, ""high"", today()-52*7, today(), ""DAILY""),2,0),2,1))"),"#N/A")</f>
        <v>#N/A</v>
      </c>
      <c r="F164" s="32" t="str">
        <f>IFERROR(__xludf.DUMMYFUNCTION("GOOGLEFINANCE(A164,""low52"")"),"#N/A")</f>
        <v>#N/A</v>
      </c>
      <c r="G164" s="33" t="str">
        <f>IFERROR(__xludf.DUMMYFUNCTION("to_date(index(sort(GOOGLEFINANCE(A164, ""low"", today()-52*7, today(), ""DAILY""),2,1),1,1))"),"#N/A")</f>
        <v>#N/A</v>
      </c>
      <c r="H164" s="61" t="str">
        <f>IFERROR(__xludf.DUMMYFUNCTION("MIN(QUERY(SORT(GOOGLEFINANCE(A164,""low"",TODAY()-40,TODAY()),1,0),""select Col2 limit 20""))"),"#N/A")</f>
        <v>#N/A</v>
      </c>
      <c r="I164" s="61" t="str">
        <f t="shared" si="1"/>
        <v>#N/A</v>
      </c>
      <c r="J164" s="35" t="str">
        <f t="shared" si="2"/>
        <v>#N/A</v>
      </c>
    </row>
    <row r="165">
      <c r="A165" s="62" t="s">
        <v>92</v>
      </c>
      <c r="B165" s="59">
        <f>IFERROR(__xludf.DUMMYFUNCTION("GOOGLEFINANCE(A165,""price"")"),447.55)</f>
        <v>447.55</v>
      </c>
      <c r="C165" s="60">
        <f>IFERROR(__xludf.DUMMYFUNCTION("MAX(QUERY(SORT(GOOGLEFINANCE(A165,""high"",TODAY()-100,TODAY()),1,0),""select Col2 limit 55""))"),491.25)</f>
        <v>491.25</v>
      </c>
      <c r="D165" s="32">
        <f>IFERROR(__xludf.DUMMYFUNCTION("GOOGLEFINANCE(A165,""high52"")"),491.25)</f>
        <v>491.25</v>
      </c>
      <c r="E165" s="33">
        <f>IFERROR(__xludf.DUMMYFUNCTION("to_date(index(sort(GOOGLEFINANCE(A165, ""high"", today()-52*7, today(), ""DAILY""),2,0),2,1))"),46142.64583333333)</f>
        <v>46142.64583</v>
      </c>
      <c r="F165" s="32">
        <f>IFERROR(__xludf.DUMMYFUNCTION("GOOGLEFINANCE(A165,""low52"")"),368.65)</f>
        <v>368.65</v>
      </c>
      <c r="G165" s="33">
        <f>IFERROR(__xludf.DUMMYFUNCTION("to_date(index(sort(GOOGLEFINANCE(A165, ""low"", today()-52*7, today(), ""DAILY""),2,1),1,1))"),46129.64583333333)</f>
        <v>46129.64583</v>
      </c>
      <c r="H165" s="61">
        <f>IFERROR(__xludf.DUMMYFUNCTION("MIN(QUERY(SORT(GOOGLEFINANCE(A165,""low"",TODAY()-40,TODAY()),1,0),""select Col2 limit 20""))"),451.45)</f>
        <v>451.45</v>
      </c>
      <c r="I165" s="61">
        <f t="shared" si="1"/>
        <v>9.764272148</v>
      </c>
      <c r="J165" s="35" t="str">
        <f t="shared" si="2"/>
        <v>No need to fresh start</v>
      </c>
    </row>
    <row r="166">
      <c r="A166" s="62" t="s">
        <v>273</v>
      </c>
      <c r="B166" s="59" t="str">
        <f>IFERROR(__xludf.DUMMYFUNCTION("GOOGLEFINANCE(A166,""price"")"),"#N/A")</f>
        <v>#N/A</v>
      </c>
      <c r="C166" s="60" t="str">
        <f>IFERROR(__xludf.DUMMYFUNCTION("MAX(QUERY(SORT(GOOGLEFINANCE(A166,""high"",TODAY()-100,TODAY()),1,0),""select Col2 limit 55""))"),"#N/A")</f>
        <v>#N/A</v>
      </c>
      <c r="D166" s="32" t="str">
        <f>IFERROR(__xludf.DUMMYFUNCTION("GOOGLEFINANCE(A166,""high52"")"),"#N/A")</f>
        <v>#N/A</v>
      </c>
      <c r="E166" s="33" t="str">
        <f>IFERROR(__xludf.DUMMYFUNCTION("to_date(index(sort(GOOGLEFINANCE(A166, ""high"", today()-52*7, today(), ""DAILY""),2,0),2,1))"),"#N/A")</f>
        <v>#N/A</v>
      </c>
      <c r="F166" s="32" t="str">
        <f>IFERROR(__xludf.DUMMYFUNCTION("GOOGLEFINANCE(A166,""low52"")"),"#N/A")</f>
        <v>#N/A</v>
      </c>
      <c r="G166" s="33" t="str">
        <f>IFERROR(__xludf.DUMMYFUNCTION("to_date(index(sort(GOOGLEFINANCE(A166, ""low"", today()-52*7, today(), ""DAILY""),2,1),1,1))"),"#N/A")</f>
        <v>#N/A</v>
      </c>
      <c r="H166" s="61" t="str">
        <f>IFERROR(__xludf.DUMMYFUNCTION("MIN(QUERY(SORT(GOOGLEFINANCE(A166,""low"",TODAY()-40,TODAY()),1,0),""select Col2 limit 20""))"),"#N/A")</f>
        <v>#N/A</v>
      </c>
      <c r="I166" s="61" t="str">
        <f t="shared" si="1"/>
        <v>#N/A</v>
      </c>
      <c r="J166" s="35" t="str">
        <f t="shared" si="2"/>
        <v>#N/A</v>
      </c>
    </row>
    <row r="167">
      <c r="A167" s="62" t="s">
        <v>274</v>
      </c>
      <c r="B167" s="59">
        <f>IFERROR(__xludf.DUMMYFUNCTION("GOOGLEFINANCE(A167,""price"")"),160.75)</f>
        <v>160.75</v>
      </c>
      <c r="C167" s="60">
        <f>IFERROR(__xludf.DUMMYFUNCTION("MAX(QUERY(SORT(GOOGLEFINANCE(A167,""high"",TODAY()-100,TODAY()),1,0),""select Col2 limit 55""))"),207.18)</f>
        <v>207.18</v>
      </c>
      <c r="D167" s="32">
        <f>IFERROR(__xludf.DUMMYFUNCTION("GOOGLEFINANCE(A167,""high52"")"),215.42)</f>
        <v>215.42</v>
      </c>
      <c r="E167" s="33">
        <f>IFERROR(__xludf.DUMMYFUNCTION("to_date(index(sort(GOOGLEFINANCE(A167, ""high"", today()-52*7, today(), ""DAILY""),2,0),2,1))"),46064.64583333333)</f>
        <v>46064.64583</v>
      </c>
      <c r="F167" s="32">
        <f>IFERROR(__xludf.DUMMYFUNCTION("GOOGLEFINANCE(A167,""low52"")"),114.96)</f>
        <v>114.96</v>
      </c>
      <c r="G167" s="33">
        <f>IFERROR(__xludf.DUMMYFUNCTION("to_date(index(sort(GOOGLEFINANCE(A167, ""low"", today()-52*7, today(), ""DAILY""),2,1),1,1))"),45880.64583333333)</f>
        <v>45880.64583</v>
      </c>
      <c r="H167" s="61">
        <f>IFERROR(__xludf.DUMMYFUNCTION("MIN(QUERY(SORT(GOOGLEFINANCE(A167,""low"",TODAY()-40,TODAY()),1,0),""select Col2 limit 20""))"),148.76)</f>
        <v>148.76</v>
      </c>
      <c r="I167" s="61">
        <f t="shared" si="1"/>
        <v>28.88335925</v>
      </c>
      <c r="J167" s="35" t="str">
        <f t="shared" si="2"/>
        <v>No need to fresh start</v>
      </c>
    </row>
    <row r="168">
      <c r="A168" s="62" t="s">
        <v>69</v>
      </c>
      <c r="B168" s="59">
        <f>IFERROR(__xludf.DUMMYFUNCTION("GOOGLEFINANCE(A168,""price"")"),473.5)</f>
        <v>473.5</v>
      </c>
      <c r="C168" s="60">
        <f>IFERROR(__xludf.DUMMYFUNCTION("MAX(QUERY(SORT(GOOGLEFINANCE(A168,""high"",TODAY()-100,TODAY()),1,0),""select Col2 limit 55""))"),537.0)</f>
        <v>537</v>
      </c>
      <c r="D168" s="32">
        <f>IFERROR(__xludf.DUMMYFUNCTION("GOOGLEFINANCE(A168,""high52"")"),652.04)</f>
        <v>652.04</v>
      </c>
      <c r="E168" s="33">
        <f>IFERROR(__xludf.DUMMYFUNCTION("to_date(index(sort(GOOGLEFINANCE(A168, ""high"", today()-52*7, today(), ""DAILY""),2,0),2,1))"),45813.64583333333)</f>
        <v>45813.64583</v>
      </c>
      <c r="F168" s="32">
        <f>IFERROR(__xludf.DUMMYFUNCTION("GOOGLEFINANCE(A168,""low52"")"),421.45)</f>
        <v>421.45</v>
      </c>
      <c r="G168" s="33">
        <f>IFERROR(__xludf.DUMMYFUNCTION("to_date(index(sort(GOOGLEFINANCE(A168, ""low"", today()-52*7, today(), ""DAILY""),2,1),1,1))"),46104.64583333333)</f>
        <v>46104.64583</v>
      </c>
      <c r="H168" s="61">
        <f>IFERROR(__xludf.DUMMYFUNCTION("MIN(QUERY(SORT(GOOGLEFINANCE(A168,""low"",TODAY()-40,TODAY()),1,0),""select Col2 limit 20""))"),472.6)</f>
        <v>472.6</v>
      </c>
      <c r="I168" s="61">
        <f t="shared" si="1"/>
        <v>13.41077086</v>
      </c>
      <c r="J168" s="35" t="str">
        <f t="shared" si="2"/>
        <v>Start GTT Order</v>
      </c>
    </row>
    <row r="169">
      <c r="A169" s="62" t="s">
        <v>275</v>
      </c>
      <c r="B169" s="59">
        <f>IFERROR(__xludf.DUMMYFUNCTION("GOOGLEFINANCE(A169,""price"")"),594.95)</f>
        <v>594.95</v>
      </c>
      <c r="C169" s="60">
        <f>IFERROR(__xludf.DUMMYFUNCTION("MAX(QUERY(SORT(GOOGLEFINANCE(A169,""high"",TODAY()-100,TODAY()),1,0),""select Col2 limit 55""))"),585.65)</f>
        <v>585.65</v>
      </c>
      <c r="D169" s="32">
        <f>IFERROR(__xludf.DUMMYFUNCTION("GOOGLEFINANCE(A169,""high52"")"),598.7)</f>
        <v>598.7</v>
      </c>
      <c r="E169" s="33">
        <f>IFERROR(__xludf.DUMMYFUNCTION("to_date(index(sort(GOOGLEFINANCE(A169, ""high"", today()-52*7, today(), ""DAILY""),2,0),2,1))"),46140.64583333333)</f>
        <v>46140.64583</v>
      </c>
      <c r="F169" s="32">
        <f>IFERROR(__xludf.DUMMYFUNCTION("GOOGLEFINANCE(A169,""low52"")"),427.75)</f>
        <v>427.75</v>
      </c>
      <c r="G169" s="33">
        <f>IFERROR(__xludf.DUMMYFUNCTION("to_date(index(sort(GOOGLEFINANCE(A169, ""low"", today()-52*7, today(), ""DAILY""),2,1),1,1))"),46049.64583333333)</f>
        <v>46049.64583</v>
      </c>
      <c r="H169" s="61">
        <f>IFERROR(__xludf.DUMMYFUNCTION("MIN(QUERY(SORT(GOOGLEFINANCE(A169,""low"",TODAY()-40,TODAY()),1,0),""select Col2 limit 20""))"),505.2)</f>
        <v>505.2</v>
      </c>
      <c r="I169" s="61">
        <f t="shared" si="1"/>
        <v>-1.563156568</v>
      </c>
      <c r="J169" s="35" t="str">
        <f t="shared" si="2"/>
        <v>No need to fresh start</v>
      </c>
    </row>
    <row r="170">
      <c r="A170" s="62" t="s">
        <v>166</v>
      </c>
      <c r="B170" s="59">
        <f>IFERROR(__xludf.DUMMYFUNCTION("GOOGLEFINANCE(A170,""price"")"),1028.4)</f>
        <v>1028.4</v>
      </c>
      <c r="C170" s="60">
        <f>IFERROR(__xludf.DUMMYFUNCTION("MAX(QUERY(SORT(GOOGLEFINANCE(A170,""high"",TODAY()-100,TODAY()),1,0),""select Col2 limit 55""))"),1152.9)</f>
        <v>1152.9</v>
      </c>
      <c r="D170" s="32">
        <f>IFERROR(__xludf.DUMMYFUNCTION("GOOGLEFINANCE(A170,""high52"")"),1309.0)</f>
        <v>1309</v>
      </c>
      <c r="E170" s="33">
        <f>IFERROR(__xludf.DUMMYFUNCTION("to_date(index(sort(GOOGLEFINANCE(A170, ""high"", today()-52*7, today(), ""DAILY""),2,0),2,1))"),45904.64583333333)</f>
        <v>45904.64583</v>
      </c>
      <c r="F170" s="32">
        <f>IFERROR(__xludf.DUMMYFUNCTION("GOOGLEFINANCE(A170,""low52"")"),967.05)</f>
        <v>967.05</v>
      </c>
      <c r="G170" s="33">
        <f>IFERROR(__xludf.DUMMYFUNCTION("to_date(index(sort(GOOGLEFINANCE(A170, ""low"", today()-52*7, today(), ""DAILY""),2,1),1,1))"),46114.64583333333)</f>
        <v>46114.64583</v>
      </c>
      <c r="H170" s="61">
        <f>IFERROR(__xludf.DUMMYFUNCTION("MIN(QUERY(SORT(GOOGLEFINANCE(A170,""low"",TODAY()-40,TODAY()),1,0),""select Col2 limit 20""))"),1001.5)</f>
        <v>1001.5</v>
      </c>
      <c r="I170" s="61">
        <f t="shared" si="1"/>
        <v>12.10618436</v>
      </c>
      <c r="J170" s="35" t="str">
        <f t="shared" si="2"/>
        <v>Start GTT Order</v>
      </c>
    </row>
    <row r="171">
      <c r="A171" s="62" t="s">
        <v>276</v>
      </c>
      <c r="B171" s="59">
        <f>IFERROR(__xludf.DUMMYFUNCTION("GOOGLEFINANCE(A171,""price"")"),303.5)</f>
        <v>303.5</v>
      </c>
      <c r="C171" s="60">
        <f>IFERROR(__xludf.DUMMYFUNCTION("MAX(QUERY(SORT(GOOGLEFINANCE(A171,""high"",TODAY()-100,TODAY()),1,0),""select Col2 limit 55""))"),369.9)</f>
        <v>369.9</v>
      </c>
      <c r="D171" s="32">
        <f>IFERROR(__xludf.DUMMYFUNCTION("GOOGLEFINANCE(A171,""high52"")"),412.2)</f>
        <v>412.2</v>
      </c>
      <c r="E171" s="33">
        <f>IFERROR(__xludf.DUMMYFUNCTION("to_date(index(sort(GOOGLEFINANCE(A171, ""high"", today()-52*7, today(), ""DAILY""),2,0),2,1))"),46014.64583333333)</f>
        <v>46014.64583</v>
      </c>
      <c r="F171" s="32">
        <f>IFERROR(__xludf.DUMMYFUNCTION("GOOGLEFINANCE(A171,""low52"")"),246.35)</f>
        <v>246.35</v>
      </c>
      <c r="G171" s="33">
        <f>IFERROR(__xludf.DUMMYFUNCTION("to_date(index(sort(GOOGLEFINANCE(A171, ""low"", today()-52*7, today(), ""DAILY""),2,1),1,1))"),45867.64583333333)</f>
        <v>45867.64583</v>
      </c>
      <c r="H171" s="61">
        <f>IFERROR(__xludf.DUMMYFUNCTION("MIN(QUERY(SORT(GOOGLEFINANCE(A171,""low"",TODAY()-40,TODAY()),1,0),""select Col2 limit 20""))"),294.3)</f>
        <v>294.3</v>
      </c>
      <c r="I171" s="61">
        <f t="shared" si="1"/>
        <v>21.87808896</v>
      </c>
      <c r="J171" s="35" t="str">
        <f t="shared" si="2"/>
        <v>No need to fresh start</v>
      </c>
    </row>
    <row r="172">
      <c r="A172" s="62" t="s">
        <v>277</v>
      </c>
      <c r="B172" s="59">
        <f>IFERROR(__xludf.DUMMYFUNCTION("GOOGLEFINANCE(A172,""price"")"),253.0)</f>
        <v>253</v>
      </c>
      <c r="C172" s="60">
        <f>IFERROR(__xludf.DUMMYFUNCTION("MAX(QUERY(SORT(GOOGLEFINANCE(A172,""high"",TODAY()-100,TODAY()),1,0),""select Col2 limit 55""))"),293.51)</f>
        <v>293.51</v>
      </c>
      <c r="D172" s="32">
        <f>IFERROR(__xludf.DUMMYFUNCTION("GOOGLEFINANCE(A172,""high52"")"),324.1)</f>
        <v>324.1</v>
      </c>
      <c r="E172" s="33">
        <f>IFERROR(__xludf.DUMMYFUNCTION("to_date(index(sort(GOOGLEFINANCE(A172, ""high"", today()-52*7, today(), ""DAILY""),2,0),2,1))"),46056.64583333333)</f>
        <v>46056.64583</v>
      </c>
      <c r="F172" s="32">
        <f>IFERROR(__xludf.DUMMYFUNCTION("GOOGLEFINANCE(A172,""low52"")"),187.05)</f>
        <v>187.05</v>
      </c>
      <c r="G172" s="33">
        <f>IFERROR(__xludf.DUMMYFUNCTION("to_date(index(sort(GOOGLEFINANCE(A172, ""low"", today()-52*7, today(), ""DAILY""),2,1),1,1))"),45831.64583333333)</f>
        <v>45831.64583</v>
      </c>
      <c r="H172" s="61">
        <f>IFERROR(__xludf.DUMMYFUNCTION("MIN(QUERY(SORT(GOOGLEFINANCE(A172,""low"",TODAY()-40,TODAY()),1,0),""select Col2 limit 20""))"),242.35)</f>
        <v>242.35</v>
      </c>
      <c r="I172" s="61">
        <f t="shared" si="1"/>
        <v>16.01185771</v>
      </c>
      <c r="J172" s="35" t="str">
        <f t="shared" si="2"/>
        <v>No need to fresh start</v>
      </c>
    </row>
    <row r="173">
      <c r="A173" s="62" t="s">
        <v>184</v>
      </c>
      <c r="B173" s="59" t="str">
        <f>IFERROR(__xludf.DUMMYFUNCTION("GOOGLEFINANCE(A173,""price"")"),"#N/A")</f>
        <v>#N/A</v>
      </c>
      <c r="C173" s="60" t="str">
        <f>IFERROR(__xludf.DUMMYFUNCTION("MAX(QUERY(SORT(GOOGLEFINANCE(A173,""high"",TODAY()-100,TODAY()),1,0),""select Col2 limit 55""))"),"#N/A")</f>
        <v>#N/A</v>
      </c>
      <c r="D173" s="32" t="str">
        <f>IFERROR(__xludf.DUMMYFUNCTION("GOOGLEFINANCE(A173,""high52"")"),"#N/A")</f>
        <v>#N/A</v>
      </c>
      <c r="E173" s="33" t="str">
        <f>IFERROR(__xludf.DUMMYFUNCTION("to_date(index(sort(GOOGLEFINANCE(A173, ""high"", today()-52*7, today(), ""DAILY""),2,0),2,1))"),"#N/A")</f>
        <v>#N/A</v>
      </c>
      <c r="F173" s="32" t="str">
        <f>IFERROR(__xludf.DUMMYFUNCTION("GOOGLEFINANCE(A173,""low52"")"),"#N/A")</f>
        <v>#N/A</v>
      </c>
      <c r="G173" s="33" t="str">
        <f>IFERROR(__xludf.DUMMYFUNCTION("to_date(index(sort(GOOGLEFINANCE(A173, ""low"", today()-52*7, today(), ""DAILY""),2,1),1,1))"),"#N/A")</f>
        <v>#N/A</v>
      </c>
      <c r="H173" s="61" t="str">
        <f>IFERROR(__xludf.DUMMYFUNCTION("MIN(QUERY(SORT(GOOGLEFINANCE(A173,""low"",TODAY()-40,TODAY()),1,0),""select Col2 limit 20""))"),"#N/A")</f>
        <v>#N/A</v>
      </c>
      <c r="I173" s="61" t="str">
        <f t="shared" si="1"/>
        <v>#N/A</v>
      </c>
      <c r="J173" s="35" t="str">
        <f t="shared" si="2"/>
        <v>#N/A</v>
      </c>
    </row>
    <row r="174">
      <c r="A174" s="62" t="s">
        <v>278</v>
      </c>
      <c r="B174" s="59">
        <f>IFERROR(__xludf.DUMMYFUNCTION("GOOGLEFINANCE(A174,""price"")"),427.9)</f>
        <v>427.9</v>
      </c>
      <c r="C174" s="60">
        <f>IFERROR(__xludf.DUMMYFUNCTION("MAX(QUERY(SORT(GOOGLEFINANCE(A174,""high"",TODAY()-100,TODAY()),1,0),""select Col2 limit 55""))"),464.9)</f>
        <v>464.9</v>
      </c>
      <c r="D174" s="32">
        <f>IFERROR(__xludf.DUMMYFUNCTION("GOOGLEFINANCE(A174,""high52"")"),464.9)</f>
        <v>464.9</v>
      </c>
      <c r="E174" s="33">
        <f>IFERROR(__xludf.DUMMYFUNCTION("to_date(index(sort(GOOGLEFINANCE(A174, ""high"", today()-52*7, today(), ""DAILY""),2,0),2,1))"),46140.64583333333)</f>
        <v>46140.64583</v>
      </c>
      <c r="F174" s="32">
        <f>IFERROR(__xludf.DUMMYFUNCTION("GOOGLEFINANCE(A174,""low52"")"),342.5)</f>
        <v>342.5</v>
      </c>
      <c r="G174" s="33">
        <f>IFERROR(__xludf.DUMMYFUNCTION("to_date(index(sort(GOOGLEFINANCE(A174, ""low"", today()-52*7, today(), ""DAILY""),2,1),1,1))"),46049.64583333333)</f>
        <v>46049.64583</v>
      </c>
      <c r="H174" s="61">
        <f>IFERROR(__xludf.DUMMYFUNCTION("MIN(QUERY(SORT(GOOGLEFINANCE(A174,""low"",TODAY()-40,TODAY()),1,0),""select Col2 limit 20""))"),390.8)</f>
        <v>390.8</v>
      </c>
      <c r="I174" s="61">
        <f t="shared" si="1"/>
        <v>8.646880112</v>
      </c>
      <c r="J174" s="35" t="str">
        <f t="shared" si="2"/>
        <v>No need to fresh start</v>
      </c>
    </row>
    <row r="175">
      <c r="A175" s="62" t="s">
        <v>279</v>
      </c>
      <c r="B175" s="59">
        <f>IFERROR(__xludf.DUMMYFUNCTION("GOOGLEFINANCE(A175,""price"")"),328.5)</f>
        <v>328.5</v>
      </c>
      <c r="C175" s="60">
        <f>IFERROR(__xludf.DUMMYFUNCTION("MAX(QUERY(SORT(GOOGLEFINANCE(A175,""high"",TODAY()-100,TODAY()),1,0),""select Col2 limit 55""))"),334.0)</f>
        <v>334</v>
      </c>
      <c r="D175" s="32">
        <f>IFERROR(__xludf.DUMMYFUNCTION("GOOGLEFINANCE(A175,""high52"")"),334.0)</f>
        <v>334</v>
      </c>
      <c r="E175" s="33">
        <f>IFERROR(__xludf.DUMMYFUNCTION("to_date(index(sort(GOOGLEFINANCE(A175, ""high"", today()-52*7, today(), ""DAILY""),2,0),2,1))"),46167.64583333333)</f>
        <v>46167.64583</v>
      </c>
      <c r="F175" s="32">
        <f>IFERROR(__xludf.DUMMYFUNCTION("GOOGLEFINANCE(A175,""low52"")"),230.03)</f>
        <v>230.03</v>
      </c>
      <c r="G175" s="33">
        <f>IFERROR(__xludf.DUMMYFUNCTION("to_date(index(sort(GOOGLEFINANCE(A175, ""low"", today()-52*7, today(), ""DAILY""),2,1),1,1))"),45812.64583333333)</f>
        <v>45812.64583</v>
      </c>
      <c r="H175" s="61">
        <f>IFERROR(__xludf.DUMMYFUNCTION("MIN(QUERY(SORT(GOOGLEFINANCE(A175,""low"",TODAY()-40,TODAY()),1,0),""select Col2 limit 20""))"),289.25)</f>
        <v>289.25</v>
      </c>
      <c r="I175" s="61">
        <f t="shared" si="1"/>
        <v>1.674277017</v>
      </c>
      <c r="J175" s="35" t="str">
        <f t="shared" si="2"/>
        <v>No need to fresh start</v>
      </c>
    </row>
    <row r="176">
      <c r="A176" s="62" t="s">
        <v>280</v>
      </c>
      <c r="B176" s="59">
        <f>IFERROR(__xludf.DUMMYFUNCTION("GOOGLEFINANCE(A176,""price"")"),958.75)</f>
        <v>958.75</v>
      </c>
      <c r="C176" s="60">
        <f>IFERROR(__xludf.DUMMYFUNCTION("MAX(QUERY(SORT(GOOGLEFINANCE(A176,""high"",TODAY()-100,TODAY()),1,0),""select Col2 limit 55""))"),992.7)</f>
        <v>992.7</v>
      </c>
      <c r="D176" s="32">
        <f>IFERROR(__xludf.DUMMYFUNCTION("GOOGLEFINANCE(A176,""high52"")"),1104.3)</f>
        <v>1104.3</v>
      </c>
      <c r="E176" s="33">
        <f>IFERROR(__xludf.DUMMYFUNCTION("to_date(index(sort(GOOGLEFINANCE(A176, ""high"", today()-52*7, today(), ""DAILY""),2,0),2,1))"),45947.64583333333)</f>
        <v>45947.64583</v>
      </c>
      <c r="F176" s="32">
        <f>IFERROR(__xludf.DUMMYFUNCTION("GOOGLEFINANCE(A176,""low52"")"),698.7)</f>
        <v>698.7</v>
      </c>
      <c r="G176" s="33">
        <f>IFERROR(__xludf.DUMMYFUNCTION("to_date(index(sort(GOOGLEFINANCE(A176, ""low"", today()-52*7, today(), ""DAILY""),2,1),1,1))"),45810.64583333333)</f>
        <v>45810.64583</v>
      </c>
      <c r="H176" s="61">
        <f>IFERROR(__xludf.DUMMYFUNCTION("MIN(QUERY(SORT(GOOGLEFINANCE(A176,""low"",TODAY()-40,TODAY()),1,0),""select Col2 limit 20""))"),910.55)</f>
        <v>910.55</v>
      </c>
      <c r="I176" s="61">
        <f t="shared" si="1"/>
        <v>3.5410691</v>
      </c>
      <c r="J176" s="35" t="str">
        <f t="shared" si="2"/>
        <v>No need to fresh start</v>
      </c>
    </row>
    <row r="177">
      <c r="A177" s="62" t="s">
        <v>281</v>
      </c>
      <c r="B177" s="59">
        <f>IFERROR(__xludf.DUMMYFUNCTION("GOOGLEFINANCE(A177,""price"")"),1569.2)</f>
        <v>1569.2</v>
      </c>
      <c r="C177" s="60">
        <f>IFERROR(__xludf.DUMMYFUNCTION("MAX(QUERY(SORT(GOOGLEFINANCE(A177,""high"",TODAY()-100,TODAY()),1,0),""select Col2 limit 55""))"),1734.8)</f>
        <v>1734.8</v>
      </c>
      <c r="D177" s="32">
        <f>IFERROR(__xludf.DUMMYFUNCTION("GOOGLEFINANCE(A177,""high52"")"),1831.5)</f>
        <v>1831.5</v>
      </c>
      <c r="E177" s="33">
        <f>IFERROR(__xludf.DUMMYFUNCTION("to_date(index(sort(GOOGLEFINANCE(A177, ""high"", today()-52*7, today(), ""DAILY""),2,0),2,1))"),46028.64583333333)</f>
        <v>46028.64583</v>
      </c>
      <c r="F177" s="32">
        <f>IFERROR(__xludf.DUMMYFUNCTION("GOOGLEFINANCE(A177,""low52"")"),1299.4)</f>
        <v>1299.4</v>
      </c>
      <c r="G177" s="33">
        <f>IFERROR(__xludf.DUMMYFUNCTION("to_date(index(sort(GOOGLEFINANCE(A177, ""low"", today()-52*7, today(), ""DAILY""),2,1),1,1))"),46114.64583333333)</f>
        <v>46114.64583</v>
      </c>
      <c r="H177" s="61">
        <f>IFERROR(__xludf.DUMMYFUNCTION("MIN(QUERY(SORT(GOOGLEFINANCE(A177,""low"",TODAY()-40,TODAY()),1,0),""select Col2 limit 20""))"),1472.3)</f>
        <v>1472.3</v>
      </c>
      <c r="I177" s="61">
        <f t="shared" si="1"/>
        <v>10.5531481</v>
      </c>
      <c r="J177" s="35" t="str">
        <f t="shared" si="2"/>
        <v>Start GTT Order</v>
      </c>
    </row>
    <row r="178">
      <c r="A178" s="62" t="s">
        <v>282</v>
      </c>
      <c r="B178" s="59">
        <f>IFERROR(__xludf.DUMMYFUNCTION("GOOGLEFINANCE(A178,""price"")"),697.7)</f>
        <v>697.7</v>
      </c>
      <c r="C178" s="60">
        <f>IFERROR(__xludf.DUMMYFUNCTION("MAX(QUERY(SORT(GOOGLEFINANCE(A178,""high"",TODAY()-100,TODAY()),1,0),""select Col2 limit 55""))"),779.0)</f>
        <v>779</v>
      </c>
      <c r="D178" s="32">
        <f>IFERROR(__xludf.DUMMYFUNCTION("GOOGLEFINANCE(A178,""high52"")"),1294.2)</f>
        <v>1294.2</v>
      </c>
      <c r="E178" s="33">
        <f>IFERROR(__xludf.DUMMYFUNCTION("to_date(index(sort(GOOGLEFINANCE(A178, ""high"", today()-52*7, today(), ""DAILY""),2,0),2,1))"),45806.64583333333)</f>
        <v>45806.64583</v>
      </c>
      <c r="F178" s="32">
        <f>IFERROR(__xludf.DUMMYFUNCTION("GOOGLEFINANCE(A178,""low52"")"),605.0)</f>
        <v>605</v>
      </c>
      <c r="G178" s="33">
        <f>IFERROR(__xludf.DUMMYFUNCTION("to_date(index(sort(GOOGLEFINANCE(A178, ""low"", today()-52*7, today(), ""DAILY""),2,1),1,1))"),46111.64583333333)</f>
        <v>46111.64583</v>
      </c>
      <c r="H178" s="61">
        <f>IFERROR(__xludf.DUMMYFUNCTION("MIN(QUERY(SORT(GOOGLEFINANCE(A178,""low"",TODAY()-40,TODAY()),1,0),""select Col2 limit 20""))"),676.05)</f>
        <v>676.05</v>
      </c>
      <c r="I178" s="61">
        <f t="shared" si="1"/>
        <v>11.65257274</v>
      </c>
      <c r="J178" s="35" t="str">
        <f t="shared" si="2"/>
        <v>Start GTT Order</v>
      </c>
    </row>
    <row r="179">
      <c r="A179" s="62" t="s">
        <v>283</v>
      </c>
      <c r="B179" s="59">
        <f>IFERROR(__xludf.DUMMYFUNCTION("GOOGLEFINANCE(A179,""price"")"),289.8)</f>
        <v>289.8</v>
      </c>
      <c r="C179" s="60">
        <f>IFERROR(__xludf.DUMMYFUNCTION("MAX(QUERY(SORT(GOOGLEFINANCE(A179,""high"",TODAY()-100,TODAY()),1,0),""select Col2 limit 55""))"),301.7)</f>
        <v>301.7</v>
      </c>
      <c r="D179" s="32">
        <f>IFERROR(__xludf.DUMMYFUNCTION("GOOGLEFINANCE(A179,""high52"")"),302.0)</f>
        <v>302</v>
      </c>
      <c r="E179" s="33">
        <f>IFERROR(__xludf.DUMMYFUNCTION("to_date(index(sort(GOOGLEFINANCE(A179, ""high"", today()-52*7, today(), ""DAILY""),2,0),2,1))"),46080.64583333333)</f>
        <v>46080.64583</v>
      </c>
      <c r="F179" s="32">
        <f>IFERROR(__xludf.DUMMYFUNCTION("GOOGLEFINANCE(A179,""low52"")"),185.11)</f>
        <v>185.11</v>
      </c>
      <c r="G179" s="33">
        <f>IFERROR(__xludf.DUMMYFUNCTION("to_date(index(sort(GOOGLEFINANCE(A179, ""low"", today()-52*7, today(), ""DAILY""),2,1),1,1))"),45873.64583333333)</f>
        <v>45873.64583</v>
      </c>
      <c r="H179" s="61">
        <f>IFERROR(__xludf.DUMMYFUNCTION("MIN(QUERY(SORT(GOOGLEFINANCE(A179,""low"",TODAY()-40,TODAY()),1,0),""select Col2 limit 20""))"),277.1)</f>
        <v>277.1</v>
      </c>
      <c r="I179" s="61">
        <f t="shared" si="1"/>
        <v>4.106280193</v>
      </c>
      <c r="J179" s="35" t="str">
        <f t="shared" si="2"/>
        <v>No need to fresh start</v>
      </c>
    </row>
    <row r="180">
      <c r="A180" s="62" t="s">
        <v>156</v>
      </c>
      <c r="B180" s="59">
        <f>IFERROR(__xludf.DUMMYFUNCTION("GOOGLEFINANCE(A180,""price"")"),277.65)</f>
        <v>277.65</v>
      </c>
      <c r="C180" s="60">
        <f>IFERROR(__xludf.DUMMYFUNCTION("MAX(QUERY(SORT(GOOGLEFINANCE(A180,""high"",TODAY()-100,TODAY()),1,0),""select Col2 limit 55""))"),301.95)</f>
        <v>301.95</v>
      </c>
      <c r="D180" s="32">
        <f>IFERROR(__xludf.DUMMYFUNCTION("GOOGLEFINANCE(A180,""high52"")"),326.4)</f>
        <v>326.4</v>
      </c>
      <c r="E180" s="33">
        <f>IFERROR(__xludf.DUMMYFUNCTION("to_date(index(sort(GOOGLEFINANCE(A180, ""high"", today()-52*7, today(), ""DAILY""),2,0),2,1))"),46080.64583333333)</f>
        <v>46080.64583</v>
      </c>
      <c r="F180" s="32">
        <f>IFERROR(__xludf.DUMMYFUNCTION("GOOGLEFINANCE(A180,""low52"")"),235.35)</f>
        <v>235.35</v>
      </c>
      <c r="G180" s="33">
        <f>IFERROR(__xludf.DUMMYFUNCTION("to_date(index(sort(GOOGLEFINANCE(A180, ""low"", today()-52*7, today(), ""DAILY""),2,1),1,1))"),46104.64583333333)</f>
        <v>46104.64583</v>
      </c>
      <c r="H180" s="61">
        <f>IFERROR(__xludf.DUMMYFUNCTION("MIN(QUERY(SORT(GOOGLEFINANCE(A180,""low"",TODAY()-40,TODAY()),1,0),""select Col2 limit 20""))"),260.2)</f>
        <v>260.2</v>
      </c>
      <c r="I180" s="61">
        <f t="shared" si="1"/>
        <v>8.752025932</v>
      </c>
      <c r="J180" s="35" t="str">
        <f t="shared" si="2"/>
        <v>No need to fresh start</v>
      </c>
    </row>
    <row r="181">
      <c r="A181" s="62" t="s">
        <v>284</v>
      </c>
      <c r="B181" s="59">
        <f>IFERROR(__xludf.DUMMYFUNCTION("GOOGLEFINANCE(A181,""price"")"),9608.0)</f>
        <v>9608</v>
      </c>
      <c r="C181" s="60">
        <f>IFERROR(__xludf.DUMMYFUNCTION("MAX(QUERY(SORT(GOOGLEFINANCE(A181,""high"",TODAY()-100,TODAY()),1,0),""select Col2 limit 55""))"),9669.5)</f>
        <v>9669.5</v>
      </c>
      <c r="D181" s="32">
        <f>IFERROR(__xludf.DUMMYFUNCTION("GOOGLEFINANCE(A181,""high52"")"),9692.0)</f>
        <v>9692</v>
      </c>
      <c r="E181" s="33">
        <f>IFERROR(__xludf.DUMMYFUNCTION("to_date(index(sort(GOOGLEFINANCE(A181, ""high"", today()-52*7, today(), ""DAILY""),2,0),2,1))"),46168.64583333333)</f>
        <v>46168.64583</v>
      </c>
      <c r="F181" s="32">
        <f>IFERROR(__xludf.DUMMYFUNCTION("GOOGLEFINANCE(A181,""low52"")"),5760.0)</f>
        <v>5760</v>
      </c>
      <c r="G181" s="33">
        <f>IFERROR(__xludf.DUMMYFUNCTION("to_date(index(sort(GOOGLEFINANCE(A181, ""low"", today()-52*7, today(), ""DAILY""),2,1),1,1))"),45821.64583333333)</f>
        <v>45821.64583</v>
      </c>
      <c r="H181" s="61">
        <f>IFERROR(__xludf.DUMMYFUNCTION("MIN(QUERY(SORT(GOOGLEFINANCE(A181,""low"",TODAY()-40,TODAY()),1,0),""select Col2 limit 20""))"),7970.5)</f>
        <v>7970.5</v>
      </c>
      <c r="I181" s="61">
        <f t="shared" si="1"/>
        <v>0.6400915903</v>
      </c>
      <c r="J181" s="35" t="str">
        <f t="shared" si="2"/>
        <v>No need to fresh start</v>
      </c>
    </row>
    <row r="182">
      <c r="A182" s="62" t="s">
        <v>285</v>
      </c>
      <c r="B182" s="59">
        <f>IFERROR(__xludf.DUMMYFUNCTION("GOOGLEFINANCE(A182,""price"")"),345.55)</f>
        <v>345.55</v>
      </c>
      <c r="C182" s="60">
        <f>IFERROR(__xludf.DUMMYFUNCTION("MAX(QUERY(SORT(GOOGLEFINANCE(A182,""high"",TODAY()-100,TODAY()),1,0),""select Col2 limit 55""))"),349.9)</f>
        <v>349.9</v>
      </c>
      <c r="D182" s="32">
        <f>IFERROR(__xludf.DUMMYFUNCTION("GOOGLEFINANCE(A182,""high52"")"),349.9)</f>
        <v>349.9</v>
      </c>
      <c r="E182" s="33">
        <f>IFERROR(__xludf.DUMMYFUNCTION("to_date(index(sort(GOOGLEFINANCE(A182, ""high"", today()-52*7, today(), ""DAILY""),2,0),2,1))"),46149.64583333333)</f>
        <v>46149.64583</v>
      </c>
      <c r="F182" s="32">
        <f>IFERROR(__xludf.DUMMYFUNCTION("GOOGLEFINANCE(A182,""low52"")"),204.01)</f>
        <v>204.01</v>
      </c>
      <c r="G182" s="33">
        <f>IFERROR(__xludf.DUMMYFUNCTION("to_date(index(sort(GOOGLEFINANCE(A182, ""low"", today()-52*7, today(), ""DAILY""),2,1),1,1))"),45814.64583333333)</f>
        <v>45814.64583</v>
      </c>
      <c r="H182" s="61">
        <f>IFERROR(__xludf.DUMMYFUNCTION("MIN(QUERY(SORT(GOOGLEFINANCE(A182,""low"",TODAY()-40,TODAY()),1,0),""select Col2 limit 20""))"),310.0)</f>
        <v>310</v>
      </c>
      <c r="I182" s="61">
        <f t="shared" si="1"/>
        <v>1.258862683</v>
      </c>
      <c r="J182" s="35" t="str">
        <f t="shared" si="2"/>
        <v>No need to fresh start</v>
      </c>
    </row>
    <row r="183">
      <c r="A183" s="62" t="s">
        <v>286</v>
      </c>
      <c r="B183" s="59">
        <f>IFERROR(__xludf.DUMMYFUNCTION("GOOGLEFINANCE(A183,""price"")"),2745.0)</f>
        <v>2745</v>
      </c>
      <c r="C183" s="60">
        <f>IFERROR(__xludf.DUMMYFUNCTION("MAX(QUERY(SORT(GOOGLEFINANCE(A183,""high"",TODAY()-100,TODAY()),1,0),""select Col2 limit 55""))"),2832.1)</f>
        <v>2832.1</v>
      </c>
      <c r="D183" s="32">
        <f>IFERROR(__xludf.DUMMYFUNCTION("GOOGLEFINANCE(A183,""high52"")"),3325.0)</f>
        <v>3325</v>
      </c>
      <c r="E183" s="33">
        <f>IFERROR(__xludf.DUMMYFUNCTION("to_date(index(sort(GOOGLEFINANCE(A183, ""high"", today()-52*7, today(), ""DAILY""),2,0),2,1))"),45848.64583333333)</f>
        <v>45848.64583</v>
      </c>
      <c r="F183" s="32">
        <f>IFERROR(__xludf.DUMMYFUNCTION("GOOGLEFINANCE(A183,""low52"")"),2355.0)</f>
        <v>2355</v>
      </c>
      <c r="G183" s="33">
        <f>IFERROR(__xludf.DUMMYFUNCTION("to_date(index(sort(GOOGLEFINANCE(A183, ""low"", today()-52*7, today(), ""DAILY""),2,1),1,1))"),46118.64583333333)</f>
        <v>46118.64583</v>
      </c>
      <c r="H183" s="61">
        <f>IFERROR(__xludf.DUMMYFUNCTION("MIN(QUERY(SORT(GOOGLEFINANCE(A183,""low"",TODAY()-40,TODAY()),1,0),""select Col2 limit 20""))"),2484.4)</f>
        <v>2484.4</v>
      </c>
      <c r="I183" s="61">
        <f t="shared" si="1"/>
        <v>3.173041894</v>
      </c>
      <c r="J183" s="35" t="str">
        <f t="shared" si="2"/>
        <v>No need to fresh start</v>
      </c>
    </row>
    <row r="184">
      <c r="A184" s="62" t="s">
        <v>287</v>
      </c>
      <c r="B184" s="59">
        <f>IFERROR(__xludf.DUMMYFUNCTION("GOOGLEFINANCE(A184,""price"")"),429.9)</f>
        <v>429.9</v>
      </c>
      <c r="C184" s="60">
        <f>IFERROR(__xludf.DUMMYFUNCTION("MAX(QUERY(SORT(GOOGLEFINANCE(A184,""high"",TODAY()-100,TODAY()),1,0),""select Col2 limit 55""))"),509.8)</f>
        <v>509.8</v>
      </c>
      <c r="D184" s="32">
        <f>IFERROR(__xludf.DUMMYFUNCTION("GOOGLEFINANCE(A184,""high52"")"),718.95)</f>
        <v>718.95</v>
      </c>
      <c r="E184" s="33">
        <f>IFERROR(__xludf.DUMMYFUNCTION("to_date(index(sort(GOOGLEFINANCE(A184, ""high"", today()-52*7, today(), ""DAILY""),2,0),2,1))"),45839.64583333333)</f>
        <v>45839.64583</v>
      </c>
      <c r="F184" s="32">
        <f>IFERROR(__xludf.DUMMYFUNCTION("GOOGLEFINANCE(A184,""low52"")"),408.8)</f>
        <v>408.8</v>
      </c>
      <c r="G184" s="33">
        <f>IFERROR(__xludf.DUMMYFUNCTION("to_date(index(sort(GOOGLEFINANCE(A184, ""low"", today()-52*7, today(), ""DAILY""),2,1),1,1))"),46129.64583333333)</f>
        <v>46129.64583</v>
      </c>
      <c r="H184" s="61">
        <f>IFERROR(__xludf.DUMMYFUNCTION("MIN(QUERY(SORT(GOOGLEFINANCE(A184,""low"",TODAY()-40,TODAY()),1,0),""select Col2 limit 20""))"),422.25)</f>
        <v>422.25</v>
      </c>
      <c r="I184" s="61">
        <f t="shared" si="1"/>
        <v>18.58571761</v>
      </c>
      <c r="J184" s="35" t="str">
        <f t="shared" si="2"/>
        <v>Start GTT Order</v>
      </c>
    </row>
    <row r="185">
      <c r="A185" s="62" t="s">
        <v>155</v>
      </c>
      <c r="B185" s="59">
        <f>IFERROR(__xludf.DUMMYFUNCTION("GOOGLEFINANCE(A185,""price"")"),1859.5)</f>
        <v>1859.5</v>
      </c>
      <c r="C185" s="60">
        <f>IFERROR(__xludf.DUMMYFUNCTION("MAX(QUERY(SORT(GOOGLEFINANCE(A185,""high"",TODAY()-100,TODAY()),1,0),""select Col2 limit 55""))"),1953.8)</f>
        <v>1953.8</v>
      </c>
      <c r="D185" s="32">
        <f>IFERROR(__xludf.DUMMYFUNCTION("GOOGLEFINANCE(A185,""high52"")"),2174.5)</f>
        <v>2174.5</v>
      </c>
      <c r="E185" s="33">
        <f>IFERROR(__xludf.DUMMYFUNCTION("to_date(index(sort(GOOGLEFINANCE(A185, ""high"", today()-52*7, today(), ""DAILY""),2,0),2,1))"),45982.64583333333)</f>
        <v>45982.64583</v>
      </c>
      <c r="F185" s="32">
        <f>IFERROR(__xludf.DUMMYFUNCTION("GOOGLEFINANCE(A185,""low52"")"),1740.5)</f>
        <v>1740.5</v>
      </c>
      <c r="G185" s="33">
        <f>IFERROR(__xludf.DUMMYFUNCTION("to_date(index(sort(GOOGLEFINANCE(A185, ""low"", today()-52*7, today(), ""DAILY""),2,1),1,1))"),46155.64583333333)</f>
        <v>46155.64583</v>
      </c>
      <c r="H185" s="61">
        <f>IFERROR(__xludf.DUMMYFUNCTION("MIN(QUERY(SORT(GOOGLEFINANCE(A185,""low"",TODAY()-40,TODAY()),1,0),""select Col2 limit 20""))"),1740.5)</f>
        <v>1740.5</v>
      </c>
      <c r="I185" s="61">
        <f t="shared" si="1"/>
        <v>5.071255714</v>
      </c>
      <c r="J185" s="35" t="str">
        <f t="shared" si="2"/>
        <v>No need to fresh start</v>
      </c>
    </row>
    <row r="186">
      <c r="A186" s="62" t="s">
        <v>49</v>
      </c>
      <c r="B186" s="59">
        <f>IFERROR(__xludf.DUMMYFUNCTION("GOOGLEFINANCE(A186,""price"")"),337.75)</f>
        <v>337.75</v>
      </c>
      <c r="C186" s="60">
        <f>IFERROR(__xludf.DUMMYFUNCTION("MAX(QUERY(SORT(GOOGLEFINANCE(A186,""high"",TODAY()-100,TODAY()),1,0),""select Col2 limit 55""))"),387.45)</f>
        <v>387.45</v>
      </c>
      <c r="D186" s="32">
        <f>IFERROR(__xludf.DUMMYFUNCTION("GOOGLEFINANCE(A186,""high52"")"),428.7)</f>
        <v>428.7</v>
      </c>
      <c r="E186" s="33">
        <f>IFERROR(__xludf.DUMMYFUNCTION("to_date(index(sort(GOOGLEFINANCE(A186, ""high"", today()-52*7, today(), ""DAILY""),2,0),2,1))"),45817.64583333333)</f>
        <v>45817.64583</v>
      </c>
      <c r="F186" s="32">
        <f>IFERROR(__xludf.DUMMYFUNCTION("GOOGLEFINANCE(A186,""low52"")"),304.05)</f>
        <v>304.05</v>
      </c>
      <c r="G186" s="33">
        <f>IFERROR(__xludf.DUMMYFUNCTION("to_date(index(sort(GOOGLEFINANCE(A186, ""low"", today()-52*7, today(), ""DAILY""),2,1),1,1))"),46111.64583333333)</f>
        <v>46111.64583</v>
      </c>
      <c r="H186" s="61">
        <f>IFERROR(__xludf.DUMMYFUNCTION("MIN(QUERY(SORT(GOOGLEFINANCE(A186,""low"",TODAY()-40,TODAY()),1,0),""select Col2 limit 20""))"),328.15)</f>
        <v>328.15</v>
      </c>
      <c r="I186" s="61">
        <f t="shared" si="1"/>
        <v>14.71502591</v>
      </c>
      <c r="J186" s="35" t="str">
        <f t="shared" si="2"/>
        <v>Start GTT Order</v>
      </c>
    </row>
    <row r="187">
      <c r="A187" s="62" t="s">
        <v>158</v>
      </c>
      <c r="B187" s="59">
        <f>IFERROR(__xludf.DUMMYFUNCTION("GOOGLEFINANCE(A187,""price"")"),1311.9)</f>
        <v>1311.9</v>
      </c>
      <c r="C187" s="60">
        <f>IFERROR(__xludf.DUMMYFUNCTION("MAX(QUERY(SORT(GOOGLEFINANCE(A187,""high"",TODAY()-100,TODAY()),1,0),""select Col2 limit 55""))"),1391.0)</f>
        <v>1391</v>
      </c>
      <c r="D187" s="32">
        <f>IFERROR(__xludf.DUMMYFUNCTION("GOOGLEFINANCE(A187,""high52"")"),1418.3)</f>
        <v>1418.3</v>
      </c>
      <c r="E187" s="33">
        <f>IFERROR(__xludf.DUMMYFUNCTION("to_date(index(sort(GOOGLEFINANCE(A187, ""high"", today()-52*7, today(), ""DAILY""),2,0),2,1))"),46056.64583333333)</f>
        <v>46056.64583</v>
      </c>
      <c r="F187" s="32">
        <f>IFERROR(__xludf.DUMMYFUNCTION("GOOGLEFINANCE(A187,""low52"")"),1042.5)</f>
        <v>1042.5</v>
      </c>
      <c r="G187" s="33">
        <f>IFERROR(__xludf.DUMMYFUNCTION("to_date(index(sort(GOOGLEFINANCE(A187, ""low"", today()-52*7, today(), ""DAILY""),2,1),1,1))"),45898.64583333333)</f>
        <v>45898.64583</v>
      </c>
      <c r="H187" s="61">
        <f>IFERROR(__xludf.DUMMYFUNCTION("MIN(QUERY(SORT(GOOGLEFINANCE(A187,""low"",TODAY()-40,TODAY()),1,0),""select Col2 limit 20""))"),1222.1)</f>
        <v>1222.1</v>
      </c>
      <c r="I187" s="61">
        <f t="shared" si="1"/>
        <v>6.029422974</v>
      </c>
      <c r="J187" s="35" t="str">
        <f t="shared" si="2"/>
        <v>No need to fresh start</v>
      </c>
    </row>
    <row r="188">
      <c r="A188" s="62" t="s">
        <v>288</v>
      </c>
      <c r="B188" s="59">
        <f>IFERROR(__xludf.DUMMYFUNCTION("GOOGLEFINANCE(A188,""price"")"),1576.6)</f>
        <v>1576.6</v>
      </c>
      <c r="C188" s="60">
        <f>IFERROR(__xludf.DUMMYFUNCTION("MAX(QUERY(SORT(GOOGLEFINANCE(A188,""high"",TODAY()-100,TODAY()),1,0),""select Col2 limit 55""))"),1678.3)</f>
        <v>1678.3</v>
      </c>
      <c r="D188" s="32">
        <f>IFERROR(__xludf.DUMMYFUNCTION("GOOGLEFINANCE(A188,""high52"")"),1678.3)</f>
        <v>1678.3</v>
      </c>
      <c r="E188" s="33">
        <f>IFERROR(__xludf.DUMMYFUNCTION("to_date(index(sort(GOOGLEFINANCE(A188, ""high"", today()-52*7, today(), ""DAILY""),2,0),2,1))"),46162.64583333333)</f>
        <v>46162.64583</v>
      </c>
      <c r="F188" s="32">
        <f>IFERROR(__xludf.DUMMYFUNCTION("GOOGLEFINANCE(A188,""low52"")"),1251.6)</f>
        <v>1251.6</v>
      </c>
      <c r="G188" s="33">
        <f>IFERROR(__xludf.DUMMYFUNCTION("to_date(index(sort(GOOGLEFINANCE(A188, ""low"", today()-52*7, today(), ""DAILY""),2,1),1,1))"),45954.64583333333)</f>
        <v>45954.64583</v>
      </c>
      <c r="H188" s="61">
        <f>IFERROR(__xludf.DUMMYFUNCTION("MIN(QUERY(SORT(GOOGLEFINANCE(A188,""low"",TODAY()-40,TODAY()),1,0),""select Col2 limit 20""))"),1494.0)</f>
        <v>1494</v>
      </c>
      <c r="I188" s="61">
        <f t="shared" si="1"/>
        <v>6.450589877</v>
      </c>
      <c r="J188" s="35" t="str">
        <f t="shared" si="2"/>
        <v>No need to fresh start</v>
      </c>
    </row>
    <row r="189">
      <c r="A189" s="62" t="s">
        <v>289</v>
      </c>
      <c r="B189" s="59" t="str">
        <f>IFERROR(__xludf.DUMMYFUNCTION("GOOGLEFINANCE(A189,""price"")"),"#N/A")</f>
        <v>#N/A</v>
      </c>
      <c r="C189" s="60" t="str">
        <f>IFERROR(__xludf.DUMMYFUNCTION("MAX(QUERY(SORT(GOOGLEFINANCE(A189,""high"",TODAY()-100,TODAY()),1,0),""select Col2 limit 55""))"),"#N/A")</f>
        <v>#N/A</v>
      </c>
      <c r="D189" s="32" t="str">
        <f>IFERROR(__xludf.DUMMYFUNCTION("GOOGLEFINANCE(A189,""high52"")"),"#N/A")</f>
        <v>#N/A</v>
      </c>
      <c r="E189" s="33" t="str">
        <f>IFERROR(__xludf.DUMMYFUNCTION("to_date(index(sort(GOOGLEFINANCE(A189, ""high"", today()-52*7, today(), ""DAILY""),2,0),2,1))"),"#N/A")</f>
        <v>#N/A</v>
      </c>
      <c r="F189" s="32" t="str">
        <f>IFERROR(__xludf.DUMMYFUNCTION("GOOGLEFINANCE(A189,""low52"")"),"#N/A")</f>
        <v>#N/A</v>
      </c>
      <c r="G189" s="33" t="str">
        <f>IFERROR(__xludf.DUMMYFUNCTION("to_date(index(sort(GOOGLEFINANCE(A189, ""low"", today()-52*7, today(), ""DAILY""),2,1),1,1))"),"#N/A")</f>
        <v>#N/A</v>
      </c>
      <c r="H189" s="61" t="str">
        <f>IFERROR(__xludf.DUMMYFUNCTION("MIN(QUERY(SORT(GOOGLEFINANCE(A189,""low"",TODAY()-40,TODAY()),1,0),""select Col2 limit 20""))"),"#N/A")</f>
        <v>#N/A</v>
      </c>
      <c r="I189" s="61" t="str">
        <f t="shared" si="1"/>
        <v>#N/A</v>
      </c>
      <c r="J189" s="35" t="str">
        <f t="shared" si="2"/>
        <v>#N/A</v>
      </c>
    </row>
    <row r="190">
      <c r="A190" s="62" t="s">
        <v>82</v>
      </c>
      <c r="B190" s="59">
        <f>IFERROR(__xludf.DUMMYFUNCTION("GOOGLEFINANCE(A190,""price"")"),434.15)</f>
        <v>434.15</v>
      </c>
      <c r="C190" s="60">
        <f>IFERROR(__xludf.DUMMYFUNCTION("MAX(QUERY(SORT(GOOGLEFINANCE(A190,""high"",TODAY()-100,TODAY()),1,0),""select Col2 limit 55""))"),445.15)</f>
        <v>445.15</v>
      </c>
      <c r="D190" s="32">
        <f>IFERROR(__xludf.DUMMYFUNCTION("GOOGLEFINANCE(A190,""high52"")"),445.15)</f>
        <v>445.15</v>
      </c>
      <c r="E190" s="33">
        <f>IFERROR(__xludf.DUMMYFUNCTION("to_date(index(sort(GOOGLEFINANCE(A190, ""high"", today()-52*7, today(), ""DAILY""),2,0),2,1))"),46139.64583333333)</f>
        <v>46139.64583</v>
      </c>
      <c r="F190" s="32">
        <f>IFERROR(__xludf.DUMMYFUNCTION("GOOGLEFINANCE(A190,""low52"")"),176.34)</f>
        <v>176.34</v>
      </c>
      <c r="G190" s="33">
        <f>IFERROR(__xludf.DUMMYFUNCTION("to_date(index(sort(GOOGLEFINANCE(A190, ""low"", today()-52*7, today(), ""DAILY""),2,1),1,1))"),45810.64583333333)</f>
        <v>45810.64583</v>
      </c>
      <c r="H190" s="61">
        <f>IFERROR(__xludf.DUMMYFUNCTION("MIN(QUERY(SORT(GOOGLEFINANCE(A190,""low"",TODAY()-40,TODAY()),1,0),""select Col2 limit 20""))"),388.6)</f>
        <v>388.6</v>
      </c>
      <c r="I190" s="61">
        <f t="shared" si="1"/>
        <v>2.533686514</v>
      </c>
      <c r="J190" s="35" t="str">
        <f t="shared" si="2"/>
        <v>No need to fresh start</v>
      </c>
    </row>
    <row r="191">
      <c r="A191" s="62" t="s">
        <v>290</v>
      </c>
      <c r="B191" s="59">
        <f>IFERROR(__xludf.DUMMYFUNCTION("GOOGLEFINANCE(A191,""price"")"),1607.1)</f>
        <v>1607.1</v>
      </c>
      <c r="C191" s="60">
        <f>IFERROR(__xludf.DUMMYFUNCTION("MAX(QUERY(SORT(GOOGLEFINANCE(A191,""high"",TODAY()-100,TODAY()),1,0),""select Col2 limit 55""))"),1719.9)</f>
        <v>1719.9</v>
      </c>
      <c r="D191" s="32">
        <f>IFERROR(__xludf.DUMMYFUNCTION("GOOGLEFINANCE(A191,""high52"")"),1770.0)</f>
        <v>1770</v>
      </c>
      <c r="E191" s="33">
        <f>IFERROR(__xludf.DUMMYFUNCTION("to_date(index(sort(GOOGLEFINANCE(A191, ""high"", today()-52*7, today(), ""DAILY""),2,0),2,1))"),45919.64583333333)</f>
        <v>45919.64583</v>
      </c>
      <c r="F191" s="32">
        <f>IFERROR(__xludf.DUMMYFUNCTION("GOOGLEFINANCE(A191,""low52"")"),1272.6)</f>
        <v>1272.6</v>
      </c>
      <c r="G191" s="33">
        <f>IFERROR(__xludf.DUMMYFUNCTION("to_date(index(sort(GOOGLEFINANCE(A191, ""low"", today()-52*7, today(), ""DAILY""),2,1),1,1))"),46104.64583333333)</f>
        <v>46104.64583</v>
      </c>
      <c r="H191" s="61">
        <f>IFERROR(__xludf.DUMMYFUNCTION("MIN(QUERY(SORT(GOOGLEFINANCE(A191,""low"",TODAY()-40,TODAY()),1,0),""select Col2 limit 20""))"),1363.0)</f>
        <v>1363</v>
      </c>
      <c r="I191" s="61">
        <f t="shared" si="1"/>
        <v>7.018853836</v>
      </c>
      <c r="J191" s="35" t="str">
        <f t="shared" si="2"/>
        <v>No need to fresh start</v>
      </c>
    </row>
    <row r="192">
      <c r="A192" s="62" t="s">
        <v>291</v>
      </c>
      <c r="B192" s="59" t="str">
        <f>IFERROR(__xludf.DUMMYFUNCTION("GOOGLEFINANCE(A192,""price"")"),"#N/A")</f>
        <v>#N/A</v>
      </c>
      <c r="C192" s="60" t="str">
        <f>IFERROR(__xludf.DUMMYFUNCTION("MAX(QUERY(SORT(GOOGLEFINANCE(A192,""high"",TODAY()-100,TODAY()),1,0),""select Col2 limit 55""))"),"#N/A")</f>
        <v>#N/A</v>
      </c>
      <c r="D192" s="32" t="str">
        <f>IFERROR(__xludf.DUMMYFUNCTION("GOOGLEFINANCE(A192,""high52"")"),"#N/A")</f>
        <v>#N/A</v>
      </c>
      <c r="E192" s="33" t="str">
        <f>IFERROR(__xludf.DUMMYFUNCTION("to_date(index(sort(GOOGLEFINANCE(A192, ""high"", today()-52*7, today(), ""DAILY""),2,0),2,1))"),"#N/A")</f>
        <v>#N/A</v>
      </c>
      <c r="F192" s="32" t="str">
        <f>IFERROR(__xludf.DUMMYFUNCTION("GOOGLEFINANCE(A192,""low52"")"),"#N/A")</f>
        <v>#N/A</v>
      </c>
      <c r="G192" s="33" t="str">
        <f>IFERROR(__xludf.DUMMYFUNCTION("to_date(index(sort(GOOGLEFINANCE(A192, ""low"", today()-52*7, today(), ""DAILY""),2,1),1,1))"),"#N/A")</f>
        <v>#N/A</v>
      </c>
      <c r="H192" s="61" t="str">
        <f>IFERROR(__xludf.DUMMYFUNCTION("MIN(QUERY(SORT(GOOGLEFINANCE(A192,""low"",TODAY()-40,TODAY()),1,0),""select Col2 limit 20""))"),"#N/A")</f>
        <v>#N/A</v>
      </c>
      <c r="I192" s="61" t="str">
        <f t="shared" si="1"/>
        <v>#N/A</v>
      </c>
      <c r="J192" s="35" t="str">
        <f t="shared" si="2"/>
        <v>#N/A</v>
      </c>
    </row>
    <row r="193">
      <c r="A193" s="62" t="s">
        <v>292</v>
      </c>
      <c r="B193" s="59">
        <f>IFERROR(__xludf.DUMMYFUNCTION("GOOGLEFINANCE(A193,""price"")"),1795.6)</f>
        <v>1795.6</v>
      </c>
      <c r="C193" s="60">
        <f>IFERROR(__xludf.DUMMYFUNCTION("MAX(QUERY(SORT(GOOGLEFINANCE(A193,""high"",TODAY()-100,TODAY()),1,0),""select Col2 limit 55""))"),2007.6)</f>
        <v>2007.6</v>
      </c>
      <c r="D193" s="32">
        <f>IFERROR(__xludf.DUMMYFUNCTION("GOOGLEFINANCE(A193,""high52"")"),2496.3)</f>
        <v>2496.3</v>
      </c>
      <c r="E193" s="33">
        <f>IFERROR(__xludf.DUMMYFUNCTION("to_date(index(sort(GOOGLEFINANCE(A193, ""high"", today()-52*7, today(), ""DAILY""),2,0),2,1))"),45917.64583333333)</f>
        <v>45917.64583</v>
      </c>
      <c r="F193" s="32">
        <f>IFERROR(__xludf.DUMMYFUNCTION("GOOGLEFINANCE(A193,""low52"")"),1675.1)</f>
        <v>1675.1</v>
      </c>
      <c r="G193" s="33">
        <f>IFERROR(__xludf.DUMMYFUNCTION("to_date(index(sort(GOOGLEFINANCE(A193, ""low"", today()-52*7, today(), ""DAILY""),2,1),1,1))"),46160.64583333333)</f>
        <v>46160.64583</v>
      </c>
      <c r="H193" s="61">
        <f>IFERROR(__xludf.DUMMYFUNCTION("MIN(QUERY(SORT(GOOGLEFINANCE(A193,""low"",TODAY()-40,TODAY()),1,0),""select Col2 limit 20""))"),1675.1)</f>
        <v>1675.1</v>
      </c>
      <c r="I193" s="61">
        <f t="shared" si="1"/>
        <v>11.80663845</v>
      </c>
      <c r="J193" s="35" t="str">
        <f t="shared" si="2"/>
        <v>Start GTT Order</v>
      </c>
    </row>
    <row r="194">
      <c r="A194" s="62" t="s">
        <v>293</v>
      </c>
      <c r="B194" s="59">
        <f>IFERROR(__xludf.DUMMYFUNCTION("GOOGLEFINANCE(A194,""price"")"),3444.7)</f>
        <v>3444.7</v>
      </c>
      <c r="C194" s="60">
        <f>IFERROR(__xludf.DUMMYFUNCTION("MAX(QUERY(SORT(GOOGLEFINANCE(A194,""high"",TODAY()-100,TODAY()),1,0),""select Col2 limit 55""))"),3907.2)</f>
        <v>3907.2</v>
      </c>
      <c r="D194" s="32">
        <f>IFERROR(__xludf.DUMMYFUNCTION("GOOGLEFINANCE(A194,""high52"")"),3970.0)</f>
        <v>3970</v>
      </c>
      <c r="E194" s="33">
        <f>IFERROR(__xludf.DUMMYFUNCTION("to_date(index(sort(GOOGLEFINANCE(A194, ""high"", today()-52*7, today(), ""DAILY""),2,0),2,1))"),46079.64583333333)</f>
        <v>46079.64583</v>
      </c>
      <c r="F194" s="32">
        <f>IFERROR(__xludf.DUMMYFUNCTION("GOOGLEFINANCE(A194,""low52"")"),2655.1)</f>
        <v>2655.1</v>
      </c>
      <c r="G194" s="33">
        <f>IFERROR(__xludf.DUMMYFUNCTION("to_date(index(sort(GOOGLEFINANCE(A194, ""low"", today()-52*7, today(), ""DAILY""),2,1),1,1))"),45821.64583333333)</f>
        <v>45821.64583</v>
      </c>
      <c r="H194" s="61">
        <f>IFERROR(__xludf.DUMMYFUNCTION("MIN(QUERY(SORT(GOOGLEFINANCE(A194,""low"",TODAY()-40,TODAY()),1,0),""select Col2 limit 20""))"),3228.0)</f>
        <v>3228</v>
      </c>
      <c r="I194" s="61">
        <f t="shared" si="1"/>
        <v>13.4264232</v>
      </c>
      <c r="J194" s="35" t="str">
        <f t="shared" si="2"/>
        <v>No need to fresh start</v>
      </c>
    </row>
    <row r="195">
      <c r="A195" s="62" t="s">
        <v>294</v>
      </c>
      <c r="B195" s="59">
        <f>IFERROR(__xludf.DUMMYFUNCTION("GOOGLEFINANCE(A195,""price"")"),113.02)</f>
        <v>113.02</v>
      </c>
      <c r="C195" s="60">
        <f>IFERROR(__xludf.DUMMYFUNCTION("MAX(QUERY(SORT(GOOGLEFINANCE(A195,""high"",TODAY()-100,TODAY()),1,0),""select Col2 limit 55""))"),129.29)</f>
        <v>129.29</v>
      </c>
      <c r="D195" s="32">
        <f>IFERROR(__xludf.DUMMYFUNCTION("GOOGLEFINANCE(A195,""high52"")"),130.7)</f>
        <v>130.7</v>
      </c>
      <c r="E195" s="33">
        <f>IFERROR(__xludf.DUMMYFUNCTION("to_date(index(sort(GOOGLEFINANCE(A195, ""high"", today()-52*7, today(), ""DAILY""),2,0),2,1))"),46071.64583333333)</f>
        <v>46071.64583</v>
      </c>
      <c r="F195" s="32">
        <f>IFERROR(__xludf.DUMMYFUNCTION("GOOGLEFINANCE(A195,""low52"")"),91.78)</f>
        <v>91.78</v>
      </c>
      <c r="G195" s="33">
        <f>IFERROR(__xludf.DUMMYFUNCTION("to_date(index(sort(GOOGLEFINANCE(A195, ""low"", today()-52*7, today(), ""DAILY""),2,1),1,1))"),45880.64583333333)</f>
        <v>45880.64583</v>
      </c>
      <c r="H195" s="61">
        <f>IFERROR(__xludf.DUMMYFUNCTION("MIN(QUERY(SORT(GOOGLEFINANCE(A195,""low"",TODAY()-40,TODAY()),1,0),""select Col2 limit 20""))"),107.27)</f>
        <v>107.27</v>
      </c>
      <c r="I195" s="61">
        <f t="shared" si="1"/>
        <v>14.39568218</v>
      </c>
      <c r="J195" s="35" t="str">
        <f t="shared" si="2"/>
        <v>No need to fresh start</v>
      </c>
    </row>
    <row r="196">
      <c r="A196" s="62" t="s">
        <v>295</v>
      </c>
      <c r="B196" s="59">
        <f>IFERROR(__xludf.DUMMYFUNCTION("GOOGLEFINANCE(A196,""price"")"),586.25)</f>
        <v>586.25</v>
      </c>
      <c r="C196" s="60">
        <f>IFERROR(__xludf.DUMMYFUNCTION("MAX(QUERY(SORT(GOOGLEFINANCE(A196,""high"",TODAY()-100,TODAY()),1,0),""select Col2 limit 55""))"),630.0)</f>
        <v>630</v>
      </c>
      <c r="D196" s="32">
        <f>IFERROR(__xludf.DUMMYFUNCTION("GOOGLEFINANCE(A196,""high52"")"),876.35)</f>
        <v>876.35</v>
      </c>
      <c r="E196" s="33">
        <f>IFERROR(__xludf.DUMMYFUNCTION("to_date(index(sort(GOOGLEFINANCE(A196, ""high"", today()-52*7, today(), ""DAILY""),2,0),2,1))"),45862.64583333333)</f>
        <v>45862.64583</v>
      </c>
      <c r="F196" s="32">
        <f>IFERROR(__xludf.DUMMYFUNCTION("GOOGLEFINANCE(A196,""low52"")"),506.1)</f>
        <v>506.1</v>
      </c>
      <c r="G196" s="33">
        <f>IFERROR(__xludf.DUMMYFUNCTION("to_date(index(sort(GOOGLEFINANCE(A196, ""low"", today()-52*7, today(), ""DAILY""),2,1),1,1))"),46049.64583333333)</f>
        <v>46049.64583</v>
      </c>
      <c r="H196" s="61">
        <f>IFERROR(__xludf.DUMMYFUNCTION("MIN(QUERY(SORT(GOOGLEFINANCE(A196,""low"",TODAY()-40,TODAY()),1,0),""select Col2 limit 20""))"),560.0)</f>
        <v>560</v>
      </c>
      <c r="I196" s="61">
        <f t="shared" si="1"/>
        <v>7.462686567</v>
      </c>
      <c r="J196" s="35" t="str">
        <f t="shared" si="2"/>
        <v>No need to fresh start</v>
      </c>
    </row>
    <row r="197">
      <c r="A197" s="62" t="s">
        <v>127</v>
      </c>
      <c r="B197" s="59" t="str">
        <f>IFERROR(__xludf.DUMMYFUNCTION("GOOGLEFINANCE(A197,""price"")"),"#N/A")</f>
        <v>#N/A</v>
      </c>
      <c r="C197" s="60" t="str">
        <f>IFERROR(__xludf.DUMMYFUNCTION("MAX(QUERY(SORT(GOOGLEFINANCE(A197,""high"",TODAY()-100,TODAY()),1,0),""select Col2 limit 55""))"),"#N/A")</f>
        <v>#N/A</v>
      </c>
      <c r="D197" s="32" t="str">
        <f>IFERROR(__xludf.DUMMYFUNCTION("GOOGLEFINANCE(A197,""high52"")"),"#N/A")</f>
        <v>#N/A</v>
      </c>
      <c r="E197" s="33" t="str">
        <f>IFERROR(__xludf.DUMMYFUNCTION("to_date(index(sort(GOOGLEFINANCE(A197, ""high"", today()-52*7, today(), ""DAILY""),2,0),2,1))"),"#N/A")</f>
        <v>#N/A</v>
      </c>
      <c r="F197" s="32" t="str">
        <f>IFERROR(__xludf.DUMMYFUNCTION("GOOGLEFINANCE(A197,""low52"")"),"#N/A")</f>
        <v>#N/A</v>
      </c>
      <c r="G197" s="33" t="str">
        <f>IFERROR(__xludf.DUMMYFUNCTION("to_date(index(sort(GOOGLEFINANCE(A197, ""low"", today()-52*7, today(), ""DAILY""),2,1),1,1))"),"#N/A")</f>
        <v>#N/A</v>
      </c>
      <c r="H197" s="61" t="str">
        <f>IFERROR(__xludf.DUMMYFUNCTION("MIN(QUERY(SORT(GOOGLEFINANCE(A197,""low"",TODAY()-40,TODAY()),1,0),""select Col2 limit 20""))"),"#N/A")</f>
        <v>#N/A</v>
      </c>
      <c r="I197" s="61" t="str">
        <f t="shared" si="1"/>
        <v>#N/A</v>
      </c>
      <c r="J197" s="35" t="str">
        <f t="shared" si="2"/>
        <v>#N/A</v>
      </c>
    </row>
    <row r="198">
      <c r="A198" s="62" t="s">
        <v>296</v>
      </c>
      <c r="B198" s="59">
        <f>IFERROR(__xludf.DUMMYFUNCTION("GOOGLEFINANCE(A198,""price"")"),545.0)</f>
        <v>545</v>
      </c>
      <c r="C198" s="60">
        <f>IFERROR(__xludf.DUMMYFUNCTION("MAX(QUERY(SORT(GOOGLEFINANCE(A198,""high"",TODAY()-100,TODAY()),1,0),""select Col2 limit 55""))"),598.2)</f>
        <v>598.2</v>
      </c>
      <c r="D198" s="32">
        <f>IFERROR(__xludf.DUMMYFUNCTION("GOOGLEFINANCE(A198,""high52"")"),646.5)</f>
        <v>646.5</v>
      </c>
      <c r="E198" s="33">
        <f>IFERROR(__xludf.DUMMYFUNCTION("to_date(index(sort(GOOGLEFINANCE(A198, ""high"", today()-52*7, today(), ""DAILY""),2,0),2,1))"),45856.64583333333)</f>
        <v>45856.64583</v>
      </c>
      <c r="F198" s="32">
        <f>IFERROR(__xludf.DUMMYFUNCTION("GOOGLEFINANCE(A198,""low52"")"),458.9)</f>
        <v>458.9</v>
      </c>
      <c r="G198" s="33">
        <f>IFERROR(__xludf.DUMMYFUNCTION("to_date(index(sort(GOOGLEFINANCE(A198, ""low"", today()-52*7, today(), ""DAILY""),2,1),1,1))"),46104.64583333333)</f>
        <v>46104.64583</v>
      </c>
      <c r="H198" s="61">
        <f>IFERROR(__xludf.DUMMYFUNCTION("MIN(QUERY(SORT(GOOGLEFINANCE(A198,""low"",TODAY()-40,TODAY()),1,0),""select Col2 limit 20""))"),533.75)</f>
        <v>533.75</v>
      </c>
      <c r="I198" s="61">
        <f t="shared" si="1"/>
        <v>9.76146789</v>
      </c>
      <c r="J198" s="35" t="str">
        <f t="shared" si="2"/>
        <v>No need to fresh start</v>
      </c>
    </row>
    <row r="199">
      <c r="A199" s="62" t="s">
        <v>297</v>
      </c>
      <c r="B199" s="59">
        <f>IFERROR(__xludf.DUMMYFUNCTION("GOOGLEFINANCE(A199,""price"")"),315.2)</f>
        <v>315.2</v>
      </c>
      <c r="C199" s="60">
        <f>IFERROR(__xludf.DUMMYFUNCTION("MAX(QUERY(SORT(GOOGLEFINANCE(A199,""high"",TODAY()-100,TODAY()),1,0),""select Col2 limit 55""))"),341.95)</f>
        <v>341.95</v>
      </c>
      <c r="D199" s="32">
        <f>IFERROR(__xludf.DUMMYFUNCTION("GOOGLEFINANCE(A199,""high52"")"),409.75)</f>
        <v>409.75</v>
      </c>
      <c r="E199" s="33">
        <f>IFERROR(__xludf.DUMMYFUNCTION("to_date(index(sort(GOOGLEFINANCE(A199, ""high"", today()-52*7, today(), ""DAILY""),2,0),2,1))"),45862.64583333333)</f>
        <v>45862.64583</v>
      </c>
      <c r="F199" s="32">
        <f>IFERROR(__xludf.DUMMYFUNCTION("GOOGLEFINANCE(A199,""low52"")"),290.0)</f>
        <v>290</v>
      </c>
      <c r="G199" s="33">
        <f>IFERROR(__xludf.DUMMYFUNCTION("to_date(index(sort(GOOGLEFINANCE(A199, ""low"", today()-52*7, today(), ""DAILY""),2,1),1,1))"),46083.64583333333)</f>
        <v>46083.64583</v>
      </c>
      <c r="H199" s="61">
        <f>IFERROR(__xludf.DUMMYFUNCTION("MIN(QUERY(SORT(GOOGLEFINANCE(A199,""low"",TODAY()-40,TODAY()),1,0),""select Col2 limit 20""))"),303.3)</f>
        <v>303.3</v>
      </c>
      <c r="I199" s="61">
        <f t="shared" si="1"/>
        <v>8.486675127</v>
      </c>
      <c r="J199" s="35" t="str">
        <f t="shared" si="2"/>
        <v>No need to fresh start</v>
      </c>
    </row>
    <row r="200">
      <c r="A200" s="62" t="s">
        <v>124</v>
      </c>
      <c r="B200" s="59">
        <f>IFERROR(__xludf.DUMMYFUNCTION("GOOGLEFINANCE(A200,""price"")"),206.9)</f>
        <v>206.9</v>
      </c>
      <c r="C200" s="60">
        <f>IFERROR(__xludf.DUMMYFUNCTION("MAX(QUERY(SORT(GOOGLEFINANCE(A200,""high"",TODAY()-100,TODAY()),1,0),""select Col2 limit 55""))"),212.66)</f>
        <v>212.66</v>
      </c>
      <c r="D200" s="32">
        <f>IFERROR(__xludf.DUMMYFUNCTION("GOOGLEFINANCE(A200,""high52"")"),212.66)</f>
        <v>212.66</v>
      </c>
      <c r="E200" s="33">
        <f>IFERROR(__xludf.DUMMYFUNCTION("to_date(index(sort(GOOGLEFINANCE(A200, ""high"", today()-52*7, today(), ""DAILY""),2,0),2,1))"),46146.64583333333)</f>
        <v>46146.64583</v>
      </c>
      <c r="F200" s="32">
        <f>IFERROR(__xludf.DUMMYFUNCTION("GOOGLEFINANCE(A200,""low52"")"),134.25)</f>
        <v>134.25</v>
      </c>
      <c r="G200" s="33">
        <f>IFERROR(__xludf.DUMMYFUNCTION("to_date(index(sort(GOOGLEFINANCE(A200, ""low"", today()-52*7, today(), ""DAILY""),2,1),1,1))"),46000.64583333333)</f>
        <v>46000.64583</v>
      </c>
      <c r="H200" s="61">
        <f>IFERROR(__xludf.DUMMYFUNCTION("MIN(QUERY(SORT(GOOGLEFINANCE(A200,""low"",TODAY()-40,TODAY()),1,0),""select Col2 limit 20""))"),177.7)</f>
        <v>177.7</v>
      </c>
      <c r="I200" s="61">
        <f t="shared" si="1"/>
        <v>2.783953601</v>
      </c>
      <c r="J200" s="35" t="str">
        <f t="shared" si="2"/>
        <v>No need to fresh start</v>
      </c>
    </row>
    <row r="201">
      <c r="A201" s="64" t="s">
        <v>298</v>
      </c>
      <c r="C201" s="36"/>
    </row>
    <row r="202">
      <c r="C202" s="36"/>
    </row>
    <row r="203">
      <c r="C203" s="36"/>
    </row>
    <row r="204">
      <c r="C204" s="36"/>
    </row>
    <row r="205">
      <c r="C205" s="36"/>
    </row>
    <row r="206">
      <c r="C206" s="36"/>
    </row>
    <row r="207">
      <c r="C207" s="36"/>
    </row>
    <row r="208">
      <c r="C208" s="36"/>
    </row>
    <row r="209">
      <c r="C209" s="36"/>
    </row>
    <row r="210">
      <c r="C210" s="36"/>
    </row>
    <row r="211">
      <c r="C211" s="36"/>
    </row>
    <row r="212">
      <c r="C212" s="36"/>
    </row>
    <row r="213">
      <c r="C213" s="36"/>
    </row>
    <row r="214">
      <c r="C214" s="36"/>
    </row>
    <row r="215">
      <c r="C215" s="36"/>
    </row>
    <row r="216">
      <c r="C216" s="36"/>
    </row>
    <row r="217">
      <c r="C217" s="36"/>
    </row>
    <row r="218">
      <c r="C218" s="36"/>
    </row>
    <row r="219">
      <c r="C219" s="36"/>
    </row>
    <row r="220">
      <c r="C220" s="36"/>
    </row>
    <row r="221">
      <c r="C221" s="36"/>
    </row>
    <row r="222">
      <c r="C222" s="36"/>
    </row>
    <row r="223">
      <c r="C223" s="36"/>
    </row>
    <row r="224">
      <c r="C224" s="36"/>
    </row>
    <row r="225">
      <c r="C225" s="36"/>
    </row>
    <row r="226">
      <c r="C226" s="36"/>
    </row>
    <row r="227">
      <c r="C227" s="36"/>
    </row>
    <row r="228">
      <c r="C228" s="36"/>
    </row>
    <row r="229">
      <c r="C229" s="36"/>
    </row>
    <row r="230">
      <c r="C230" s="36"/>
    </row>
    <row r="231">
      <c r="C231" s="36"/>
    </row>
    <row r="232">
      <c r="C232" s="36"/>
    </row>
    <row r="233">
      <c r="C233" s="36"/>
    </row>
    <row r="234">
      <c r="C234" s="36"/>
    </row>
    <row r="235">
      <c r="C235" s="36"/>
    </row>
    <row r="236">
      <c r="C236" s="36"/>
    </row>
    <row r="237">
      <c r="C237" s="36"/>
    </row>
    <row r="238">
      <c r="C238" s="36"/>
    </row>
    <row r="239">
      <c r="C239" s="36"/>
    </row>
    <row r="240">
      <c r="C240" s="36"/>
    </row>
    <row r="241">
      <c r="C241" s="36"/>
    </row>
    <row r="242">
      <c r="C242" s="36"/>
    </row>
    <row r="243">
      <c r="C243" s="36"/>
    </row>
    <row r="244">
      <c r="C244" s="36"/>
    </row>
    <row r="245">
      <c r="C245" s="36"/>
    </row>
    <row r="246">
      <c r="C246" s="36"/>
    </row>
    <row r="247">
      <c r="C247" s="36"/>
    </row>
    <row r="248">
      <c r="C248" s="36"/>
    </row>
    <row r="249">
      <c r="C249" s="36"/>
    </row>
    <row r="250">
      <c r="C250" s="36"/>
    </row>
    <row r="251">
      <c r="C251" s="36"/>
    </row>
    <row r="252">
      <c r="C252" s="36"/>
    </row>
    <row r="253">
      <c r="C253" s="36"/>
    </row>
    <row r="254">
      <c r="C254" s="36"/>
    </row>
    <row r="255">
      <c r="C255" s="36"/>
    </row>
    <row r="256">
      <c r="C256" s="36"/>
    </row>
    <row r="257">
      <c r="C257" s="36"/>
    </row>
    <row r="258">
      <c r="C258" s="36"/>
    </row>
    <row r="259">
      <c r="C259" s="36"/>
    </row>
    <row r="260">
      <c r="C260" s="36"/>
    </row>
    <row r="261">
      <c r="C261" s="36"/>
    </row>
    <row r="262">
      <c r="C262" s="36"/>
    </row>
    <row r="263">
      <c r="C263" s="36"/>
    </row>
    <row r="264">
      <c r="C264" s="36"/>
    </row>
    <row r="265">
      <c r="C265" s="36"/>
    </row>
    <row r="266">
      <c r="C266" s="36"/>
    </row>
    <row r="267">
      <c r="C267" s="36"/>
    </row>
    <row r="268">
      <c r="C268" s="36"/>
    </row>
    <row r="269">
      <c r="C269" s="36"/>
    </row>
    <row r="270">
      <c r="C270" s="36"/>
    </row>
    <row r="271">
      <c r="C271" s="36"/>
    </row>
    <row r="272">
      <c r="C272" s="36"/>
    </row>
    <row r="273">
      <c r="C273" s="36"/>
    </row>
    <row r="274">
      <c r="C274" s="36"/>
    </row>
    <row r="275">
      <c r="C275" s="36"/>
    </row>
    <row r="276">
      <c r="C276" s="36"/>
    </row>
    <row r="277">
      <c r="C277" s="36"/>
    </row>
    <row r="278">
      <c r="C278" s="36"/>
    </row>
    <row r="279">
      <c r="C279" s="36"/>
    </row>
    <row r="280">
      <c r="C280" s="36"/>
    </row>
    <row r="281">
      <c r="C281" s="36"/>
    </row>
    <row r="282">
      <c r="C282" s="36"/>
    </row>
    <row r="283">
      <c r="C283" s="36"/>
    </row>
    <row r="284">
      <c r="C284" s="36"/>
    </row>
    <row r="285">
      <c r="C285" s="36"/>
    </row>
    <row r="286">
      <c r="C286" s="36"/>
    </row>
    <row r="287">
      <c r="C287" s="36"/>
    </row>
    <row r="288">
      <c r="C288" s="36"/>
    </row>
    <row r="289">
      <c r="C289" s="36"/>
    </row>
    <row r="290">
      <c r="C290" s="36"/>
    </row>
    <row r="291">
      <c r="C291" s="36"/>
    </row>
    <row r="292">
      <c r="C292" s="36"/>
    </row>
    <row r="293">
      <c r="C293" s="36"/>
    </row>
    <row r="294">
      <c r="C294" s="36"/>
    </row>
    <row r="295">
      <c r="C295" s="36"/>
    </row>
    <row r="296">
      <c r="C296" s="36"/>
    </row>
    <row r="297">
      <c r="C297" s="36"/>
    </row>
    <row r="298">
      <c r="C298" s="36"/>
    </row>
    <row r="299">
      <c r="C299" s="36"/>
    </row>
    <row r="300">
      <c r="C300" s="36"/>
    </row>
    <row r="301">
      <c r="C301" s="36"/>
    </row>
    <row r="302">
      <c r="C302" s="36"/>
    </row>
    <row r="303">
      <c r="C303" s="36"/>
    </row>
    <row r="304">
      <c r="C304" s="36"/>
    </row>
    <row r="305">
      <c r="C305" s="36"/>
    </row>
    <row r="306">
      <c r="C306" s="36"/>
    </row>
    <row r="307">
      <c r="C307" s="36"/>
    </row>
    <row r="308">
      <c r="C308" s="36"/>
    </row>
    <row r="309">
      <c r="C309" s="36"/>
    </row>
    <row r="310">
      <c r="C310" s="36"/>
    </row>
    <row r="311">
      <c r="C311" s="36"/>
    </row>
    <row r="312">
      <c r="C312" s="36"/>
    </row>
    <row r="313">
      <c r="C313" s="36"/>
    </row>
    <row r="314">
      <c r="C314" s="36"/>
    </row>
    <row r="315">
      <c r="C315" s="36"/>
    </row>
    <row r="316">
      <c r="C316" s="36"/>
    </row>
    <row r="317">
      <c r="C317" s="36"/>
    </row>
    <row r="318">
      <c r="C318" s="36"/>
    </row>
    <row r="319">
      <c r="C319" s="36"/>
    </row>
    <row r="320">
      <c r="C320" s="36"/>
    </row>
    <row r="321">
      <c r="C321" s="36"/>
    </row>
    <row r="322">
      <c r="C322" s="36"/>
    </row>
    <row r="323">
      <c r="C323" s="36"/>
    </row>
    <row r="324">
      <c r="C324" s="36"/>
    </row>
    <row r="325">
      <c r="C325" s="36"/>
    </row>
    <row r="326">
      <c r="C326" s="36"/>
    </row>
    <row r="327">
      <c r="C327" s="36"/>
    </row>
    <row r="328">
      <c r="C328" s="36"/>
    </row>
    <row r="329">
      <c r="C329" s="36"/>
    </row>
    <row r="330">
      <c r="C330" s="36"/>
    </row>
    <row r="331">
      <c r="C331" s="36"/>
    </row>
    <row r="332">
      <c r="C332" s="36"/>
    </row>
    <row r="333">
      <c r="C333" s="36"/>
    </row>
    <row r="334">
      <c r="C334" s="36"/>
    </row>
    <row r="335">
      <c r="C335" s="36"/>
    </row>
    <row r="336">
      <c r="C336" s="36"/>
    </row>
    <row r="337">
      <c r="C337" s="36"/>
    </row>
    <row r="338">
      <c r="C338" s="36"/>
    </row>
    <row r="339">
      <c r="C339" s="36"/>
    </row>
    <row r="340">
      <c r="C340" s="36"/>
    </row>
    <row r="341">
      <c r="C341" s="36"/>
    </row>
    <row r="342">
      <c r="C342" s="36"/>
    </row>
    <row r="343">
      <c r="C343" s="36"/>
    </row>
    <row r="344">
      <c r="C344" s="36"/>
    </row>
    <row r="345">
      <c r="C345" s="36"/>
    </row>
    <row r="346">
      <c r="C346" s="36"/>
    </row>
    <row r="347">
      <c r="C347" s="36"/>
    </row>
    <row r="348">
      <c r="C348" s="36"/>
    </row>
    <row r="349">
      <c r="C349" s="36"/>
    </row>
    <row r="350">
      <c r="C350" s="36"/>
    </row>
    <row r="351">
      <c r="C351" s="36"/>
    </row>
    <row r="352">
      <c r="C352" s="36"/>
    </row>
    <row r="353">
      <c r="C353" s="36"/>
    </row>
    <row r="354">
      <c r="C354" s="36"/>
    </row>
    <row r="355">
      <c r="C355" s="36"/>
    </row>
    <row r="356">
      <c r="C356" s="36"/>
    </row>
    <row r="357">
      <c r="C357" s="36"/>
    </row>
    <row r="358">
      <c r="C358" s="36"/>
    </row>
    <row r="359">
      <c r="C359" s="36"/>
    </row>
    <row r="360">
      <c r="C360" s="36"/>
    </row>
    <row r="361">
      <c r="C361" s="36"/>
    </row>
    <row r="362">
      <c r="C362" s="36"/>
    </row>
    <row r="363">
      <c r="C363" s="36"/>
    </row>
    <row r="364">
      <c r="C364" s="36"/>
    </row>
    <row r="365">
      <c r="C365" s="36"/>
    </row>
    <row r="366">
      <c r="C366" s="36"/>
    </row>
    <row r="367">
      <c r="C367" s="36"/>
    </row>
    <row r="368">
      <c r="C368" s="36"/>
    </row>
    <row r="369">
      <c r="C369" s="36"/>
    </row>
    <row r="370">
      <c r="C370" s="36"/>
    </row>
    <row r="371">
      <c r="C371" s="36"/>
    </row>
    <row r="372">
      <c r="C372" s="36"/>
    </row>
    <row r="373">
      <c r="C373" s="36"/>
    </row>
    <row r="374">
      <c r="C374" s="36"/>
    </row>
    <row r="375">
      <c r="C375" s="36"/>
    </row>
    <row r="376">
      <c r="C376" s="36"/>
    </row>
    <row r="377">
      <c r="C377" s="36"/>
    </row>
    <row r="378">
      <c r="C378" s="36"/>
    </row>
    <row r="379">
      <c r="C379" s="36"/>
    </row>
    <row r="380">
      <c r="C380" s="36"/>
    </row>
    <row r="381">
      <c r="C381" s="36"/>
    </row>
    <row r="382">
      <c r="C382" s="36"/>
    </row>
    <row r="383">
      <c r="C383" s="36"/>
    </row>
    <row r="384">
      <c r="C384" s="36"/>
    </row>
    <row r="385">
      <c r="C385" s="36"/>
    </row>
    <row r="386">
      <c r="C386" s="36"/>
    </row>
    <row r="387">
      <c r="C387" s="36"/>
    </row>
    <row r="388">
      <c r="C388" s="36"/>
    </row>
    <row r="389">
      <c r="C389" s="36"/>
    </row>
    <row r="390">
      <c r="C390" s="36"/>
    </row>
    <row r="391">
      <c r="C391" s="36"/>
    </row>
    <row r="392">
      <c r="C392" s="36"/>
    </row>
    <row r="393">
      <c r="C393" s="36"/>
    </row>
    <row r="394">
      <c r="C394" s="36"/>
    </row>
    <row r="395">
      <c r="C395" s="36"/>
    </row>
    <row r="396">
      <c r="C396" s="36"/>
    </row>
    <row r="397">
      <c r="C397" s="36"/>
    </row>
    <row r="398">
      <c r="C398" s="36"/>
    </row>
    <row r="399">
      <c r="C399" s="36"/>
    </row>
    <row r="400">
      <c r="C400" s="36"/>
    </row>
    <row r="401">
      <c r="C401" s="36"/>
    </row>
    <row r="402">
      <c r="C402" s="36"/>
    </row>
    <row r="403">
      <c r="C403" s="36"/>
    </row>
    <row r="404">
      <c r="C404" s="36"/>
    </row>
    <row r="405">
      <c r="C405" s="36"/>
    </row>
    <row r="406">
      <c r="C406" s="36"/>
    </row>
    <row r="407">
      <c r="C407" s="36"/>
    </row>
    <row r="408">
      <c r="C408" s="36"/>
    </row>
    <row r="409">
      <c r="C409" s="36"/>
    </row>
    <row r="410">
      <c r="C410" s="36"/>
    </row>
    <row r="411">
      <c r="C411" s="36"/>
    </row>
    <row r="412">
      <c r="C412" s="36"/>
    </row>
    <row r="413">
      <c r="C413" s="36"/>
    </row>
    <row r="414">
      <c r="C414" s="36"/>
    </row>
    <row r="415">
      <c r="C415" s="36"/>
    </row>
    <row r="416">
      <c r="C416" s="36"/>
    </row>
    <row r="417">
      <c r="C417" s="36"/>
    </row>
    <row r="418">
      <c r="C418" s="36"/>
    </row>
    <row r="419">
      <c r="C419" s="36"/>
    </row>
    <row r="420">
      <c r="C420" s="36"/>
    </row>
    <row r="421">
      <c r="C421" s="36"/>
    </row>
    <row r="422">
      <c r="C422" s="36"/>
    </row>
    <row r="423">
      <c r="C423" s="36"/>
    </row>
    <row r="424">
      <c r="C424" s="36"/>
    </row>
    <row r="425">
      <c r="C425" s="36"/>
    </row>
    <row r="426">
      <c r="C426" s="36"/>
    </row>
    <row r="427">
      <c r="C427" s="36"/>
    </row>
    <row r="428">
      <c r="C428" s="36"/>
    </row>
    <row r="429">
      <c r="C429" s="36"/>
    </row>
    <row r="430">
      <c r="C430" s="36"/>
    </row>
    <row r="431">
      <c r="C431" s="36"/>
    </row>
    <row r="432">
      <c r="C432" s="36"/>
    </row>
    <row r="433">
      <c r="C433" s="36"/>
    </row>
    <row r="434">
      <c r="C434" s="36"/>
    </row>
    <row r="435">
      <c r="C435" s="36"/>
    </row>
    <row r="436">
      <c r="C436" s="36"/>
    </row>
    <row r="437">
      <c r="C437" s="36"/>
    </row>
    <row r="438">
      <c r="C438" s="36"/>
    </row>
    <row r="439">
      <c r="C439" s="36"/>
    </row>
    <row r="440">
      <c r="C440" s="36"/>
    </row>
    <row r="441">
      <c r="C441" s="36"/>
    </row>
    <row r="442">
      <c r="C442" s="36"/>
    </row>
    <row r="443">
      <c r="C443" s="36"/>
    </row>
    <row r="444">
      <c r="C444" s="36"/>
    </row>
    <row r="445">
      <c r="C445" s="36"/>
    </row>
    <row r="446">
      <c r="C446" s="36"/>
    </row>
    <row r="447">
      <c r="C447" s="36"/>
    </row>
    <row r="448">
      <c r="C448" s="36"/>
    </row>
    <row r="449">
      <c r="C449" s="36"/>
    </row>
    <row r="450">
      <c r="C450" s="36"/>
    </row>
    <row r="451">
      <c r="C451" s="36"/>
    </row>
    <row r="452">
      <c r="C452" s="36"/>
    </row>
    <row r="453">
      <c r="C453" s="36"/>
    </row>
    <row r="454">
      <c r="C454" s="36"/>
    </row>
    <row r="455">
      <c r="C455" s="36"/>
    </row>
    <row r="456">
      <c r="C456" s="36"/>
    </row>
    <row r="457">
      <c r="C457" s="36"/>
    </row>
    <row r="458">
      <c r="C458" s="36"/>
    </row>
    <row r="459">
      <c r="C459" s="36"/>
    </row>
    <row r="460">
      <c r="C460" s="36"/>
    </row>
    <row r="461">
      <c r="C461" s="36"/>
    </row>
    <row r="462">
      <c r="C462" s="36"/>
    </row>
    <row r="463">
      <c r="C463" s="36"/>
    </row>
    <row r="464">
      <c r="C464" s="36"/>
    </row>
    <row r="465">
      <c r="C465" s="36"/>
    </row>
    <row r="466">
      <c r="C466" s="36"/>
    </row>
    <row r="467">
      <c r="C467" s="36"/>
    </row>
    <row r="468">
      <c r="C468" s="36"/>
    </row>
    <row r="469">
      <c r="C469" s="36"/>
    </row>
    <row r="470">
      <c r="C470" s="36"/>
    </row>
    <row r="471">
      <c r="C471" s="36"/>
    </row>
    <row r="472">
      <c r="C472" s="36"/>
    </row>
    <row r="473">
      <c r="C473" s="36"/>
    </row>
    <row r="474">
      <c r="C474" s="36"/>
    </row>
    <row r="475">
      <c r="C475" s="36"/>
    </row>
    <row r="476">
      <c r="C476" s="36"/>
    </row>
    <row r="477">
      <c r="C477" s="36"/>
    </row>
    <row r="478">
      <c r="C478" s="36"/>
    </row>
    <row r="479">
      <c r="C479" s="36"/>
    </row>
    <row r="480">
      <c r="C480" s="36"/>
    </row>
    <row r="481">
      <c r="C481" s="36"/>
    </row>
    <row r="482">
      <c r="C482" s="36"/>
    </row>
    <row r="483">
      <c r="C483" s="36"/>
    </row>
    <row r="484">
      <c r="C484" s="36"/>
    </row>
    <row r="485">
      <c r="C485" s="36"/>
    </row>
    <row r="486">
      <c r="C486" s="36"/>
    </row>
    <row r="487">
      <c r="C487" s="36"/>
    </row>
    <row r="488">
      <c r="C488" s="36"/>
    </row>
    <row r="489">
      <c r="C489" s="36"/>
    </row>
    <row r="490">
      <c r="C490" s="36"/>
    </row>
    <row r="491">
      <c r="C491" s="36"/>
    </row>
    <row r="492">
      <c r="C492" s="36"/>
    </row>
    <row r="493">
      <c r="C493" s="36"/>
    </row>
    <row r="494">
      <c r="C494" s="36"/>
    </row>
    <row r="495">
      <c r="C495" s="36"/>
    </row>
    <row r="496">
      <c r="C496" s="36"/>
    </row>
    <row r="497">
      <c r="C497" s="36"/>
    </row>
    <row r="498">
      <c r="C498" s="36"/>
    </row>
    <row r="499">
      <c r="C499" s="36"/>
    </row>
    <row r="500">
      <c r="C500" s="36"/>
    </row>
    <row r="501">
      <c r="C501" s="36"/>
    </row>
    <row r="502">
      <c r="C502" s="36"/>
    </row>
    <row r="503">
      <c r="C503" s="36"/>
    </row>
    <row r="504">
      <c r="C504" s="36"/>
    </row>
    <row r="505">
      <c r="C505" s="36"/>
    </row>
    <row r="506">
      <c r="C506" s="36"/>
    </row>
    <row r="507">
      <c r="C507" s="36"/>
    </row>
    <row r="508">
      <c r="C508" s="36"/>
    </row>
    <row r="509">
      <c r="C509" s="36"/>
    </row>
    <row r="510">
      <c r="C510" s="36"/>
    </row>
    <row r="511">
      <c r="C511" s="36"/>
    </row>
    <row r="512">
      <c r="C512" s="36"/>
    </row>
    <row r="513">
      <c r="C513" s="36"/>
    </row>
    <row r="514">
      <c r="C514" s="36"/>
    </row>
    <row r="515">
      <c r="C515" s="36"/>
    </row>
    <row r="516">
      <c r="C516" s="36"/>
    </row>
    <row r="517">
      <c r="C517" s="36"/>
    </row>
    <row r="518">
      <c r="C518" s="36"/>
    </row>
    <row r="519">
      <c r="C519" s="36"/>
    </row>
    <row r="520">
      <c r="C520" s="36"/>
    </row>
    <row r="521">
      <c r="C521" s="36"/>
    </row>
    <row r="522">
      <c r="C522" s="36"/>
    </row>
    <row r="523">
      <c r="C523" s="36"/>
    </row>
    <row r="524">
      <c r="C524" s="36"/>
    </row>
    <row r="525">
      <c r="C525" s="36"/>
    </row>
    <row r="526">
      <c r="C526" s="36"/>
    </row>
    <row r="527">
      <c r="C527" s="36"/>
    </row>
    <row r="528">
      <c r="C528" s="36"/>
    </row>
    <row r="529">
      <c r="C529" s="36"/>
    </row>
    <row r="530">
      <c r="C530" s="36"/>
    </row>
    <row r="531">
      <c r="C531" s="36"/>
    </row>
    <row r="532">
      <c r="C532" s="36"/>
    </row>
    <row r="533">
      <c r="C533" s="36"/>
    </row>
    <row r="534">
      <c r="C534" s="36"/>
    </row>
    <row r="535">
      <c r="C535" s="36"/>
    </row>
    <row r="536">
      <c r="C536" s="36"/>
    </row>
    <row r="537">
      <c r="C537" s="36"/>
    </row>
    <row r="538">
      <c r="C538" s="36"/>
    </row>
    <row r="539">
      <c r="C539" s="36"/>
    </row>
    <row r="540">
      <c r="C540" s="36"/>
    </row>
    <row r="541">
      <c r="C541" s="36"/>
    </row>
    <row r="542">
      <c r="C542" s="36"/>
    </row>
    <row r="543">
      <c r="C543" s="36"/>
    </row>
    <row r="544">
      <c r="C544" s="36"/>
    </row>
    <row r="545">
      <c r="C545" s="36"/>
    </row>
    <row r="546">
      <c r="C546" s="36"/>
    </row>
    <row r="547">
      <c r="C547" s="36"/>
    </row>
    <row r="548">
      <c r="C548" s="36"/>
    </row>
    <row r="549">
      <c r="C549" s="36"/>
    </row>
    <row r="550">
      <c r="C550" s="36"/>
    </row>
    <row r="551">
      <c r="C551" s="36"/>
    </row>
    <row r="552">
      <c r="C552" s="36"/>
    </row>
    <row r="553">
      <c r="C553" s="36"/>
    </row>
    <row r="554">
      <c r="C554" s="36"/>
    </row>
    <row r="555">
      <c r="C555" s="36"/>
    </row>
    <row r="556">
      <c r="C556" s="36"/>
    </row>
    <row r="557">
      <c r="C557" s="36"/>
    </row>
    <row r="558">
      <c r="C558" s="36"/>
    </row>
    <row r="559">
      <c r="C559" s="36"/>
    </row>
    <row r="560">
      <c r="C560" s="36"/>
    </row>
    <row r="561">
      <c r="C561" s="36"/>
    </row>
    <row r="562">
      <c r="C562" s="36"/>
    </row>
    <row r="563">
      <c r="C563" s="36"/>
    </row>
    <row r="564">
      <c r="C564" s="36"/>
    </row>
    <row r="565">
      <c r="C565" s="36"/>
    </row>
    <row r="566">
      <c r="C566" s="36"/>
    </row>
    <row r="567">
      <c r="C567" s="36"/>
    </row>
    <row r="568">
      <c r="C568" s="36"/>
    </row>
    <row r="569">
      <c r="C569" s="36"/>
    </row>
    <row r="570">
      <c r="C570" s="36"/>
    </row>
    <row r="571">
      <c r="C571" s="36"/>
    </row>
    <row r="572">
      <c r="C572" s="36"/>
    </row>
    <row r="573">
      <c r="C573" s="36"/>
    </row>
    <row r="574">
      <c r="C574" s="36"/>
    </row>
    <row r="575">
      <c r="C575" s="36"/>
    </row>
    <row r="576">
      <c r="C576" s="36"/>
    </row>
    <row r="577">
      <c r="C577" s="36"/>
    </row>
    <row r="578">
      <c r="C578" s="36"/>
    </row>
    <row r="579">
      <c r="C579" s="36"/>
    </row>
    <row r="580">
      <c r="C580" s="36"/>
    </row>
    <row r="581">
      <c r="C581" s="36"/>
    </row>
    <row r="582">
      <c r="C582" s="36"/>
    </row>
    <row r="583">
      <c r="C583" s="36"/>
    </row>
    <row r="584">
      <c r="C584" s="36"/>
    </row>
    <row r="585">
      <c r="C585" s="36"/>
    </row>
    <row r="586">
      <c r="C586" s="36"/>
    </row>
    <row r="587">
      <c r="C587" s="36"/>
    </row>
    <row r="588">
      <c r="C588" s="36"/>
    </row>
    <row r="589">
      <c r="C589" s="36"/>
    </row>
    <row r="590">
      <c r="C590" s="36"/>
    </row>
    <row r="591">
      <c r="C591" s="36"/>
    </row>
    <row r="592">
      <c r="C592" s="36"/>
    </row>
    <row r="593">
      <c r="C593" s="36"/>
    </row>
    <row r="594">
      <c r="C594" s="36"/>
    </row>
    <row r="595">
      <c r="C595" s="36"/>
    </row>
    <row r="596">
      <c r="C596" s="36"/>
    </row>
    <row r="597">
      <c r="C597" s="36"/>
    </row>
    <row r="598">
      <c r="C598" s="36"/>
    </row>
    <row r="599">
      <c r="C599" s="36"/>
    </row>
    <row r="600">
      <c r="C600" s="36"/>
    </row>
    <row r="601">
      <c r="C601" s="36"/>
    </row>
    <row r="602">
      <c r="C602" s="36"/>
    </row>
    <row r="603">
      <c r="C603" s="36"/>
    </row>
    <row r="604">
      <c r="C604" s="36"/>
    </row>
    <row r="605">
      <c r="C605" s="36"/>
    </row>
    <row r="606">
      <c r="C606" s="36"/>
    </row>
    <row r="607">
      <c r="C607" s="36"/>
    </row>
    <row r="608">
      <c r="C608" s="36"/>
    </row>
    <row r="609">
      <c r="C609" s="36"/>
    </row>
    <row r="610">
      <c r="C610" s="36"/>
    </row>
    <row r="611">
      <c r="C611" s="36"/>
    </row>
    <row r="612">
      <c r="C612" s="36"/>
    </row>
    <row r="613">
      <c r="C613" s="36"/>
    </row>
    <row r="614">
      <c r="C614" s="36"/>
    </row>
    <row r="615">
      <c r="C615" s="36"/>
    </row>
    <row r="616">
      <c r="C616" s="36"/>
    </row>
    <row r="617">
      <c r="C617" s="36"/>
    </row>
    <row r="618">
      <c r="C618" s="36"/>
    </row>
    <row r="619">
      <c r="C619" s="36"/>
    </row>
    <row r="620">
      <c r="C620" s="36"/>
    </row>
    <row r="621">
      <c r="C621" s="36"/>
    </row>
    <row r="622">
      <c r="C622" s="36"/>
    </row>
    <row r="623">
      <c r="C623" s="36"/>
    </row>
    <row r="624">
      <c r="C624" s="36"/>
    </row>
    <row r="625">
      <c r="C625" s="36"/>
    </row>
    <row r="626">
      <c r="C626" s="36"/>
    </row>
    <row r="627">
      <c r="C627" s="36"/>
    </row>
    <row r="628">
      <c r="C628" s="36"/>
    </row>
    <row r="629">
      <c r="C629" s="36"/>
    </row>
    <row r="630">
      <c r="C630" s="36"/>
    </row>
    <row r="631">
      <c r="C631" s="36"/>
    </row>
    <row r="632">
      <c r="C632" s="36"/>
    </row>
    <row r="633">
      <c r="C633" s="36"/>
    </row>
    <row r="634">
      <c r="C634" s="36"/>
    </row>
    <row r="635">
      <c r="C635" s="36"/>
    </row>
    <row r="636">
      <c r="C636" s="36"/>
    </row>
    <row r="637">
      <c r="C637" s="36"/>
    </row>
    <row r="638">
      <c r="C638" s="36"/>
    </row>
    <row r="639">
      <c r="C639" s="36"/>
    </row>
    <row r="640">
      <c r="C640" s="36"/>
    </row>
    <row r="641">
      <c r="C641" s="36"/>
    </row>
    <row r="642">
      <c r="C642" s="36"/>
    </row>
    <row r="643">
      <c r="C643" s="36"/>
    </row>
    <row r="644">
      <c r="C644" s="36"/>
    </row>
    <row r="645">
      <c r="C645" s="36"/>
    </row>
    <row r="646">
      <c r="C646" s="36"/>
    </row>
    <row r="647">
      <c r="C647" s="36"/>
    </row>
    <row r="648">
      <c r="C648" s="36"/>
    </row>
    <row r="649">
      <c r="C649" s="36"/>
    </row>
    <row r="650">
      <c r="C650" s="36"/>
    </row>
    <row r="651">
      <c r="C651" s="36"/>
    </row>
    <row r="652">
      <c r="C652" s="36"/>
    </row>
    <row r="653">
      <c r="C653" s="36"/>
    </row>
    <row r="654">
      <c r="C654" s="36"/>
    </row>
    <row r="655">
      <c r="C655" s="36"/>
    </row>
    <row r="656">
      <c r="C656" s="36"/>
    </row>
    <row r="657">
      <c r="C657" s="36"/>
    </row>
    <row r="658">
      <c r="C658" s="36"/>
    </row>
    <row r="659">
      <c r="C659" s="36"/>
    </row>
    <row r="660">
      <c r="C660" s="36"/>
    </row>
    <row r="661">
      <c r="C661" s="36"/>
    </row>
    <row r="662">
      <c r="C662" s="36"/>
    </row>
    <row r="663">
      <c r="C663" s="36"/>
    </row>
    <row r="664">
      <c r="C664" s="36"/>
    </row>
    <row r="665">
      <c r="C665" s="36"/>
    </row>
    <row r="666">
      <c r="C666" s="36"/>
    </row>
    <row r="667">
      <c r="C667" s="36"/>
    </row>
    <row r="668">
      <c r="C668" s="36"/>
    </row>
    <row r="669">
      <c r="C669" s="36"/>
    </row>
    <row r="670">
      <c r="C670" s="36"/>
    </row>
    <row r="671">
      <c r="C671" s="36"/>
    </row>
    <row r="672">
      <c r="C672" s="36"/>
    </row>
    <row r="673">
      <c r="C673" s="36"/>
    </row>
    <row r="674">
      <c r="C674" s="36"/>
    </row>
    <row r="675">
      <c r="C675" s="36"/>
    </row>
    <row r="676">
      <c r="C676" s="36"/>
    </row>
    <row r="677">
      <c r="C677" s="36"/>
    </row>
    <row r="678">
      <c r="C678" s="36"/>
    </row>
    <row r="679">
      <c r="C679" s="36"/>
    </row>
    <row r="680">
      <c r="C680" s="36"/>
    </row>
    <row r="681">
      <c r="C681" s="36"/>
    </row>
    <row r="682">
      <c r="C682" s="36"/>
    </row>
    <row r="683">
      <c r="C683" s="36"/>
    </row>
    <row r="684">
      <c r="C684" s="36"/>
    </row>
    <row r="685">
      <c r="C685" s="36"/>
    </row>
    <row r="686">
      <c r="C686" s="36"/>
    </row>
    <row r="687">
      <c r="C687" s="36"/>
    </row>
    <row r="688">
      <c r="C688" s="36"/>
    </row>
    <row r="689">
      <c r="C689" s="36"/>
    </row>
    <row r="690">
      <c r="C690" s="36"/>
    </row>
    <row r="691">
      <c r="C691" s="36"/>
    </row>
    <row r="692">
      <c r="C692" s="36"/>
    </row>
    <row r="693">
      <c r="C693" s="36"/>
    </row>
    <row r="694">
      <c r="C694" s="36"/>
    </row>
    <row r="695">
      <c r="C695" s="36"/>
    </row>
    <row r="696">
      <c r="C696" s="36"/>
    </row>
    <row r="697">
      <c r="C697" s="36"/>
    </row>
    <row r="698">
      <c r="C698" s="36"/>
    </row>
    <row r="699">
      <c r="C699" s="36"/>
    </row>
    <row r="700">
      <c r="C700" s="36"/>
    </row>
    <row r="701">
      <c r="C701" s="36"/>
    </row>
    <row r="702">
      <c r="C702" s="36"/>
    </row>
    <row r="703">
      <c r="C703" s="36"/>
    </row>
    <row r="704">
      <c r="C704" s="36"/>
    </row>
    <row r="705">
      <c r="C705" s="36"/>
    </row>
    <row r="706">
      <c r="C706" s="36"/>
    </row>
    <row r="707">
      <c r="C707" s="36"/>
    </row>
    <row r="708">
      <c r="C708" s="36"/>
    </row>
    <row r="709">
      <c r="C709" s="36"/>
    </row>
    <row r="710">
      <c r="C710" s="36"/>
    </row>
    <row r="711">
      <c r="C711" s="36"/>
    </row>
    <row r="712">
      <c r="C712" s="36"/>
    </row>
    <row r="713">
      <c r="C713" s="36"/>
    </row>
    <row r="714">
      <c r="C714" s="36"/>
    </row>
    <row r="715">
      <c r="C715" s="36"/>
    </row>
    <row r="716">
      <c r="C716" s="36"/>
    </row>
    <row r="717">
      <c r="C717" s="36"/>
    </row>
    <row r="718">
      <c r="C718" s="36"/>
    </row>
    <row r="719">
      <c r="C719" s="36"/>
    </row>
    <row r="720">
      <c r="C720" s="36"/>
    </row>
    <row r="721">
      <c r="C721" s="36"/>
    </row>
    <row r="722">
      <c r="C722" s="36"/>
    </row>
    <row r="723">
      <c r="C723" s="36"/>
    </row>
    <row r="724">
      <c r="C724" s="36"/>
    </row>
    <row r="725">
      <c r="C725" s="36"/>
    </row>
    <row r="726">
      <c r="C726" s="36"/>
    </row>
    <row r="727">
      <c r="C727" s="36"/>
    </row>
    <row r="728">
      <c r="C728" s="36"/>
    </row>
    <row r="729">
      <c r="C729" s="36"/>
    </row>
    <row r="730">
      <c r="C730" s="36"/>
    </row>
    <row r="731">
      <c r="C731" s="36"/>
    </row>
    <row r="732">
      <c r="C732" s="36"/>
    </row>
    <row r="733">
      <c r="C733" s="36"/>
    </row>
    <row r="734">
      <c r="C734" s="36"/>
    </row>
    <row r="735">
      <c r="C735" s="36"/>
    </row>
    <row r="736">
      <c r="C736" s="36"/>
    </row>
    <row r="737">
      <c r="C737" s="36"/>
    </row>
    <row r="738">
      <c r="C738" s="36"/>
    </row>
    <row r="739">
      <c r="C739" s="36"/>
    </row>
    <row r="740">
      <c r="C740" s="36"/>
    </row>
    <row r="741">
      <c r="C741" s="36"/>
    </row>
    <row r="742">
      <c r="C742" s="36"/>
    </row>
    <row r="743">
      <c r="C743" s="36"/>
    </row>
    <row r="744">
      <c r="C744" s="36"/>
    </row>
    <row r="745">
      <c r="C745" s="36"/>
    </row>
    <row r="746">
      <c r="C746" s="36"/>
    </row>
    <row r="747">
      <c r="C747" s="36"/>
    </row>
    <row r="748">
      <c r="C748" s="36"/>
    </row>
    <row r="749">
      <c r="C749" s="36"/>
    </row>
    <row r="750">
      <c r="C750" s="36"/>
    </row>
    <row r="751">
      <c r="C751" s="36"/>
    </row>
    <row r="752">
      <c r="C752" s="36"/>
    </row>
    <row r="753">
      <c r="C753" s="36"/>
    </row>
    <row r="754">
      <c r="C754" s="36"/>
    </row>
    <row r="755">
      <c r="C755" s="36"/>
    </row>
    <row r="756">
      <c r="C756" s="36"/>
    </row>
    <row r="757">
      <c r="C757" s="36"/>
    </row>
    <row r="758">
      <c r="C758" s="36"/>
    </row>
    <row r="759">
      <c r="C759" s="36"/>
    </row>
    <row r="760">
      <c r="C760" s="36"/>
    </row>
    <row r="761">
      <c r="C761" s="36"/>
    </row>
    <row r="762">
      <c r="C762" s="36"/>
    </row>
    <row r="763">
      <c r="C763" s="36"/>
    </row>
    <row r="764">
      <c r="C764" s="36"/>
    </row>
    <row r="765">
      <c r="C765" s="36"/>
    </row>
    <row r="766">
      <c r="C766" s="36"/>
    </row>
    <row r="767">
      <c r="C767" s="36"/>
    </row>
    <row r="768">
      <c r="C768" s="36"/>
    </row>
    <row r="769">
      <c r="C769" s="36"/>
    </row>
    <row r="770">
      <c r="C770" s="36"/>
    </row>
    <row r="771">
      <c r="C771" s="36"/>
    </row>
    <row r="772">
      <c r="C772" s="36"/>
    </row>
    <row r="773">
      <c r="C773" s="36"/>
    </row>
    <row r="774">
      <c r="C774" s="36"/>
    </row>
    <row r="775">
      <c r="C775" s="36"/>
    </row>
    <row r="776">
      <c r="C776" s="36"/>
    </row>
    <row r="777">
      <c r="C777" s="36"/>
    </row>
    <row r="778">
      <c r="C778" s="36"/>
    </row>
    <row r="779">
      <c r="C779" s="36"/>
    </row>
    <row r="780">
      <c r="C780" s="36"/>
    </row>
    <row r="781">
      <c r="C781" s="36"/>
    </row>
    <row r="782">
      <c r="C782" s="36"/>
    </row>
    <row r="783">
      <c r="C783" s="36"/>
    </row>
    <row r="784">
      <c r="C784" s="36"/>
    </row>
    <row r="785">
      <c r="C785" s="36"/>
    </row>
    <row r="786">
      <c r="C786" s="36"/>
    </row>
    <row r="787">
      <c r="C787" s="36"/>
    </row>
    <row r="788">
      <c r="C788" s="36"/>
    </row>
    <row r="789">
      <c r="C789" s="36"/>
    </row>
    <row r="790">
      <c r="C790" s="36"/>
    </row>
    <row r="791">
      <c r="C791" s="36"/>
    </row>
    <row r="792">
      <c r="C792" s="36"/>
    </row>
    <row r="793">
      <c r="C793" s="36"/>
    </row>
    <row r="794">
      <c r="C794" s="36"/>
    </row>
    <row r="795">
      <c r="C795" s="36"/>
    </row>
    <row r="796">
      <c r="C796" s="36"/>
    </row>
    <row r="797">
      <c r="C797" s="36"/>
    </row>
    <row r="798">
      <c r="C798" s="36"/>
    </row>
    <row r="799">
      <c r="C799" s="36"/>
    </row>
    <row r="800">
      <c r="C800" s="36"/>
    </row>
    <row r="801">
      <c r="C801" s="36"/>
    </row>
    <row r="802">
      <c r="C802" s="36"/>
    </row>
    <row r="803">
      <c r="C803" s="36"/>
    </row>
    <row r="804">
      <c r="C804" s="36"/>
    </row>
    <row r="805">
      <c r="C805" s="36"/>
    </row>
    <row r="806">
      <c r="C806" s="36"/>
    </row>
    <row r="807">
      <c r="C807" s="36"/>
    </row>
    <row r="808">
      <c r="C808" s="36"/>
    </row>
    <row r="809">
      <c r="C809" s="36"/>
    </row>
    <row r="810">
      <c r="C810" s="36"/>
    </row>
    <row r="811">
      <c r="C811" s="36"/>
    </row>
    <row r="812">
      <c r="C812" s="36"/>
    </row>
    <row r="813">
      <c r="C813" s="36"/>
    </row>
    <row r="814">
      <c r="C814" s="36"/>
    </row>
    <row r="815">
      <c r="C815" s="36"/>
    </row>
    <row r="816">
      <c r="C816" s="36"/>
    </row>
    <row r="817">
      <c r="C817" s="36"/>
    </row>
    <row r="818">
      <c r="C818" s="36"/>
    </row>
    <row r="819">
      <c r="C819" s="36"/>
    </row>
    <row r="820">
      <c r="C820" s="36"/>
    </row>
    <row r="821">
      <c r="C821" s="36"/>
    </row>
    <row r="822">
      <c r="C822" s="36"/>
    </row>
    <row r="823">
      <c r="C823" s="36"/>
    </row>
    <row r="824">
      <c r="C824" s="36"/>
    </row>
    <row r="825">
      <c r="C825" s="36"/>
    </row>
    <row r="826">
      <c r="C826" s="36"/>
    </row>
    <row r="827">
      <c r="C827" s="36"/>
    </row>
    <row r="828">
      <c r="C828" s="36"/>
    </row>
    <row r="829">
      <c r="C829" s="36"/>
    </row>
    <row r="830">
      <c r="C830" s="36"/>
    </row>
    <row r="831">
      <c r="C831" s="36"/>
    </row>
    <row r="832">
      <c r="C832" s="36"/>
    </row>
    <row r="833">
      <c r="C833" s="36"/>
    </row>
    <row r="834">
      <c r="C834" s="36"/>
    </row>
    <row r="835">
      <c r="C835" s="36"/>
    </row>
    <row r="836">
      <c r="C836" s="36"/>
    </row>
    <row r="837">
      <c r="C837" s="36"/>
    </row>
    <row r="838">
      <c r="C838" s="36"/>
    </row>
    <row r="839">
      <c r="C839" s="36"/>
    </row>
    <row r="840">
      <c r="C840" s="36"/>
    </row>
    <row r="841">
      <c r="C841" s="36"/>
    </row>
    <row r="842">
      <c r="C842" s="36"/>
    </row>
    <row r="843">
      <c r="C843" s="36"/>
    </row>
    <row r="844">
      <c r="C844" s="36"/>
    </row>
    <row r="845">
      <c r="C845" s="36"/>
    </row>
    <row r="846">
      <c r="C846" s="36"/>
    </row>
    <row r="847">
      <c r="C847" s="36"/>
    </row>
    <row r="848">
      <c r="C848" s="36"/>
    </row>
    <row r="849">
      <c r="C849" s="36"/>
    </row>
    <row r="850">
      <c r="C850" s="36"/>
    </row>
    <row r="851">
      <c r="C851" s="36"/>
    </row>
    <row r="852">
      <c r="C852" s="36"/>
    </row>
    <row r="853">
      <c r="C853" s="36"/>
    </row>
    <row r="854">
      <c r="C854" s="36"/>
    </row>
    <row r="855">
      <c r="C855" s="36"/>
    </row>
    <row r="856">
      <c r="C856" s="36"/>
    </row>
    <row r="857">
      <c r="C857" s="36"/>
    </row>
    <row r="858">
      <c r="C858" s="36"/>
    </row>
    <row r="859">
      <c r="C859" s="36"/>
    </row>
    <row r="860">
      <c r="C860" s="36"/>
    </row>
    <row r="861">
      <c r="C861" s="36"/>
    </row>
    <row r="862">
      <c r="C862" s="36"/>
    </row>
    <row r="863">
      <c r="C863" s="36"/>
    </row>
    <row r="864">
      <c r="C864" s="36"/>
    </row>
    <row r="865">
      <c r="C865" s="36"/>
    </row>
    <row r="866">
      <c r="C866" s="36"/>
    </row>
    <row r="867">
      <c r="C867" s="36"/>
    </row>
    <row r="868">
      <c r="C868" s="36"/>
    </row>
    <row r="869">
      <c r="C869" s="36"/>
    </row>
    <row r="870">
      <c r="C870" s="36"/>
    </row>
    <row r="871">
      <c r="C871" s="36"/>
    </row>
    <row r="872">
      <c r="C872" s="36"/>
    </row>
    <row r="873">
      <c r="C873" s="36"/>
    </row>
    <row r="874">
      <c r="C874" s="36"/>
    </row>
    <row r="875">
      <c r="C875" s="36"/>
    </row>
    <row r="876">
      <c r="C876" s="36"/>
    </row>
    <row r="877">
      <c r="C877" s="36"/>
    </row>
    <row r="878">
      <c r="C878" s="36"/>
    </row>
    <row r="879">
      <c r="C879" s="36"/>
    </row>
    <row r="880">
      <c r="C880" s="36"/>
    </row>
    <row r="881">
      <c r="C881" s="36"/>
    </row>
    <row r="882">
      <c r="C882" s="36"/>
    </row>
    <row r="883">
      <c r="C883" s="36"/>
    </row>
    <row r="884">
      <c r="C884" s="36"/>
    </row>
    <row r="885">
      <c r="C885" s="36"/>
    </row>
    <row r="886">
      <c r="C886" s="36"/>
    </row>
    <row r="887">
      <c r="C887" s="36"/>
    </row>
    <row r="888">
      <c r="C888" s="36"/>
    </row>
    <row r="889">
      <c r="C889" s="36"/>
    </row>
    <row r="890">
      <c r="C890" s="36"/>
    </row>
    <row r="891">
      <c r="C891" s="36"/>
    </row>
    <row r="892">
      <c r="C892" s="36"/>
    </row>
    <row r="893">
      <c r="C893" s="36"/>
    </row>
    <row r="894">
      <c r="C894" s="36"/>
    </row>
    <row r="895">
      <c r="C895" s="36"/>
    </row>
    <row r="896">
      <c r="C896" s="36"/>
    </row>
    <row r="897">
      <c r="C897" s="36"/>
    </row>
    <row r="898">
      <c r="C898" s="36"/>
    </row>
    <row r="899">
      <c r="C899" s="36"/>
    </row>
    <row r="900">
      <c r="C900" s="36"/>
    </row>
    <row r="901">
      <c r="C901" s="36"/>
    </row>
    <row r="902">
      <c r="C902" s="36"/>
    </row>
    <row r="903">
      <c r="C903" s="36"/>
    </row>
    <row r="904">
      <c r="C904" s="36"/>
    </row>
    <row r="905">
      <c r="C905" s="36"/>
    </row>
    <row r="906">
      <c r="C906" s="36"/>
    </row>
    <row r="907">
      <c r="C907" s="36"/>
    </row>
    <row r="908">
      <c r="C908" s="36"/>
    </row>
    <row r="909">
      <c r="C909" s="36"/>
    </row>
    <row r="910">
      <c r="C910" s="36"/>
    </row>
    <row r="911">
      <c r="C911" s="36"/>
    </row>
    <row r="912">
      <c r="C912" s="36"/>
    </row>
    <row r="913">
      <c r="C913" s="36"/>
    </row>
    <row r="914">
      <c r="C914" s="36"/>
    </row>
    <row r="915">
      <c r="C915" s="36"/>
    </row>
    <row r="916">
      <c r="C916" s="36"/>
    </row>
    <row r="917">
      <c r="C917" s="36"/>
    </row>
    <row r="918">
      <c r="C918" s="36"/>
    </row>
    <row r="919">
      <c r="C919" s="36"/>
    </row>
    <row r="920">
      <c r="C920" s="36"/>
    </row>
    <row r="921">
      <c r="C921" s="36"/>
    </row>
    <row r="922">
      <c r="C922" s="36"/>
    </row>
    <row r="923">
      <c r="C923" s="36"/>
    </row>
    <row r="924">
      <c r="C924" s="36"/>
    </row>
    <row r="925">
      <c r="C925" s="36"/>
    </row>
    <row r="926">
      <c r="C926" s="36"/>
    </row>
    <row r="927">
      <c r="C927" s="36"/>
    </row>
    <row r="928">
      <c r="C928" s="36"/>
    </row>
    <row r="929">
      <c r="C929" s="36"/>
    </row>
    <row r="930">
      <c r="C930" s="36"/>
    </row>
    <row r="931">
      <c r="C931" s="36"/>
    </row>
    <row r="932">
      <c r="C932" s="36"/>
    </row>
    <row r="933">
      <c r="C933" s="36"/>
    </row>
    <row r="934">
      <c r="C934" s="36"/>
    </row>
    <row r="935">
      <c r="C935" s="36"/>
    </row>
    <row r="936">
      <c r="C936" s="36"/>
    </row>
    <row r="937">
      <c r="C937" s="36"/>
    </row>
    <row r="938">
      <c r="C938" s="36"/>
    </row>
    <row r="939">
      <c r="C939" s="36"/>
    </row>
    <row r="940">
      <c r="C940" s="36"/>
    </row>
    <row r="941">
      <c r="C941" s="36"/>
    </row>
    <row r="942">
      <c r="C942" s="36"/>
    </row>
    <row r="943">
      <c r="C943" s="36"/>
    </row>
    <row r="944">
      <c r="C944" s="36"/>
    </row>
    <row r="945">
      <c r="C945" s="36"/>
    </row>
    <row r="946">
      <c r="C946" s="36"/>
    </row>
    <row r="947">
      <c r="C947" s="36"/>
    </row>
    <row r="948">
      <c r="C948" s="36"/>
    </row>
    <row r="949">
      <c r="C949" s="36"/>
    </row>
    <row r="950">
      <c r="C950" s="36"/>
    </row>
    <row r="951">
      <c r="C951" s="36"/>
    </row>
    <row r="952">
      <c r="C952" s="36"/>
    </row>
    <row r="953">
      <c r="C953" s="36"/>
    </row>
    <row r="954">
      <c r="C954" s="36"/>
    </row>
    <row r="955">
      <c r="C955" s="36"/>
    </row>
    <row r="956">
      <c r="C956" s="36"/>
    </row>
    <row r="957">
      <c r="C957" s="36"/>
    </row>
    <row r="958">
      <c r="C958" s="36"/>
    </row>
    <row r="959">
      <c r="C959" s="36"/>
    </row>
    <row r="960">
      <c r="C960" s="36"/>
    </row>
    <row r="961">
      <c r="C961" s="36"/>
    </row>
    <row r="962">
      <c r="C962" s="36"/>
    </row>
    <row r="963">
      <c r="C963" s="36"/>
    </row>
    <row r="964">
      <c r="C964" s="36"/>
    </row>
    <row r="965">
      <c r="C965" s="36"/>
    </row>
    <row r="966">
      <c r="C966" s="36"/>
    </row>
    <row r="967">
      <c r="C967" s="36"/>
    </row>
    <row r="968">
      <c r="C968" s="36"/>
    </row>
    <row r="969">
      <c r="C969" s="36"/>
    </row>
    <row r="970">
      <c r="C970" s="36"/>
    </row>
    <row r="971">
      <c r="C971" s="36"/>
    </row>
    <row r="972">
      <c r="C972" s="36"/>
    </row>
    <row r="973">
      <c r="C973" s="36"/>
    </row>
    <row r="974">
      <c r="C974" s="36"/>
    </row>
    <row r="975">
      <c r="C975" s="36"/>
    </row>
    <row r="976">
      <c r="C976" s="36"/>
    </row>
    <row r="977">
      <c r="C977" s="36"/>
    </row>
    <row r="978">
      <c r="C978" s="36"/>
    </row>
    <row r="979">
      <c r="C979" s="36"/>
    </row>
    <row r="980">
      <c r="C980" s="36"/>
    </row>
    <row r="981">
      <c r="C981" s="36"/>
    </row>
    <row r="982">
      <c r="C982" s="36"/>
    </row>
    <row r="983">
      <c r="C983" s="36"/>
    </row>
    <row r="984">
      <c r="C984" s="36"/>
    </row>
    <row r="985">
      <c r="C985" s="36"/>
    </row>
    <row r="986">
      <c r="C986" s="36"/>
    </row>
    <row r="987">
      <c r="C987" s="36"/>
    </row>
    <row r="988">
      <c r="C988" s="36"/>
    </row>
    <row r="989">
      <c r="C989" s="36"/>
    </row>
    <row r="990">
      <c r="C990" s="36"/>
    </row>
    <row r="991">
      <c r="C991" s="36"/>
    </row>
    <row r="992">
      <c r="C992" s="36"/>
    </row>
    <row r="993">
      <c r="C993" s="36"/>
    </row>
    <row r="994">
      <c r="C994" s="36"/>
    </row>
    <row r="995">
      <c r="C995" s="36"/>
    </row>
    <row r="996">
      <c r="C996" s="36"/>
    </row>
    <row r="997">
      <c r="C997" s="36"/>
    </row>
    <row r="998">
      <c r="C998" s="36"/>
    </row>
    <row r="999">
      <c r="C999" s="36"/>
    </row>
    <row r="1000">
      <c r="C1000" s="36"/>
    </row>
  </sheetData>
  <conditionalFormatting sqref="J2:J200">
    <cfRule type="cellIs" dxfId="0" priority="1" operator="equal">
      <formula>"Start GTT Order"</formula>
    </cfRule>
  </conditionalFormatting>
  <conditionalFormatting sqref="J1:J200">
    <cfRule type="cellIs" dxfId="0" priority="2" operator="equal">
      <formula>"Update GTT Order"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6.5"/>
    <col customWidth="1" min="9" max="9" width="18.75"/>
    <col customWidth="1" min="10" max="10" width="24.88"/>
  </cols>
  <sheetData>
    <row r="1">
      <c r="A1" s="65"/>
      <c r="B1" s="54" t="s">
        <v>17</v>
      </c>
      <c r="C1" s="55" t="s">
        <v>18</v>
      </c>
      <c r="D1" s="23" t="s">
        <v>19</v>
      </c>
      <c r="E1" s="24" t="s">
        <v>20</v>
      </c>
      <c r="F1" s="25" t="s">
        <v>21</v>
      </c>
      <c r="G1" s="25" t="s">
        <v>22</v>
      </c>
      <c r="H1" s="56" t="s">
        <v>23</v>
      </c>
      <c r="I1" s="57" t="s">
        <v>24</v>
      </c>
      <c r="J1" s="57" t="s">
        <v>209</v>
      </c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</row>
    <row r="2">
      <c r="A2" s="67" t="s">
        <v>145</v>
      </c>
      <c r="B2" s="59">
        <f>IFERROR(__xludf.DUMMYFUNCTION("GOOGLEFINANCE(A2,""price"")"),1424.5)</f>
        <v>1424.5</v>
      </c>
      <c r="C2" s="60">
        <f>IFERROR(__xludf.DUMMYFUNCTION("MAX(QUERY(SORT(GOOGLEFINANCE(A2,""high"",TODAY()-100,TODAY()),1,0),""select Col2 limit 55""))"),1444.5)</f>
        <v>1444.5</v>
      </c>
      <c r="D2" s="32">
        <f>IFERROR(__xludf.DUMMYFUNCTION("GOOGLEFINANCE(A2,""high52"")"),1673.0)</f>
        <v>1673</v>
      </c>
      <c r="E2" s="33">
        <f>IFERROR(__xludf.DUMMYFUNCTION("to_date(index(sort(GOOGLEFINANCE(A2, ""high"", today()-52*7, today(), ""DAILY""),2,0),2,1))"),45953.64583333333)</f>
        <v>45953.64583</v>
      </c>
      <c r="F2" s="32">
        <f>IFERROR(__xludf.DUMMYFUNCTION("GOOGLEFINANCE(A2,""low52"")"),1165.7)</f>
        <v>1165.7</v>
      </c>
      <c r="G2" s="33">
        <f>IFERROR(__xludf.DUMMYFUNCTION("to_date(index(sort(GOOGLEFINANCE(A2, ""low"", today()-52*7, today(), ""DAILY""),2,1),1,1))"),46114.64583333333)</f>
        <v>46114.64583</v>
      </c>
      <c r="H2" s="61">
        <f>IFERROR(__xludf.DUMMYFUNCTION("MIN(QUERY(SORT(GOOGLEFINANCE(A2,""low"",TODAY()-40,TODAY()),1,0),""select Col2 limit 20""))"),1274.7)</f>
        <v>1274.7</v>
      </c>
      <c r="I2" s="61">
        <f t="shared" ref="I2:I51" si="1">(C2-B2)*100/B2</f>
        <v>1.404001404</v>
      </c>
      <c r="J2" s="35" t="str">
        <f t="shared" ref="J2:J51" si="2">if(AND(G2&gt;E2,I2&gt;=10,I2&lt;=20),"Start GTT Order","No need to fresh start")</f>
        <v>No need to fresh start</v>
      </c>
    </row>
    <row r="3">
      <c r="A3" s="67" t="s">
        <v>64</v>
      </c>
      <c r="B3" s="59">
        <f>IFERROR(__xludf.DUMMYFUNCTION("GOOGLEFINANCE(A3,""price"")"),276.2)</f>
        <v>276.2</v>
      </c>
      <c r="C3" s="60">
        <f>IFERROR(__xludf.DUMMYFUNCTION("MAX(QUERY(SORT(GOOGLEFINANCE(A3,""high"",TODAY()-100,TODAY()),1,0),""select Col2 limit 55""))"),307.5)</f>
        <v>307.5</v>
      </c>
      <c r="D3" s="32">
        <f>IFERROR(__xludf.DUMMYFUNCTION("GOOGLEFINANCE(A3,""high52"")"),307.5)</f>
        <v>307.5</v>
      </c>
      <c r="E3" s="33">
        <f>IFERROR(__xludf.DUMMYFUNCTION("to_date(index(sort(GOOGLEFINANCE(A3, ""high"", today()-52*7, today(), ""DAILY""),2,0),2,1))"),46141.64583333333)</f>
        <v>46141.64583</v>
      </c>
      <c r="F3" s="32">
        <f>IFERROR(__xludf.DUMMYFUNCTION("GOOGLEFINANCE(A3,""low52"")"),228.61)</f>
        <v>228.61</v>
      </c>
      <c r="G3" s="33">
        <f>IFERROR(__xludf.DUMMYFUNCTION("to_date(index(sort(GOOGLEFINANCE(A3, ""low"", today()-52*7, today(), ""DAILY""),2,1),1,1))"),46008.64583333333)</f>
        <v>46008.64583</v>
      </c>
      <c r="H3" s="61">
        <f>IFERROR(__xludf.DUMMYFUNCTION("MIN(QUERY(SORT(GOOGLEFINANCE(A3,""low"",TODAY()-40,TODAY()),1,0),""select Col2 limit 20""))"),277.65)</f>
        <v>277.65</v>
      </c>
      <c r="I3" s="61">
        <f t="shared" si="1"/>
        <v>11.33236785</v>
      </c>
      <c r="J3" s="35" t="str">
        <f t="shared" si="2"/>
        <v>No need to fresh start</v>
      </c>
    </row>
    <row r="4">
      <c r="A4" s="67" t="s">
        <v>197</v>
      </c>
      <c r="B4" s="59">
        <f>IFERROR(__xludf.DUMMYFUNCTION("GOOGLEFINANCE(A4,""price"")"),933.65)</f>
        <v>933.65</v>
      </c>
      <c r="C4" s="60">
        <f>IFERROR(__xludf.DUMMYFUNCTION("MAX(QUERY(SORT(GOOGLEFINANCE(A4,""high"",TODAY()-100,TODAY()),1,0),""select Col2 limit 55""))"),957.9)</f>
        <v>957.9</v>
      </c>
      <c r="D4" s="32">
        <f>IFERROR(__xludf.DUMMYFUNCTION("GOOGLEFINANCE(A4,""high52"")"),968.85)</f>
        <v>968.85</v>
      </c>
      <c r="E4" s="33">
        <f>IFERROR(__xludf.DUMMYFUNCTION("to_date(index(sort(GOOGLEFINANCE(A4, ""high"", today()-52*7, today(), ""DAILY""),2,0),2,1))"),46079.64583333333)</f>
        <v>46079.64583</v>
      </c>
      <c r="F4" s="32">
        <f>IFERROR(__xludf.DUMMYFUNCTION("GOOGLEFINANCE(A4,""low52"")"),710.6)</f>
        <v>710.6</v>
      </c>
      <c r="G4" s="33">
        <f>IFERROR(__xludf.DUMMYFUNCTION("to_date(index(sort(GOOGLEFINANCE(A4, ""low"", today()-52*7, today(), ""DAILY""),2,1),1,1))"),45926.64583333333)</f>
        <v>45926.64583</v>
      </c>
      <c r="H4" s="61">
        <f>IFERROR(__xludf.DUMMYFUNCTION("MIN(QUERY(SORT(GOOGLEFINANCE(A4,""low"",TODAY()-40,TODAY()),1,0),""select Col2 limit 20""))"),870.2)</f>
        <v>870.2</v>
      </c>
      <c r="I4" s="61">
        <f t="shared" si="1"/>
        <v>2.597333048</v>
      </c>
      <c r="J4" s="35" t="str">
        <f t="shared" si="2"/>
        <v>No need to fresh start</v>
      </c>
    </row>
    <row r="5">
      <c r="A5" s="67" t="s">
        <v>59</v>
      </c>
      <c r="B5" s="59">
        <f>IFERROR(__xludf.DUMMYFUNCTION("GOOGLEFINANCE(A5,""price"")"),298.05)</f>
        <v>298.05</v>
      </c>
      <c r="C5" s="60">
        <f>IFERROR(__xludf.DUMMYFUNCTION("MAX(QUERY(SORT(GOOGLEFINANCE(A5,""high"",TODAY()-100,TODAY()),1,0),""select Col2 limit 55""))"),324.95)</f>
        <v>324.95</v>
      </c>
      <c r="D5" s="32">
        <f>IFERROR(__xludf.DUMMYFUNCTION("GOOGLEFINANCE(A5,""high52"")"),324.95)</f>
        <v>324.95</v>
      </c>
      <c r="E5" s="33">
        <f>IFERROR(__xludf.DUMMYFUNCTION("to_date(index(sort(GOOGLEFINANCE(A5, ""high"", today()-52*7, today(), ""DAILY""),2,0),2,1))"),46139.64583333333)</f>
        <v>46139.64583</v>
      </c>
      <c r="F5" s="32">
        <f>IFERROR(__xludf.DUMMYFUNCTION("GOOGLEFINANCE(A5,""low52"")"),250.0)</f>
        <v>250</v>
      </c>
      <c r="G5" s="33">
        <f>IFERROR(__xludf.DUMMYFUNCTION("to_date(index(sort(GOOGLEFINANCE(A5, ""low"", today()-52*7, today(), ""DAILY""),2,1),1,1))"),46055.64583333333)</f>
        <v>46055.64583</v>
      </c>
      <c r="H5" s="61">
        <f>IFERROR(__xludf.DUMMYFUNCTION("MIN(QUERY(SORT(GOOGLEFINANCE(A5,""low"",TODAY()-40,TODAY()),1,0),""select Col2 limit 20""))"),290.2)</f>
        <v>290.2</v>
      </c>
      <c r="I5" s="61">
        <f t="shared" si="1"/>
        <v>9.02533132</v>
      </c>
      <c r="J5" s="35" t="str">
        <f t="shared" si="2"/>
        <v>No need to fresh start</v>
      </c>
    </row>
    <row r="6">
      <c r="A6" s="67" t="s">
        <v>170</v>
      </c>
      <c r="B6" s="59">
        <f>IFERROR(__xludf.DUMMYFUNCTION("GOOGLEFINANCE(A6,""price"")"),10730.5)</f>
        <v>10730.5</v>
      </c>
      <c r="C6" s="60">
        <f>IFERROR(__xludf.DUMMYFUNCTION("MAX(QUERY(SORT(GOOGLEFINANCE(A6,""high"",TODAY()-100,TODAY()),1,0),""select Col2 limit 55""))"),10785.0)</f>
        <v>10785</v>
      </c>
      <c r="D6" s="32">
        <f>IFERROR(__xludf.DUMMYFUNCTION("GOOGLEFINANCE(A6,""high52"")"),10785.0)</f>
        <v>10785</v>
      </c>
      <c r="E6" s="33">
        <f>IFERROR(__xludf.DUMMYFUNCTION("to_date(index(sort(GOOGLEFINANCE(A6, ""high"", today()-52*7, today(), ""DAILY""),2,0),2,1))"),46150.64583333333)</f>
        <v>46150.64583</v>
      </c>
      <c r="F6" s="32">
        <f>IFERROR(__xludf.DUMMYFUNCTION("GOOGLEFINANCE(A6,""low52"")"),7858.5)</f>
        <v>7858.5</v>
      </c>
      <c r="G6" s="33">
        <f>IFERROR(__xludf.DUMMYFUNCTION("to_date(index(sort(GOOGLEFINANCE(A6, ""low"", today()-52*7, today(), ""DAILY""),2,1),1,1))"),45876.64583333333)</f>
        <v>45876.64583</v>
      </c>
      <c r="H6" s="61">
        <f>IFERROR(__xludf.DUMMYFUNCTION("MIN(QUERY(SORT(GOOGLEFINANCE(A6,""low"",TODAY()-40,TODAY()),1,0),""select Col2 limit 20""))"),9355.0)</f>
        <v>9355</v>
      </c>
      <c r="I6" s="61">
        <f t="shared" si="1"/>
        <v>0.5078980476</v>
      </c>
      <c r="J6" s="35" t="str">
        <f t="shared" si="2"/>
        <v>No need to fresh start</v>
      </c>
    </row>
    <row r="7">
      <c r="A7" s="67" t="s">
        <v>155</v>
      </c>
      <c r="B7" s="59">
        <f>IFERROR(__xludf.DUMMYFUNCTION("GOOGLEFINANCE(A7,""price"")"),1859.5)</f>
        <v>1859.5</v>
      </c>
      <c r="C7" s="60">
        <f>IFERROR(__xludf.DUMMYFUNCTION("MAX(QUERY(SORT(GOOGLEFINANCE(A7,""high"",TODAY()-100,TODAY()),1,0),""select Col2 limit 55""))"),1953.8)</f>
        <v>1953.8</v>
      </c>
      <c r="D7" s="32">
        <f>IFERROR(__xludf.DUMMYFUNCTION("GOOGLEFINANCE(A7,""high52"")"),2174.5)</f>
        <v>2174.5</v>
      </c>
      <c r="E7" s="33">
        <f>IFERROR(__xludf.DUMMYFUNCTION("to_date(index(sort(GOOGLEFINANCE(A7, ""high"", today()-52*7, today(), ""DAILY""),2,0),2,1))"),45982.64583333333)</f>
        <v>45982.64583</v>
      </c>
      <c r="F7" s="32">
        <f>IFERROR(__xludf.DUMMYFUNCTION("GOOGLEFINANCE(A7,""low52"")"),1740.5)</f>
        <v>1740.5</v>
      </c>
      <c r="G7" s="33">
        <f>IFERROR(__xludf.DUMMYFUNCTION("to_date(index(sort(GOOGLEFINANCE(A7, ""low"", today()-52*7, today(), ""DAILY""),2,1),1,1))"),46155.64583333333)</f>
        <v>46155.64583</v>
      </c>
      <c r="H7" s="61">
        <f>IFERROR(__xludf.DUMMYFUNCTION("MIN(QUERY(SORT(GOOGLEFINANCE(A7,""low"",TODAY()-40,TODAY()),1,0),""select Col2 limit 20""))"),1740.5)</f>
        <v>1740.5</v>
      </c>
      <c r="I7" s="61">
        <f t="shared" si="1"/>
        <v>5.071255714</v>
      </c>
      <c r="J7" s="35" t="str">
        <f t="shared" si="2"/>
        <v>No need to fresh start</v>
      </c>
    </row>
    <row r="8">
      <c r="A8" s="67" t="s">
        <v>162</v>
      </c>
      <c r="B8" s="59">
        <f>IFERROR(__xludf.DUMMYFUNCTION("GOOGLEFINANCE(A8,""price"")"),1878.4)</f>
        <v>1878.4</v>
      </c>
      <c r="C8" s="60">
        <f>IFERROR(__xludf.DUMMYFUNCTION("MAX(QUERY(SORT(GOOGLEFINANCE(A8,""high"",TODAY()-100,TODAY()),1,0),""select Col2 limit 55""))"),1997.2)</f>
        <v>1997.2</v>
      </c>
      <c r="D8" s="32">
        <f>IFERROR(__xludf.DUMMYFUNCTION("GOOGLEFINANCE(A8,""high52"")"),2132.0)</f>
        <v>2132</v>
      </c>
      <c r="E8" s="33">
        <f>IFERROR(__xludf.DUMMYFUNCTION("to_date(index(sort(GOOGLEFINANCE(A8, ""high"", today()-52*7, today(), ""DAILY""),2,0),2,1))"),46076.64583333333)</f>
        <v>46076.64583</v>
      </c>
      <c r="F8" s="32">
        <f>IFERROR(__xludf.DUMMYFUNCTION("GOOGLEFINANCE(A8,""low52"")"),1720.0)</f>
        <v>1720</v>
      </c>
      <c r="G8" s="33">
        <f>IFERROR(__xludf.DUMMYFUNCTION("to_date(index(sort(GOOGLEFINANCE(A8, ""low"", today()-52*7, today(), ""DAILY""),2,1),1,1))"),45821.64583333333)</f>
        <v>45821.64583</v>
      </c>
      <c r="H8" s="61">
        <f>IFERROR(__xludf.DUMMYFUNCTION("MIN(QUERY(SORT(GOOGLEFINANCE(A8,""low"",TODAY()-40,TODAY()),1,0),""select Col2 limit 20""))"),1785.2)</f>
        <v>1785.2</v>
      </c>
      <c r="I8" s="61">
        <f t="shared" si="1"/>
        <v>6.324531516</v>
      </c>
      <c r="J8" s="35" t="str">
        <f t="shared" si="2"/>
        <v>No need to fresh start</v>
      </c>
    </row>
    <row r="9">
      <c r="A9" s="67" t="s">
        <v>53</v>
      </c>
      <c r="B9" s="59">
        <f>IFERROR(__xludf.DUMMYFUNCTION("GOOGLEFINANCE(A9,""price"")"),142.0)</f>
        <v>142</v>
      </c>
      <c r="C9" s="60">
        <f>IFERROR(__xludf.DUMMYFUNCTION("MAX(QUERY(SORT(GOOGLEFINANCE(A9,""high"",TODAY()-100,TODAY()),1,0),""select Col2 limit 55""))"),176.17)</f>
        <v>176.17</v>
      </c>
      <c r="D9" s="32">
        <f>IFERROR(__xludf.DUMMYFUNCTION("GOOGLEFINANCE(A9,""high52"")"),188.96)</f>
        <v>188.96</v>
      </c>
      <c r="E9" s="33">
        <f>IFERROR(__xludf.DUMMYFUNCTION("to_date(index(sort(GOOGLEFINANCE(A9, ""high"", today()-52*7, today(), ""DAILY""),2,0),2,1))"),46080.64583333333)</f>
        <v>46080.64583</v>
      </c>
      <c r="F9" s="32">
        <f>IFERROR(__xludf.DUMMYFUNCTION("GOOGLEFINANCE(A9,""low52"")"),130.22)</f>
        <v>130.22</v>
      </c>
      <c r="G9" s="33">
        <f>IFERROR(__xludf.DUMMYFUNCTION("to_date(index(sort(GOOGLEFINANCE(A9, ""low"", today()-52*7, today(), ""DAILY""),2,1),1,1))"),46114.64583333333)</f>
        <v>46114.64583</v>
      </c>
      <c r="H9" s="61">
        <f>IFERROR(__xludf.DUMMYFUNCTION("MIN(QUERY(SORT(GOOGLEFINANCE(A9,""low"",TODAY()-40,TODAY()),1,0),""select Col2 limit 20""))"),130.53)</f>
        <v>130.53</v>
      </c>
      <c r="I9" s="61">
        <f t="shared" si="1"/>
        <v>24.06338028</v>
      </c>
      <c r="J9" s="35" t="str">
        <f t="shared" si="2"/>
        <v>No need to fresh start</v>
      </c>
    </row>
    <row r="10">
      <c r="A10" s="67" t="s">
        <v>158</v>
      </c>
      <c r="B10" s="59">
        <f>IFERROR(__xludf.DUMMYFUNCTION("GOOGLEFINANCE(A10,""price"")"),1311.9)</f>
        <v>1311.9</v>
      </c>
      <c r="C10" s="60">
        <f>IFERROR(__xludf.DUMMYFUNCTION("MAX(QUERY(SORT(GOOGLEFINANCE(A10,""high"",TODAY()-100,TODAY()),1,0),""select Col2 limit 55""))"),1391.0)</f>
        <v>1391</v>
      </c>
      <c r="D10" s="32">
        <f>IFERROR(__xludf.DUMMYFUNCTION("GOOGLEFINANCE(A10,""high52"")"),1418.3)</f>
        <v>1418.3</v>
      </c>
      <c r="E10" s="33">
        <f>IFERROR(__xludf.DUMMYFUNCTION("to_date(index(sort(GOOGLEFINANCE(A10, ""high"", today()-52*7, today(), ""DAILY""),2,0),2,1))"),46056.64583333333)</f>
        <v>46056.64583</v>
      </c>
      <c r="F10" s="32">
        <f>IFERROR(__xludf.DUMMYFUNCTION("GOOGLEFINANCE(A10,""low52"")"),1042.5)</f>
        <v>1042.5</v>
      </c>
      <c r="G10" s="33">
        <f>IFERROR(__xludf.DUMMYFUNCTION("to_date(index(sort(GOOGLEFINANCE(A10, ""low"", today()-52*7, today(), ""DAILY""),2,1),1,1))"),45898.64583333333)</f>
        <v>45898.64583</v>
      </c>
      <c r="H10" s="61">
        <f>IFERROR(__xludf.DUMMYFUNCTION("MIN(QUERY(SORT(GOOGLEFINANCE(A10,""low"",TODAY()-40,TODAY()),1,0),""select Col2 limit 20""))"),1222.1)</f>
        <v>1222.1</v>
      </c>
      <c r="I10" s="61">
        <f t="shared" si="1"/>
        <v>6.029422974</v>
      </c>
      <c r="J10" s="35" t="str">
        <f t="shared" si="2"/>
        <v>No need to fresh start</v>
      </c>
    </row>
    <row r="11">
      <c r="A11" s="67" t="s">
        <v>167</v>
      </c>
      <c r="B11" s="59">
        <f>IFERROR(__xludf.DUMMYFUNCTION("GOOGLEFINANCE(A11,""price"")"),5031.5)</f>
        <v>5031.5</v>
      </c>
      <c r="C11" s="60">
        <f>IFERROR(__xludf.DUMMYFUNCTION("MAX(QUERY(SORT(GOOGLEFINANCE(A11,""high"",TODAY()-100,TODAY()),1,0),""select Col2 limit 55""))"),5766.0)</f>
        <v>5766</v>
      </c>
      <c r="D11" s="32">
        <f>IFERROR(__xludf.DUMMYFUNCTION("GOOGLEFINANCE(A11,""high52"")"),6388.5)</f>
        <v>6388.5</v>
      </c>
      <c r="E11" s="33">
        <f>IFERROR(__xludf.DUMMYFUNCTION("to_date(index(sort(GOOGLEFINANCE(A11, ""high"", today()-52*7, today(), ""DAILY""),2,0),2,1))"),45996.64583333333)</f>
        <v>45996.64583</v>
      </c>
      <c r="F11" s="32">
        <f>IFERROR(__xludf.DUMMYFUNCTION("GOOGLEFINANCE(A11,""low52"")"),4158.1)</f>
        <v>4158.1</v>
      </c>
      <c r="G11" s="33">
        <f>IFERROR(__xludf.DUMMYFUNCTION("to_date(index(sort(GOOGLEFINANCE(A11, ""low"", today()-52*7, today(), ""DAILY""),2,1),1,1))"),45814.64583333333)</f>
        <v>45814.64583</v>
      </c>
      <c r="H11" s="61">
        <f>IFERROR(__xludf.DUMMYFUNCTION("MIN(QUERY(SORT(GOOGLEFINANCE(A11,""low"",TODAY()-40,TODAY()),1,0),""select Col2 limit 20""))"),4880.0)</f>
        <v>4880</v>
      </c>
      <c r="I11" s="61">
        <f t="shared" si="1"/>
        <v>14.5980324</v>
      </c>
      <c r="J11" s="35" t="str">
        <f t="shared" si="2"/>
        <v>No need to fresh start</v>
      </c>
    </row>
    <row r="12">
      <c r="A12" s="67" t="s">
        <v>92</v>
      </c>
      <c r="B12" s="59">
        <f>IFERROR(__xludf.DUMMYFUNCTION("GOOGLEFINANCE(A12,""price"")"),447.55)</f>
        <v>447.55</v>
      </c>
      <c r="C12" s="60">
        <f>IFERROR(__xludf.DUMMYFUNCTION("MAX(QUERY(SORT(GOOGLEFINANCE(A12,""high"",TODAY()-100,TODAY()),1,0),""select Col2 limit 55""))"),491.25)</f>
        <v>491.25</v>
      </c>
      <c r="D12" s="32">
        <f>IFERROR(__xludf.DUMMYFUNCTION("GOOGLEFINANCE(A12,""high52"")"),491.25)</f>
        <v>491.25</v>
      </c>
      <c r="E12" s="33">
        <f>IFERROR(__xludf.DUMMYFUNCTION("to_date(index(sort(GOOGLEFINANCE(A12, ""high"", today()-52*7, today(), ""DAILY""),2,0),2,1))"),46142.64583333333)</f>
        <v>46142.64583</v>
      </c>
      <c r="F12" s="32">
        <f>IFERROR(__xludf.DUMMYFUNCTION("GOOGLEFINANCE(A12,""low52"")"),368.65)</f>
        <v>368.65</v>
      </c>
      <c r="G12" s="33">
        <f>IFERROR(__xludf.DUMMYFUNCTION("to_date(index(sort(GOOGLEFINANCE(A12, ""low"", today()-52*7, today(), ""DAILY""),2,1),1,1))"),46129.64583333333)</f>
        <v>46129.64583</v>
      </c>
      <c r="H12" s="61">
        <f>IFERROR(__xludf.DUMMYFUNCTION("MIN(QUERY(SORT(GOOGLEFINANCE(A12,""low"",TODAY()-40,TODAY()),1,0),""select Col2 limit 20""))"),451.45)</f>
        <v>451.45</v>
      </c>
      <c r="I12" s="61">
        <f t="shared" si="1"/>
        <v>9.764272148</v>
      </c>
      <c r="J12" s="35" t="str">
        <f t="shared" si="2"/>
        <v>No need to fresh start</v>
      </c>
    </row>
    <row r="13">
      <c r="A13" s="67" t="s">
        <v>141</v>
      </c>
      <c r="B13" s="59">
        <f>IFERROR(__xludf.DUMMYFUNCTION("GOOGLEFINANCE(A13,""price"")"),1835.1)</f>
        <v>1835.1</v>
      </c>
      <c r="C13" s="60">
        <f>IFERROR(__xludf.DUMMYFUNCTION("MAX(QUERY(SORT(GOOGLEFINANCE(A13,""high"",TODAY()-100,TODAY()),1,0),""select Col2 limit 55""))"),1916.6)</f>
        <v>1916.6</v>
      </c>
      <c r="D13" s="32">
        <f>IFERROR(__xludf.DUMMYFUNCTION("GOOGLEFINANCE(A13,""high52"")"),1916.6)</f>
        <v>1916.6</v>
      </c>
      <c r="E13" s="33">
        <f>IFERROR(__xludf.DUMMYFUNCTION("to_date(index(sort(GOOGLEFINANCE(A13, ""high"", today()-52*7, today(), ""DAILY""),2,0),2,1))"),46161.64583333333)</f>
        <v>46161.64583</v>
      </c>
      <c r="F13" s="32">
        <f>IFERROR(__xludf.DUMMYFUNCTION("GOOGLEFINANCE(A13,""low52"")"),1548.0)</f>
        <v>1548</v>
      </c>
      <c r="G13" s="33">
        <f>IFERROR(__xludf.DUMMYFUNCTION("to_date(index(sort(GOOGLEFINANCE(A13, ""low"", today()-52*7, today(), ""DAILY""),2,1),1,1))"),45926.64583333333)</f>
        <v>45926.64583</v>
      </c>
      <c r="H13" s="61">
        <f>IFERROR(__xludf.DUMMYFUNCTION("MIN(QUERY(SORT(GOOGLEFINANCE(A13,""low"",TODAY()-40,TODAY()),1,0),""select Col2 limit 20""))"),1714.3)</f>
        <v>1714.3</v>
      </c>
      <c r="I13" s="61">
        <f t="shared" si="1"/>
        <v>4.441174868</v>
      </c>
      <c r="J13" s="35" t="str">
        <f t="shared" si="2"/>
        <v>No need to fresh start</v>
      </c>
    </row>
    <row r="14">
      <c r="A14" s="67" t="s">
        <v>168</v>
      </c>
      <c r="B14" s="59">
        <f>IFERROR(__xludf.DUMMYFUNCTION("GOOGLEFINANCE(A14,""price"")"),1288.4)</f>
        <v>1288.4</v>
      </c>
      <c r="C14" s="60">
        <f>IFERROR(__xludf.DUMMYFUNCTION("MAX(QUERY(SORT(GOOGLEFINANCE(A14,""high"",TODAY()-100,TODAY()),1,0),""select Col2 limit 55""))"),1393.1)</f>
        <v>1393.1</v>
      </c>
      <c r="D14" s="32">
        <f>IFERROR(__xludf.DUMMYFUNCTION("GOOGLEFINANCE(A14,""high52"")"),1500.0)</f>
        <v>1500</v>
      </c>
      <c r="E14" s="33">
        <f>IFERROR(__xludf.DUMMYFUNCTION("to_date(index(sort(GOOGLEFINANCE(A14, ""high"", today()-52*7, today(), ""DAILY""),2,0),2,1))"),45863.64583333333)</f>
        <v>45863.64583</v>
      </c>
      <c r="F14" s="32">
        <f>IFERROR(__xludf.DUMMYFUNCTION("GOOGLEFINANCE(A14,""low52"")"),1187.6)</f>
        <v>1187.6</v>
      </c>
      <c r="G14" s="33">
        <f>IFERROR(__xludf.DUMMYFUNCTION("to_date(index(sort(GOOGLEFINANCE(A14, ""low"", today()-52*7, today(), ""DAILY""),2,1),1,1))"),46114.64583333333)</f>
        <v>46114.64583</v>
      </c>
      <c r="H14" s="61">
        <f>IFERROR(__xludf.DUMMYFUNCTION("MIN(QUERY(SORT(GOOGLEFINANCE(A14,""low"",TODAY()-40,TODAY()),1,0),""select Col2 limit 20""))"),1223.3)</f>
        <v>1223.3</v>
      </c>
      <c r="I14" s="61">
        <f t="shared" si="1"/>
        <v>8.126358274</v>
      </c>
      <c r="J14" s="35" t="str">
        <f t="shared" si="2"/>
        <v>No need to fresh start</v>
      </c>
    </row>
    <row r="15">
      <c r="A15" s="67" t="s">
        <v>144</v>
      </c>
      <c r="B15" s="59">
        <f>IFERROR(__xludf.DUMMYFUNCTION("GOOGLEFINANCE(A15,""price"")"),1438.3)</f>
        <v>1438.3</v>
      </c>
      <c r="C15" s="60">
        <f>IFERROR(__xludf.DUMMYFUNCTION("MAX(QUERY(SORT(GOOGLEFINANCE(A15,""high"",TODAY()-100,TODAY()),1,0),""select Col2 limit 55""))"),1498.1)</f>
        <v>1498.1</v>
      </c>
      <c r="D15" s="32">
        <f>IFERROR(__xludf.DUMMYFUNCTION("GOOGLEFINANCE(A15,""high52"")"),1498.1)</f>
        <v>1498.1</v>
      </c>
      <c r="E15" s="33">
        <f>IFERROR(__xludf.DUMMYFUNCTION("to_date(index(sort(GOOGLEFINANCE(A15, ""high"", today()-52*7, today(), ""DAILY""),2,0),2,1))"),46153.64583333333)</f>
        <v>46153.64583</v>
      </c>
      <c r="F15" s="32">
        <f>IFERROR(__xludf.DUMMYFUNCTION("GOOGLEFINANCE(A15,""low52"")"),1084.7)</f>
        <v>1084.7</v>
      </c>
      <c r="G15" s="33">
        <f>IFERROR(__xludf.DUMMYFUNCTION("to_date(index(sort(GOOGLEFINANCE(A15, ""low"", today()-52*7, today(), ""DAILY""),2,1),1,1))"),45883.64583333333)</f>
        <v>45883.64583</v>
      </c>
      <c r="H15" s="61">
        <f>IFERROR(__xludf.DUMMYFUNCTION("MIN(QUERY(SORT(GOOGLEFINANCE(A15,""low"",TODAY()-40,TODAY()),1,0),""select Col2 limit 20""))"),1398.5)</f>
        <v>1398.5</v>
      </c>
      <c r="I15" s="61">
        <f t="shared" si="1"/>
        <v>4.157686157</v>
      </c>
      <c r="J15" s="35" t="str">
        <f t="shared" si="2"/>
        <v>No need to fresh start</v>
      </c>
    </row>
    <row r="16">
      <c r="A16" s="67" t="s">
        <v>159</v>
      </c>
      <c r="B16" s="59">
        <f>IFERROR(__xludf.DUMMYFUNCTION("GOOGLEFINANCE(A16,""price"")"),2280.0)</f>
        <v>2280</v>
      </c>
      <c r="C16" s="60">
        <f>IFERROR(__xludf.DUMMYFUNCTION("MAX(QUERY(SORT(GOOGLEFINANCE(A16,""high"",TODAY()-100,TODAY()),1,0),""select Col2 limit 55""))"),2635.0)</f>
        <v>2635</v>
      </c>
      <c r="D16" s="32">
        <f>IFERROR(__xludf.DUMMYFUNCTION("GOOGLEFINANCE(A16,""high52"")"),3540.0)</f>
        <v>3540</v>
      </c>
      <c r="E16" s="33">
        <f>IFERROR(__xludf.DUMMYFUNCTION("to_date(index(sort(GOOGLEFINANCE(A16, ""high"", today()-52*7, today(), ""DAILY""),2,0),2,1))"),45826.64583333333)</f>
        <v>45826.64583</v>
      </c>
      <c r="F16" s="32">
        <f>IFERROR(__xludf.DUMMYFUNCTION("GOOGLEFINANCE(A16,""low52"")"),2206.4)</f>
        <v>2206.4</v>
      </c>
      <c r="G16" s="33">
        <f>IFERROR(__xludf.DUMMYFUNCTION("to_date(index(sort(GOOGLEFINANCE(A16, ""low"", today()-52*7, today(), ""DAILY""),2,1),1,1))"),46129.64583333333)</f>
        <v>46129.64583</v>
      </c>
      <c r="H16" s="61">
        <f>IFERROR(__xludf.DUMMYFUNCTION("MIN(QUERY(SORT(GOOGLEFINANCE(A16,""low"",TODAY()-40,TODAY()),1,0),""select Col2 limit 20""))"),2206.4)</f>
        <v>2206.4</v>
      </c>
      <c r="I16" s="61">
        <f t="shared" si="1"/>
        <v>15.57017544</v>
      </c>
      <c r="J16" s="35" t="str">
        <f t="shared" si="2"/>
        <v>Start GTT Order</v>
      </c>
    </row>
    <row r="17">
      <c r="A17" s="67" t="s">
        <v>57</v>
      </c>
      <c r="B17" s="59">
        <f>IFERROR(__xludf.DUMMYFUNCTION("GOOGLEFINANCE(A17,""price"")"),394.15)</f>
        <v>394.15</v>
      </c>
      <c r="C17" s="60">
        <f>IFERROR(__xludf.DUMMYFUNCTION("MAX(QUERY(SORT(GOOGLEFINANCE(A17,""high"",TODAY()-100,TODAY()),1,0),""select Col2 limit 55""))"),414.4)</f>
        <v>414.4</v>
      </c>
      <c r="D17" s="32">
        <f>IFERROR(__xludf.DUMMYFUNCTION("GOOGLEFINANCE(A17,""high52"")"),414.4)</f>
        <v>414.4</v>
      </c>
      <c r="E17" s="33">
        <f>IFERROR(__xludf.DUMMYFUNCTION("to_date(index(sort(GOOGLEFINANCE(A17, ""high"", today()-52*7, today(), ""DAILY""),2,0),2,1))"),46139.64583333333)</f>
        <v>46139.64583</v>
      </c>
      <c r="F17" s="32">
        <f>IFERROR(__xludf.DUMMYFUNCTION("GOOGLEFINANCE(A17,""low52"")"),315.55)</f>
        <v>315.55</v>
      </c>
      <c r="G17" s="33">
        <f>IFERROR(__xludf.DUMMYFUNCTION("to_date(index(sort(GOOGLEFINANCE(A17, ""low"", today()-52*7, today(), ""DAILY""),2,1),1,1))"),46000.64583333333)</f>
        <v>46000.64583</v>
      </c>
      <c r="H17" s="61">
        <f>IFERROR(__xludf.DUMMYFUNCTION("MIN(QUERY(SORT(GOOGLEFINANCE(A17,""low"",TODAY()-40,TODAY()),1,0),""select Col2 limit 20""))"),384.0)</f>
        <v>384</v>
      </c>
      <c r="I17" s="61">
        <f t="shared" si="1"/>
        <v>5.137637955</v>
      </c>
      <c r="J17" s="35" t="str">
        <f t="shared" si="2"/>
        <v>No need to fresh start</v>
      </c>
    </row>
    <row r="18">
      <c r="A18" s="67" t="s">
        <v>171</v>
      </c>
      <c r="B18" s="59">
        <f>IFERROR(__xludf.DUMMYFUNCTION("GOOGLEFINANCE(A18,""price"")"),971.1)</f>
        <v>971.1</v>
      </c>
      <c r="C18" s="60">
        <f>IFERROR(__xludf.DUMMYFUNCTION("MAX(QUERY(SORT(GOOGLEFINANCE(A18,""high"",TODAY()-100,TODAY()),1,0),""select Col2 limit 55""))"),1183.2)</f>
        <v>1183.2</v>
      </c>
      <c r="D18" s="32">
        <f>IFERROR(__xludf.DUMMYFUNCTION("GOOGLEFINANCE(A18,""high52"")"),1234.7)</f>
        <v>1234.7</v>
      </c>
      <c r="E18" s="33">
        <f>IFERROR(__xludf.DUMMYFUNCTION("to_date(index(sort(GOOGLEFINANCE(A18, ""high"", today()-52*7, today(), ""DAILY""),2,0),2,1))"),46077.64583333333)</f>
        <v>46077.64583</v>
      </c>
      <c r="F18" s="32">
        <f>IFERROR(__xludf.DUMMYFUNCTION("GOOGLEFINANCE(A18,""low52"")"),781.7)</f>
        <v>781.7</v>
      </c>
      <c r="G18" s="33">
        <f>IFERROR(__xludf.DUMMYFUNCTION("to_date(index(sort(GOOGLEFINANCE(A18, ""low"", today()-52*7, today(), ""DAILY""),2,1),1,1))"),45827.64583333333)</f>
        <v>45827.64583</v>
      </c>
      <c r="H18" s="61">
        <f>IFERROR(__xludf.DUMMYFUNCTION("MIN(QUERY(SORT(GOOGLEFINANCE(A18,""low"",TODAY()-40,TODAY()),1,0),""select Col2 limit 20""))"),933.9)</f>
        <v>933.9</v>
      </c>
      <c r="I18" s="61">
        <f t="shared" si="1"/>
        <v>21.841211</v>
      </c>
      <c r="J18" s="35" t="str">
        <f t="shared" si="2"/>
        <v>No need to fresh start</v>
      </c>
    </row>
    <row r="19">
      <c r="A19" s="67" t="s">
        <v>183</v>
      </c>
      <c r="B19" s="59">
        <f>IFERROR(__xludf.DUMMYFUNCTION("GOOGLEFINANCE(A19,""price"")"),13187.0)</f>
        <v>13187</v>
      </c>
      <c r="C19" s="60">
        <f>IFERROR(__xludf.DUMMYFUNCTION("MAX(QUERY(SORT(GOOGLEFINANCE(A19,""high"",TODAY()-100,TODAY()),1,0),""select Col2 limit 55""))"),14570.0)</f>
        <v>14570</v>
      </c>
      <c r="D19" s="32">
        <f>IFERROR(__xludf.DUMMYFUNCTION("GOOGLEFINANCE(A19,""high52"")"),17370.0)</f>
        <v>17370</v>
      </c>
      <c r="E19" s="33">
        <f>IFERROR(__xludf.DUMMYFUNCTION("to_date(index(sort(GOOGLEFINANCE(A19, ""high"", today()-52*7, today(), ""DAILY""),2,0),2,1))"),46027.64583333333)</f>
        <v>46027.64583</v>
      </c>
      <c r="F19" s="32">
        <f>IFERROR(__xludf.DUMMYFUNCTION("GOOGLEFINANCE(A19,""low52"")"),12016.0)</f>
        <v>12016</v>
      </c>
      <c r="G19" s="33">
        <f>IFERROR(__xludf.DUMMYFUNCTION("to_date(index(sort(GOOGLEFINANCE(A19, ""low"", today()-52*7, today(), ""DAILY""),2,1),1,1))"),45813.64583333333)</f>
        <v>45813.64583</v>
      </c>
      <c r="H19" s="61">
        <f>IFERROR(__xludf.DUMMYFUNCTION("MIN(QUERY(SORT(GOOGLEFINANCE(A19,""low"",TODAY()-40,TODAY()),1,0),""select Col2 limit 20""))"),12753.0)</f>
        <v>12753</v>
      </c>
      <c r="I19" s="61">
        <f t="shared" si="1"/>
        <v>10.48760143</v>
      </c>
      <c r="J19" s="35" t="str">
        <f t="shared" si="2"/>
        <v>No need to fresh start</v>
      </c>
    </row>
    <row r="20">
      <c r="A20" s="67" t="s">
        <v>188</v>
      </c>
      <c r="B20" s="59">
        <f>IFERROR(__xludf.DUMMYFUNCTION("GOOGLEFINANCE(A20,""price"")"),2201.0)</f>
        <v>2201</v>
      </c>
      <c r="C20" s="60">
        <f>IFERROR(__xludf.DUMMYFUNCTION("MAX(QUERY(SORT(GOOGLEFINANCE(A20,""high"",TODAY()-100,TODAY()),1,0),""select Col2 limit 55""))"),2408.0)</f>
        <v>2408</v>
      </c>
      <c r="D20" s="32">
        <f>IFERROR(__xludf.DUMMYFUNCTION("GOOGLEFINANCE(A20,""high52"")"),2715.44)</f>
        <v>2715.44</v>
      </c>
      <c r="E20" s="33">
        <f>IFERROR(__xludf.DUMMYFUNCTION("to_date(index(sort(GOOGLEFINANCE(A20, ""high"", today()-52*7, today(), ""DAILY""),2,0),2,1))"),45904.64583333333)</f>
        <v>45904.64583</v>
      </c>
      <c r="F20" s="32">
        <f>IFERROR(__xludf.DUMMYFUNCTION("GOOGLEFINANCE(A20,""low52"")"),2022.5)</f>
        <v>2022.5</v>
      </c>
      <c r="G20" s="33">
        <f>IFERROR(__xludf.DUMMYFUNCTION("to_date(index(sort(GOOGLEFINANCE(A20, ""low"", today()-52*7, today(), ""DAILY""),2,1),1,1))"),46114.64583333333)</f>
        <v>46114.64583</v>
      </c>
      <c r="H20" s="61">
        <f>IFERROR(__xludf.DUMMYFUNCTION("MIN(QUERY(SORT(GOOGLEFINANCE(A20,""low"",TODAY()-40,TODAY()),1,0),""select Col2 limit 20""))"),2175.4)</f>
        <v>2175.4</v>
      </c>
      <c r="I20" s="61">
        <f t="shared" si="1"/>
        <v>9.404815993</v>
      </c>
      <c r="J20" s="35" t="str">
        <f t="shared" si="2"/>
        <v>No need to fresh start</v>
      </c>
    </row>
    <row r="21">
      <c r="A21" s="67" t="s">
        <v>157</v>
      </c>
      <c r="B21" s="59">
        <f>IFERROR(__xludf.DUMMYFUNCTION("GOOGLEFINANCE(A21,""price"")"),614.8)</f>
        <v>614.8</v>
      </c>
      <c r="C21" s="60">
        <f>IFERROR(__xludf.DUMMYFUNCTION("MAX(QUERY(SORT(GOOGLEFINANCE(A21,""high"",TODAY()-100,TODAY()),1,0),""select Col2 limit 55""))"),736.8)</f>
        <v>736.8</v>
      </c>
      <c r="D21" s="32">
        <f>IFERROR(__xludf.DUMMYFUNCTION("GOOGLEFINANCE(A21,""high52"")"),820.75)</f>
        <v>820.75</v>
      </c>
      <c r="E21" s="33">
        <f>IFERROR(__xludf.DUMMYFUNCTION("to_date(index(sort(GOOGLEFINANCE(A21, ""high"", today()-52*7, today(), ""DAILY""),2,0),2,1))"),45838.64583333333)</f>
        <v>45838.64583</v>
      </c>
      <c r="F21" s="32">
        <f>IFERROR(__xludf.DUMMYFUNCTION("GOOGLEFINANCE(A21,""low52"")"),555.1)</f>
        <v>555.1</v>
      </c>
      <c r="G21" s="33">
        <f>IFERROR(__xludf.DUMMYFUNCTION("to_date(index(sort(GOOGLEFINANCE(A21, ""low"", today()-52*7, today(), ""DAILY""),2,1),1,1))"),46114.64583333333)</f>
        <v>46114.64583</v>
      </c>
      <c r="H21" s="61">
        <f>IFERROR(__xludf.DUMMYFUNCTION("MIN(QUERY(SORT(GOOGLEFINANCE(A21,""low"",TODAY()-40,TODAY()),1,0),""select Col2 limit 20""))"),578.4)</f>
        <v>578.4</v>
      </c>
      <c r="I21" s="61">
        <f t="shared" si="1"/>
        <v>19.84385166</v>
      </c>
      <c r="J21" s="35" t="str">
        <f t="shared" si="2"/>
        <v>Start GTT Order</v>
      </c>
    </row>
    <row r="22">
      <c r="A22" s="67" t="s">
        <v>151</v>
      </c>
      <c r="B22" s="59">
        <f>IFERROR(__xludf.DUMMYFUNCTION("GOOGLEFINANCE(A22,""price"")"),7357.5)</f>
        <v>7357.5</v>
      </c>
      <c r="C22" s="60">
        <f>IFERROR(__xludf.DUMMYFUNCTION("MAX(QUERY(SORT(GOOGLEFINANCE(A22,""high"",TODAY()-100,TODAY()),1,0),""select Col2 limit 55""))"),7801.5)</f>
        <v>7801.5</v>
      </c>
      <c r="D22" s="32">
        <f>IFERROR(__xludf.DUMMYFUNCTION("GOOGLEFINANCE(A22,""high52"")"),8230.0)</f>
        <v>8230</v>
      </c>
      <c r="E22" s="33">
        <f>IFERROR(__xludf.DUMMYFUNCTION("to_date(index(sort(GOOGLEFINANCE(A22, ""high"", today()-52*7, today(), ""DAILY""),2,0),2,1))"),46080.64583333333)</f>
        <v>46080.64583</v>
      </c>
      <c r="F22" s="32">
        <f>IFERROR(__xludf.DUMMYFUNCTION("GOOGLEFINANCE(A22,""low52"")"),5219.5)</f>
        <v>5219.5</v>
      </c>
      <c r="G22" s="33">
        <f>IFERROR(__xludf.DUMMYFUNCTION("to_date(index(sort(GOOGLEFINANCE(A22, ""low"", today()-52*7, today(), ""DAILY""),2,1),1,1))"),45821.64583333333)</f>
        <v>45821.64583</v>
      </c>
      <c r="H22" s="61">
        <f>IFERROR(__xludf.DUMMYFUNCTION("MIN(QUERY(SORT(GOOGLEFINANCE(A22,""low"",TODAY()-40,TODAY()),1,0),""select Col2 limit 20""))"),6752.5)</f>
        <v>6752.5</v>
      </c>
      <c r="I22" s="61">
        <f t="shared" si="1"/>
        <v>6.034658512</v>
      </c>
      <c r="J22" s="35" t="str">
        <f t="shared" si="2"/>
        <v>No need to fresh start</v>
      </c>
    </row>
    <row r="23">
      <c r="A23" s="67" t="s">
        <v>160</v>
      </c>
      <c r="B23" s="59">
        <f>IFERROR(__xludf.DUMMYFUNCTION("GOOGLEFINANCE(A23,""price"")"),3128.6)</f>
        <v>3128.6</v>
      </c>
      <c r="C23" s="60">
        <f>IFERROR(__xludf.DUMMYFUNCTION("MAX(QUERY(SORT(GOOGLEFINANCE(A23,""high"",TODAY()-100,TODAY()),1,0),""select Col2 limit 55""))"),3399.0)</f>
        <v>3399</v>
      </c>
      <c r="D23" s="32">
        <f>IFERROR(__xludf.DUMMYFUNCTION("GOOGLEFINANCE(A23,""high52"")"),3839.9)</f>
        <v>3839.9</v>
      </c>
      <c r="E23" s="33">
        <f>IFERROR(__xludf.DUMMYFUNCTION("to_date(index(sort(GOOGLEFINANCE(A23, ""high"", today()-52*7, today(), ""DAILY""),2,0),2,1))"),46027.64583333333)</f>
        <v>46027.64583</v>
      </c>
      <c r="F23" s="32">
        <f>IFERROR(__xludf.DUMMYFUNCTION("GOOGLEFINANCE(A23,""low52"")"),2896.0)</f>
        <v>2896</v>
      </c>
      <c r="G23" s="33">
        <f>IFERROR(__xludf.DUMMYFUNCTION("to_date(index(sort(GOOGLEFINANCE(A23, ""low"", today()-52*7, today(), ""DAILY""),2,1),1,1))"),46097.64583333333)</f>
        <v>46097.64583</v>
      </c>
      <c r="H23" s="61">
        <f>IFERROR(__xludf.DUMMYFUNCTION("MIN(QUERY(SORT(GOOGLEFINANCE(A23,""low"",TODAY()-40,TODAY()),1,0),""select Col2 limit 20""))"),3033.0)</f>
        <v>3033</v>
      </c>
      <c r="I23" s="61">
        <f t="shared" si="1"/>
        <v>8.642843444</v>
      </c>
      <c r="J23" s="35" t="str">
        <f t="shared" si="2"/>
        <v>No need to fresh start</v>
      </c>
    </row>
    <row r="24">
      <c r="A24" s="67" t="s">
        <v>63</v>
      </c>
      <c r="B24" s="59">
        <f>IFERROR(__xludf.DUMMYFUNCTION("GOOGLEFINANCE(A24,""price"")"),304.9)</f>
        <v>304.9</v>
      </c>
      <c r="C24" s="60">
        <f>IFERROR(__xludf.DUMMYFUNCTION("MAX(QUERY(SORT(GOOGLEFINANCE(A24,""high"",TODAY()-100,TODAY()),1,0),""select Col2 limit 55""))"),367.85)</f>
        <v>367.85</v>
      </c>
      <c r="D24" s="32">
        <f>IFERROR(__xludf.DUMMYFUNCTION("GOOGLEFINANCE(A24,""high52"")"),391.65)</f>
        <v>391.65</v>
      </c>
      <c r="E24" s="33">
        <f>IFERROR(__xludf.DUMMYFUNCTION("to_date(index(sort(GOOGLEFINANCE(A24, ""high"", today()-52*7, today(), ""DAILY""),2,0),2,1))"),46058.64583333333)</f>
        <v>46058.64583</v>
      </c>
      <c r="F24" s="32">
        <f>IFERROR(__xludf.DUMMYFUNCTION("GOOGLEFINANCE(A24,""low52"")"),266.6)</f>
        <v>266.6</v>
      </c>
      <c r="G24" s="33">
        <f>IFERROR(__xludf.DUMMYFUNCTION("to_date(index(sort(GOOGLEFINANCE(A24, ""low"", today()-52*7, today(), ""DAILY""),2,1),1,1))"),46114.64583333333)</f>
        <v>46114.64583</v>
      </c>
      <c r="H24" s="61">
        <f>IFERROR(__xludf.DUMMYFUNCTION("MIN(QUERY(SORT(GOOGLEFINANCE(A24,""low"",TODAY()-40,TODAY()),1,0),""select Col2 limit 20""))"),276.6)</f>
        <v>276.6</v>
      </c>
      <c r="I24" s="61">
        <f t="shared" si="1"/>
        <v>20.64611348</v>
      </c>
      <c r="J24" s="35" t="str">
        <f t="shared" si="2"/>
        <v>No need to fresh start</v>
      </c>
    </row>
    <row r="25">
      <c r="A25" s="67" t="s">
        <v>192</v>
      </c>
      <c r="B25" s="59">
        <f>IFERROR(__xludf.DUMMYFUNCTION("GOOGLEFINANCE(A25,""price"")"),764.75)</f>
        <v>764.75</v>
      </c>
      <c r="C25" s="60">
        <f>IFERROR(__xludf.DUMMYFUNCTION("MAX(QUERY(SORT(GOOGLEFINANCE(A25,""high"",TODAY()-100,TODAY()),1,0),""select Col2 limit 55""))"),881.4)</f>
        <v>881.4</v>
      </c>
      <c r="D25" s="32">
        <f>IFERROR(__xludf.DUMMYFUNCTION("GOOGLEFINANCE(A25,""high52"")"),1020.5)</f>
        <v>1020.5</v>
      </c>
      <c r="E25" s="33">
        <f>IFERROR(__xludf.DUMMYFUNCTION("to_date(index(sort(GOOGLEFINANCE(A25, ""high"", today()-52*7, today(), ""DAILY""),2,0),2,1))"),45953.64583333333)</f>
        <v>45953.64583</v>
      </c>
      <c r="F25" s="32">
        <f>IFERROR(__xludf.DUMMYFUNCTION("GOOGLEFINANCE(A25,""low52"")"),726.65)</f>
        <v>726.65</v>
      </c>
      <c r="G25" s="33">
        <f>IFERROR(__xludf.DUMMYFUNCTION("to_date(index(sort(GOOGLEFINANCE(A25, ""low"", today()-52*7, today(), ""DAILY""),2,1),1,1))"),46111.64583333333)</f>
        <v>46111.64583</v>
      </c>
      <c r="H25" s="61">
        <f>IFERROR(__xludf.DUMMYFUNCTION("MIN(QUERY(SORT(GOOGLEFINANCE(A25,""low"",TODAY()-40,TODAY()),1,0),""select Col2 limit 20""))"),747.0)</f>
        <v>747</v>
      </c>
      <c r="I25" s="61">
        <f t="shared" si="1"/>
        <v>15.25335077</v>
      </c>
      <c r="J25" s="35" t="str">
        <f t="shared" si="2"/>
        <v>Start GTT Order</v>
      </c>
    </row>
    <row r="26">
      <c r="A26" s="67" t="s">
        <v>176</v>
      </c>
      <c r="B26" s="59">
        <f>IFERROR(__xludf.DUMMYFUNCTION("GOOGLEFINANCE(A26,""price"")"),293.95)</f>
        <v>293.95</v>
      </c>
      <c r="C26" s="60">
        <f>IFERROR(__xludf.DUMMYFUNCTION("MAX(QUERY(SORT(GOOGLEFINANCE(A26,""high"",TODAY()-100,TODAY()),1,0),""select Col2 limit 55""))"),317.9)</f>
        <v>317.9</v>
      </c>
      <c r="D26" s="32">
        <f>IFERROR(__xludf.DUMMYFUNCTION("GOOGLEFINANCE(A26,""high52"")"),444.2)</f>
        <v>444.2</v>
      </c>
      <c r="E26" s="33">
        <f>IFERROR(__xludf.DUMMYFUNCTION("to_date(index(sort(GOOGLEFINANCE(A26, ""high"", today()-52*7, today(), ""DAILY""),2,0),2,1))"),45818.64583333333)</f>
        <v>45818.64583</v>
      </c>
      <c r="F26" s="32">
        <f>IFERROR(__xludf.DUMMYFUNCTION("GOOGLEFINANCE(A26,""low52"")"),287.0)</f>
        <v>287</v>
      </c>
      <c r="G26" s="33">
        <f>IFERROR(__xludf.DUMMYFUNCTION("to_date(index(sort(GOOGLEFINANCE(A26, ""low"", today()-52*7, today(), ""DAILY""),2,1),1,1))"),46111.64583333333)</f>
        <v>46111.64583</v>
      </c>
      <c r="H26" s="61">
        <f>IFERROR(__xludf.DUMMYFUNCTION("MIN(QUERY(SORT(GOOGLEFINANCE(A26,""low"",TODAY()-40,TODAY()),1,0),""select Col2 limit 20""))"),300.1)</f>
        <v>300.1</v>
      </c>
      <c r="I26" s="61">
        <f t="shared" si="1"/>
        <v>8.147644157</v>
      </c>
      <c r="J26" s="35" t="str">
        <f t="shared" si="2"/>
        <v>No need to fresh start</v>
      </c>
    </row>
    <row r="27">
      <c r="A27" s="67" t="s">
        <v>201</v>
      </c>
      <c r="B27" s="59" t="str">
        <f>IFERROR(__xludf.DUMMYFUNCTION("GOOGLEFINANCE(A27,""price"")"),"#N/A")</f>
        <v>#N/A</v>
      </c>
      <c r="C27" s="60" t="str">
        <f>IFERROR(__xludf.DUMMYFUNCTION("MAX(QUERY(SORT(GOOGLEFINANCE(A27,""high"",TODAY()-100,TODAY()),1,0),""select Col2 limit 55""))"),"#N/A")</f>
        <v>#N/A</v>
      </c>
      <c r="D27" s="32" t="str">
        <f>IFERROR(__xludf.DUMMYFUNCTION("GOOGLEFINANCE(A27,""high52"")"),"#N/A")</f>
        <v>#N/A</v>
      </c>
      <c r="E27" s="33" t="str">
        <f>IFERROR(__xludf.DUMMYFUNCTION("to_date(index(sort(GOOGLEFINANCE(A27, ""high"", today()-52*7, today(), ""DAILY""),2,0),2,1))"),"#N/A")</f>
        <v>#N/A</v>
      </c>
      <c r="F27" s="32" t="str">
        <f>IFERROR(__xludf.DUMMYFUNCTION("GOOGLEFINANCE(A27,""low52"")"),"#N/A")</f>
        <v>#N/A</v>
      </c>
      <c r="G27" s="33" t="str">
        <f>IFERROR(__xludf.DUMMYFUNCTION("to_date(index(sort(GOOGLEFINANCE(A27, ""low"", today()-52*7, today(), ""DAILY""),2,1),1,1))"),"#N/A")</f>
        <v>#N/A</v>
      </c>
      <c r="H27" s="61" t="str">
        <f>IFERROR(__xludf.DUMMYFUNCTION("MIN(QUERY(SORT(GOOGLEFINANCE(A27,""low"",TODAY()-40,TODAY()),1,0),""select Col2 limit 20""))"),"#N/A")</f>
        <v>#N/A</v>
      </c>
      <c r="I27" s="61" t="str">
        <f t="shared" si="1"/>
        <v>#N/A</v>
      </c>
      <c r="J27" s="35" t="str">
        <f t="shared" si="2"/>
        <v>#N/A</v>
      </c>
    </row>
    <row r="28">
      <c r="A28" s="67" t="s">
        <v>179</v>
      </c>
      <c r="B28" s="59">
        <f>IFERROR(__xludf.DUMMYFUNCTION("GOOGLEFINANCE(A28,""price"")"),25560.0)</f>
        <v>25560</v>
      </c>
      <c r="C28" s="60">
        <f>IFERROR(__xludf.DUMMYFUNCTION("MAX(QUERY(SORT(GOOGLEFINANCE(A28,""high"",TODAY()-100,TODAY()),1,0),""select Col2 limit 55""))"),25990.0)</f>
        <v>25990</v>
      </c>
      <c r="D28" s="32">
        <f>IFERROR(__xludf.DUMMYFUNCTION("GOOGLEFINANCE(A28,""high52"")"),32490.0)</f>
        <v>32490</v>
      </c>
      <c r="E28" s="33">
        <f>IFERROR(__xludf.DUMMYFUNCTION("to_date(index(sort(GOOGLEFINANCE(A28, ""high"", today()-52*7, today(), ""DAILY""),2,0),2,1))"),45860.64583333333)</f>
        <v>45860.64583</v>
      </c>
      <c r="F28" s="32">
        <f>IFERROR(__xludf.DUMMYFUNCTION("GOOGLEFINANCE(A28,""low52"")"),22550.0)</f>
        <v>22550</v>
      </c>
      <c r="G28" s="33">
        <f>IFERROR(__xludf.DUMMYFUNCTION("to_date(index(sort(GOOGLEFINANCE(A28, ""low"", today()-52*7, today(), ""DAILY""),2,1),1,1))"),46104.64583333333)</f>
        <v>46104.64583</v>
      </c>
      <c r="H28" s="61">
        <f>IFERROR(__xludf.DUMMYFUNCTION("MIN(QUERY(SORT(GOOGLEFINANCE(A28,""low"",TODAY()-40,TODAY()),1,0),""select Col2 limit 20""))"),23800.0)</f>
        <v>23800</v>
      </c>
      <c r="I28" s="61">
        <f t="shared" si="1"/>
        <v>1.682316119</v>
      </c>
      <c r="J28" s="35" t="str">
        <f t="shared" si="2"/>
        <v>No need to fresh start</v>
      </c>
    </row>
    <row r="29">
      <c r="A29" s="67" t="s">
        <v>131</v>
      </c>
      <c r="B29" s="59">
        <f>IFERROR(__xludf.DUMMYFUNCTION("GOOGLEFINANCE(A29,""price"")"),1165.5)</f>
        <v>1165.5</v>
      </c>
      <c r="C29" s="60">
        <f>IFERROR(__xludf.DUMMYFUNCTION("MAX(QUERY(SORT(GOOGLEFINANCE(A29,""high"",TODAY()-100,TODAY()),1,0),""select Col2 limit 55""))"),1376.9)</f>
        <v>1376.9</v>
      </c>
      <c r="D29" s="32">
        <f>IFERROR(__xludf.DUMMYFUNCTION("GOOGLEFINANCE(A29,""high52"")"),1728.0)</f>
        <v>1728</v>
      </c>
      <c r="E29" s="33">
        <f>IFERROR(__xludf.DUMMYFUNCTION("to_date(index(sort(GOOGLEFINANCE(A29, ""high"", today()-52*7, today(), ""DAILY""),2,0),2,1))"),46056.64583333333)</f>
        <v>46056.64583</v>
      </c>
      <c r="F29" s="32">
        <f>IFERROR(__xludf.DUMMYFUNCTION("GOOGLEFINANCE(A29,""low52"")"),1089.0)</f>
        <v>1089</v>
      </c>
      <c r="G29" s="33">
        <f>IFERROR(__xludf.DUMMYFUNCTION("to_date(index(sort(GOOGLEFINANCE(A29, ""low"", today()-52*7, today(), ""DAILY""),2,1),1,1))"),46156.64583333333)</f>
        <v>46156.64583</v>
      </c>
      <c r="H29" s="61">
        <f>IFERROR(__xludf.DUMMYFUNCTION("MIN(QUERY(SORT(GOOGLEFINANCE(A29,""low"",TODAY()-40,TODAY()),1,0),""select Col2 limit 20""))"),1089.0)</f>
        <v>1089</v>
      </c>
      <c r="I29" s="61">
        <f t="shared" si="1"/>
        <v>18.13813814</v>
      </c>
      <c r="J29" s="35" t="str">
        <f t="shared" si="2"/>
        <v>Start GTT Order</v>
      </c>
    </row>
    <row r="30">
      <c r="A30" s="67" t="s">
        <v>150</v>
      </c>
      <c r="B30" s="59">
        <f>IFERROR(__xludf.DUMMYFUNCTION("GOOGLEFINANCE(A30,""price"")"),6783.0)</f>
        <v>6783</v>
      </c>
      <c r="C30" s="60">
        <f>IFERROR(__xludf.DUMMYFUNCTION("MAX(QUERY(SORT(GOOGLEFINANCE(A30,""high"",TODAY()-100,TODAY()),1,0),""select Col2 limit 55""))"),6968.0)</f>
        <v>6968</v>
      </c>
      <c r="D30" s="32">
        <f>IFERROR(__xludf.DUMMYFUNCTION("GOOGLEFINANCE(A30,""high52"")"),7071.5)</f>
        <v>7071.5</v>
      </c>
      <c r="E30" s="33">
        <f>IFERROR(__xludf.DUMMYFUNCTION("to_date(index(sort(GOOGLEFINANCE(A30, ""high"", today()-52*7, today(), ""DAILY""),2,0),2,1))"),45846.64583333333)</f>
        <v>45846.64583</v>
      </c>
      <c r="F30" s="32">
        <f>IFERROR(__xludf.DUMMYFUNCTION("GOOGLEFINANCE(A30,""low52"")"),5636.5)</f>
        <v>5636.5</v>
      </c>
      <c r="G30" s="33">
        <f>IFERROR(__xludf.DUMMYFUNCTION("to_date(index(sort(GOOGLEFINANCE(A30, ""low"", today()-52*7, today(), ""DAILY""),2,1),1,1))"),45929.64583333333)</f>
        <v>45929.64583</v>
      </c>
      <c r="H30" s="61">
        <f>IFERROR(__xludf.DUMMYFUNCTION("MIN(QUERY(SORT(GOOGLEFINANCE(A30,""low"",TODAY()-40,TODAY()),1,0),""select Col2 limit 20""))"),6416.5)</f>
        <v>6416.5</v>
      </c>
      <c r="I30" s="61">
        <f t="shared" si="1"/>
        <v>2.727406752</v>
      </c>
      <c r="J30" s="35" t="str">
        <f t="shared" si="2"/>
        <v>No need to fresh start</v>
      </c>
    </row>
    <row r="31">
      <c r="A31" s="67" t="s">
        <v>143</v>
      </c>
      <c r="B31" s="59">
        <f>IFERROR(__xludf.DUMMYFUNCTION("GOOGLEFINANCE(A31,""price"")"),4068.6)</f>
        <v>4068.6</v>
      </c>
      <c r="C31" s="60">
        <f>IFERROR(__xludf.DUMMYFUNCTION("MAX(QUERY(SORT(GOOGLEFINANCE(A31,""high"",TODAY()-100,TODAY()),1,0),""select Col2 limit 55""))"),4149.0)</f>
        <v>4149</v>
      </c>
      <c r="D31" s="32">
        <f>IFERROR(__xludf.DUMMYFUNCTION("GOOGLEFINANCE(A31,""high52"")"),4440.0)</f>
        <v>4440</v>
      </c>
      <c r="E31" s="33">
        <f>IFERROR(__xludf.DUMMYFUNCTION("to_date(index(sort(GOOGLEFINANCE(A31, ""high"", today()-52*7, today(), ""DAILY""),2,0),2,1))"),46077.64583333333)</f>
        <v>46077.64583</v>
      </c>
      <c r="F31" s="32">
        <f>IFERROR(__xludf.DUMMYFUNCTION("GOOGLEFINANCE(A31,""low52"")"),3288.1)</f>
        <v>3288.1</v>
      </c>
      <c r="G31" s="33">
        <f>IFERROR(__xludf.DUMMYFUNCTION("to_date(index(sort(GOOGLEFINANCE(A31, ""low"", today()-52*7, today(), ""DAILY""),2,1),1,1))"),46085.64583333333)</f>
        <v>46085.64583</v>
      </c>
      <c r="H31" s="61">
        <f>IFERROR(__xludf.DUMMYFUNCTION("MIN(QUERY(SORT(GOOGLEFINANCE(A31,""low"",TODAY()-40,TODAY()),1,0),""select Col2 limit 20""))"),3847.0)</f>
        <v>3847</v>
      </c>
      <c r="I31" s="61">
        <f t="shared" si="1"/>
        <v>1.976109718</v>
      </c>
      <c r="J31" s="35" t="str">
        <f t="shared" si="2"/>
        <v>No need to fresh start</v>
      </c>
    </row>
    <row r="32">
      <c r="A32" s="67" t="s">
        <v>180</v>
      </c>
      <c r="B32" s="59">
        <f>IFERROR(__xludf.DUMMYFUNCTION("GOOGLEFINANCE(A32,""price"")"),5322.0)</f>
        <v>5322</v>
      </c>
      <c r="C32" s="60">
        <f>IFERROR(__xludf.DUMMYFUNCTION("MAX(QUERY(SORT(GOOGLEFINANCE(A32,""high"",TODAY()-100,TODAY()),1,0),""select Col2 limit 55""))"),6013.0)</f>
        <v>6013</v>
      </c>
      <c r="D32" s="32">
        <f>IFERROR(__xludf.DUMMYFUNCTION("GOOGLEFINANCE(A32,""high52"")"),6336.0)</f>
        <v>6336</v>
      </c>
      <c r="E32" s="33">
        <f>IFERROR(__xludf.DUMMYFUNCTION("to_date(index(sort(GOOGLEFINANCE(A32, ""high"", today()-52*7, today(), ""DAILY""),2,0),2,1))"),45904.64583333333)</f>
        <v>45904.64583</v>
      </c>
      <c r="F32" s="32">
        <f>IFERROR(__xludf.DUMMYFUNCTION("GOOGLEFINANCE(A32,""low52"")"),5279.5)</f>
        <v>5279.5</v>
      </c>
      <c r="G32" s="33">
        <f>IFERROR(__xludf.DUMMYFUNCTION("to_date(index(sort(GOOGLEFINANCE(A32, ""low"", today()-52*7, today(), ""DAILY""),2,1),1,1))"),46155.64583333333)</f>
        <v>46155.64583</v>
      </c>
      <c r="H32" s="61">
        <f>IFERROR(__xludf.DUMMYFUNCTION("MIN(QUERY(SORT(GOOGLEFINANCE(A32,""low"",TODAY()-40,TODAY()),1,0),""select Col2 limit 20""))"),5279.5)</f>
        <v>5279.5</v>
      </c>
      <c r="I32" s="61">
        <f t="shared" si="1"/>
        <v>12.98384066</v>
      </c>
      <c r="J32" s="35" t="str">
        <f t="shared" si="2"/>
        <v>Start GTT Order</v>
      </c>
    </row>
    <row r="33">
      <c r="A33" s="67" t="s">
        <v>198</v>
      </c>
      <c r="B33" s="59">
        <f>IFERROR(__xludf.DUMMYFUNCTION("GOOGLEFINANCE(A33,""price"")"),11665.0)</f>
        <v>11665</v>
      </c>
      <c r="C33" s="60">
        <f>IFERROR(__xludf.DUMMYFUNCTION("MAX(QUERY(SORT(GOOGLEFINANCE(A33,""high"",TODAY()-100,TODAY()),1,0),""select Col2 limit 55""))"),12500.0)</f>
        <v>12500</v>
      </c>
      <c r="D33" s="32">
        <f>IFERROR(__xludf.DUMMYFUNCTION("GOOGLEFINANCE(A33,""high52"")"),13110.0)</f>
        <v>13110</v>
      </c>
      <c r="E33" s="33">
        <f>IFERROR(__xludf.DUMMYFUNCTION("to_date(index(sort(GOOGLEFINANCE(A33, ""high"", today()-52*7, today(), ""DAILY""),2,0),2,1))"),46063.64583333333)</f>
        <v>46063.64583</v>
      </c>
      <c r="F33" s="32">
        <f>IFERROR(__xludf.DUMMYFUNCTION("GOOGLEFINANCE(A33,""low52"")"),10325.0)</f>
        <v>10325</v>
      </c>
      <c r="G33" s="33">
        <f>IFERROR(__xludf.DUMMYFUNCTION("to_date(index(sort(GOOGLEFINANCE(A33, ""low"", today()-52*7, today(), ""DAILY""),2,1),1,1))"),46104.64583333333)</f>
        <v>46104.64583</v>
      </c>
      <c r="H33" s="61">
        <f>IFERROR(__xludf.DUMMYFUNCTION("MIN(QUERY(SORT(GOOGLEFINANCE(A33,""low"",TODAY()-40,TODAY()),1,0),""select Col2 limit 20""))"),11211.0)</f>
        <v>11211</v>
      </c>
      <c r="I33" s="61">
        <f t="shared" si="1"/>
        <v>7.158165452</v>
      </c>
      <c r="J33" s="35" t="str">
        <f t="shared" si="2"/>
        <v>No need to fresh start</v>
      </c>
    </row>
    <row r="34">
      <c r="A34" s="67" t="s">
        <v>125</v>
      </c>
      <c r="B34" s="59">
        <f>IFERROR(__xludf.DUMMYFUNCTION("GOOGLEFINANCE(A34,""price"")"),1830.6)</f>
        <v>1830.6</v>
      </c>
      <c r="C34" s="60">
        <f>IFERROR(__xludf.DUMMYFUNCTION("MAX(QUERY(SORT(GOOGLEFINANCE(A34,""high"",TODAY()-100,TODAY()),1,0),""select Col2 limit 55""))"),1823.9)</f>
        <v>1823.9</v>
      </c>
      <c r="D34" s="32">
        <f>IFERROR(__xludf.DUMMYFUNCTION("GOOGLEFINANCE(A34,""high52"")"),1842.8)</f>
        <v>1842.8</v>
      </c>
      <c r="E34" s="33">
        <f>IFERROR(__xludf.DUMMYFUNCTION("to_date(index(sort(GOOGLEFINANCE(A34, ""high"", today()-52*7, today(), ""DAILY""),2,0),2,1))"),46157.64583333333)</f>
        <v>46157.64583</v>
      </c>
      <c r="F34" s="32">
        <f>IFERROR(__xludf.DUMMYFUNCTION("GOOGLEFINANCE(A34,""low52"")"),1290.5)</f>
        <v>1290.5</v>
      </c>
      <c r="G34" s="33">
        <f>IFERROR(__xludf.DUMMYFUNCTION("to_date(index(sort(GOOGLEFINANCE(A34, ""low"", today()-52*7, today(), ""DAILY""),2,1),1,1))"),45883.64583333333)</f>
        <v>45883.64583</v>
      </c>
      <c r="H34" s="61">
        <f>IFERROR(__xludf.DUMMYFUNCTION("MIN(QUERY(SORT(GOOGLEFINANCE(A34,""low"",TODAY()-40,TODAY()),1,0),""select Col2 limit 20""))"),1596.8)</f>
        <v>1596.8</v>
      </c>
      <c r="I34" s="61">
        <f t="shared" si="1"/>
        <v>-0.3660002185</v>
      </c>
      <c r="J34" s="35" t="str">
        <f t="shared" si="2"/>
        <v>No need to fresh start</v>
      </c>
    </row>
    <row r="35">
      <c r="A35" s="67" t="s">
        <v>161</v>
      </c>
      <c r="B35" s="59">
        <f>IFERROR(__xludf.DUMMYFUNCTION("GOOGLEFINANCE(A35,""price"")"),1329.1)</f>
        <v>1329.1</v>
      </c>
      <c r="C35" s="60">
        <f>IFERROR(__xludf.DUMMYFUNCTION("MAX(QUERY(SORT(GOOGLEFINANCE(A35,""high"",TODAY()-100,TODAY()),1,0),""select Col2 limit 55""))"),1375.9)</f>
        <v>1375.9</v>
      </c>
      <c r="D35" s="32">
        <f>IFERROR(__xludf.DUMMYFUNCTION("GOOGLEFINANCE(A35,""high52"")"),1379.7)</f>
        <v>1379.7</v>
      </c>
      <c r="E35" s="33">
        <f>IFERROR(__xludf.DUMMYFUNCTION("to_date(index(sort(GOOGLEFINANCE(A35, ""high"", today()-52*7, today(), ""DAILY""),2,0),2,1))"),45820.64583333333)</f>
        <v>45820.64583</v>
      </c>
      <c r="F35" s="32">
        <f>IFERROR(__xludf.DUMMYFUNCTION("GOOGLEFINANCE(A35,""low52"")"),1148.4)</f>
        <v>1148.4</v>
      </c>
      <c r="G35" s="33">
        <f>IFERROR(__xludf.DUMMYFUNCTION("to_date(index(sort(GOOGLEFINANCE(A35, ""low"", today()-52*7, today(), ""DAILY""),2,1),1,1))"),46043.64583333333)</f>
        <v>46043.64583</v>
      </c>
      <c r="H35" s="61">
        <f>IFERROR(__xludf.DUMMYFUNCTION("MIN(QUERY(SORT(GOOGLEFINANCE(A35,""low"",TODAY()-40,TODAY()),1,0),""select Col2 limit 20""))"),1230.0)</f>
        <v>1230</v>
      </c>
      <c r="I35" s="61">
        <f t="shared" si="1"/>
        <v>3.521179746</v>
      </c>
      <c r="J35" s="35" t="str">
        <f t="shared" si="2"/>
        <v>No need to fresh start</v>
      </c>
    </row>
    <row r="36">
      <c r="A36" s="67" t="s">
        <v>163</v>
      </c>
      <c r="B36" s="59">
        <f>IFERROR(__xludf.DUMMYFUNCTION("GOOGLEFINANCE(A36,""price"")"),657.6)</f>
        <v>657.6</v>
      </c>
      <c r="C36" s="60">
        <f>IFERROR(__xludf.DUMMYFUNCTION("MAX(QUERY(SORT(GOOGLEFINANCE(A36,""high"",TODAY()-100,TODAY()),1,0),""select Col2 limit 55""))"),682.6)</f>
        <v>682.6</v>
      </c>
      <c r="D36" s="32">
        <f>IFERROR(__xludf.DUMMYFUNCTION("GOOGLEFINANCE(A36,""high52"")"),812.2)</f>
        <v>812.2</v>
      </c>
      <c r="E36" s="33">
        <f>IFERROR(__xludf.DUMMYFUNCTION("to_date(index(sort(GOOGLEFINANCE(A36, ""high"", today()-52*7, today(), ""DAILY""),2,0),2,1))"),46024.64583333333)</f>
        <v>46024.64583</v>
      </c>
      <c r="F36" s="32">
        <f>IFERROR(__xludf.DUMMYFUNCTION("GOOGLEFINANCE(A36,""low52"")"),565.15)</f>
        <v>565.15</v>
      </c>
      <c r="G36" s="33">
        <f>IFERROR(__xludf.DUMMYFUNCTION("to_date(index(sort(GOOGLEFINANCE(A36, ""low"", today()-52*7, today(), ""DAILY""),2,1),1,1))"),46111.64583333333)</f>
        <v>46111.64583</v>
      </c>
      <c r="H36" s="61">
        <f>IFERROR(__xludf.DUMMYFUNCTION("MIN(QUERY(SORT(GOOGLEFINANCE(A36,""low"",TODAY()-40,TODAY()),1,0),""select Col2 limit 20""))"),618.3)</f>
        <v>618.3</v>
      </c>
      <c r="I36" s="61">
        <f t="shared" si="1"/>
        <v>3.801703163</v>
      </c>
      <c r="J36" s="35" t="str">
        <f t="shared" si="2"/>
        <v>No need to fresh start</v>
      </c>
    </row>
    <row r="37">
      <c r="A37" s="67" t="s">
        <v>204</v>
      </c>
      <c r="B37" s="59">
        <f>IFERROR(__xludf.DUMMYFUNCTION("GOOGLEFINANCE(A37,""price"")"),389.05)</f>
        <v>389.05</v>
      </c>
      <c r="C37" s="60">
        <f>IFERROR(__xludf.DUMMYFUNCTION("MAX(QUERY(SORT(GOOGLEFINANCE(A37,""high"",TODAY()-100,TODAY()),1,0),""select Col2 limit 55""))"),410.5)</f>
        <v>410.5</v>
      </c>
      <c r="D37" s="32">
        <f>IFERROR(__xludf.DUMMYFUNCTION("GOOGLEFINANCE(A37,""high52"")"),453.2)</f>
        <v>453.2</v>
      </c>
      <c r="E37" s="33">
        <f>IFERROR(__xludf.DUMMYFUNCTION("to_date(index(sort(GOOGLEFINANCE(A37, ""high"", today()-52*7, today(), ""DAILY""),2,0),2,1))"),45950.64583333333)</f>
        <v>45950.64583</v>
      </c>
      <c r="F37" s="32">
        <f>IFERROR(__xludf.DUMMYFUNCTION("GOOGLEFINANCE(A37,""low52"")"),345.5)</f>
        <v>345.5</v>
      </c>
      <c r="G37" s="33">
        <f>IFERROR(__xludf.DUMMYFUNCTION("to_date(index(sort(GOOGLEFINANCE(A37, ""low"", today()-52*7, today(), ""DAILY""),2,1),1,1))"),46114.64583333333)</f>
        <v>46114.64583</v>
      </c>
      <c r="H37" s="61">
        <f>IFERROR(__xludf.DUMMYFUNCTION("MIN(QUERY(SORT(GOOGLEFINANCE(A37,""low"",TODAY()-40,TODAY()),1,0),""select Col2 limit 20""))"),363.0)</f>
        <v>363</v>
      </c>
      <c r="I37" s="61">
        <f t="shared" si="1"/>
        <v>5.51343015</v>
      </c>
      <c r="J37" s="35" t="str">
        <f t="shared" si="2"/>
        <v>No need to fresh start</v>
      </c>
    </row>
    <row r="38">
      <c r="A38" s="67" t="s">
        <v>154</v>
      </c>
      <c r="B38" s="59">
        <f>IFERROR(__xludf.DUMMYFUNCTION("GOOGLEFINANCE(A38,""price"")"),2680.0)</f>
        <v>2680</v>
      </c>
      <c r="C38" s="60">
        <f>IFERROR(__xludf.DUMMYFUNCTION("MAX(QUERY(SORT(GOOGLEFINANCE(A38,""high"",TODAY()-100,TODAY()),1,0),""select Col2 limit 55""))"),2684.1)</f>
        <v>2684.1</v>
      </c>
      <c r="D38" s="32">
        <f>IFERROR(__xludf.DUMMYFUNCTION("GOOGLEFINANCE(A38,""high52"")"),2985.7)</f>
        <v>2985.7</v>
      </c>
      <c r="E38" s="33">
        <f>IFERROR(__xludf.DUMMYFUNCTION("to_date(index(sort(GOOGLEFINANCE(A38, ""high"", today()-52*7, today(), ""DAILY""),2,0),2,1))"),45995.64583333333)</f>
        <v>45995.64583</v>
      </c>
      <c r="F38" s="32">
        <f>IFERROR(__xludf.DUMMYFUNCTION("GOOGLEFINANCE(A38,""low52"")"),2115.0)</f>
        <v>2115</v>
      </c>
      <c r="G38" s="33">
        <f>IFERROR(__xludf.DUMMYFUNCTION("to_date(index(sort(GOOGLEFINANCE(A38, ""low"", today()-52*7, today(), ""DAILY""),2,1),1,1))"),46104.64583333333)</f>
        <v>46104.64583</v>
      </c>
      <c r="H38" s="61">
        <f>IFERROR(__xludf.DUMMYFUNCTION("MIN(QUERY(SORT(GOOGLEFINANCE(A38,""low"",TODAY()-40,TODAY()),1,0),""select Col2 limit 20""))"),2385.5)</f>
        <v>2385.5</v>
      </c>
      <c r="I38" s="61">
        <f t="shared" si="1"/>
        <v>0.1529850746</v>
      </c>
      <c r="J38" s="35" t="str">
        <f t="shared" si="2"/>
        <v>No need to fresh start</v>
      </c>
    </row>
    <row r="39">
      <c r="A39" s="67" t="s">
        <v>126</v>
      </c>
      <c r="B39" s="59">
        <f>IFERROR(__xludf.DUMMYFUNCTION("GOOGLEFINANCE(A39,""price"")"),1166.7)</f>
        <v>1166.7</v>
      </c>
      <c r="C39" s="60">
        <f>IFERROR(__xludf.DUMMYFUNCTION("MAX(QUERY(SORT(GOOGLEFINANCE(A39,""high"",TODAY()-100,TODAY()),1,0),""select Col2 limit 55""))"),1474.9)</f>
        <v>1474.9</v>
      </c>
      <c r="D39" s="32">
        <f>IFERROR(__xludf.DUMMYFUNCTION("GOOGLEFINANCE(A39,""high52"")"),1780.1)</f>
        <v>1780.1</v>
      </c>
      <c r="E39" s="33">
        <f>IFERROR(__xludf.DUMMYFUNCTION("to_date(index(sort(GOOGLEFINANCE(A39, ""high"", today()-52*7, today(), ""DAILY""),2,0),2,1))"),46056.64583333333)</f>
        <v>46056.64583</v>
      </c>
      <c r="F39" s="32">
        <f>IFERROR(__xludf.DUMMYFUNCTION("GOOGLEFINANCE(A39,""low52"")"),1103.4)</f>
        <v>1103.4</v>
      </c>
      <c r="G39" s="33">
        <f>IFERROR(__xludf.DUMMYFUNCTION("to_date(index(sort(GOOGLEFINANCE(A39, ""low"", today()-52*7, today(), ""DAILY""),2,1),1,1))"),46156.64583333333)</f>
        <v>46156.64583</v>
      </c>
      <c r="H39" s="61">
        <f>IFERROR(__xludf.DUMMYFUNCTION("MIN(QUERY(SORT(GOOGLEFINANCE(A39,""low"",TODAY()-40,TODAY()),1,0),""select Col2 limit 20""))"),1103.4)</f>
        <v>1103.4</v>
      </c>
      <c r="I39" s="61">
        <f t="shared" si="1"/>
        <v>26.4163881</v>
      </c>
      <c r="J39" s="35" t="str">
        <f t="shared" si="2"/>
        <v>No need to fresh start</v>
      </c>
    </row>
    <row r="40">
      <c r="A40" s="67" t="s">
        <v>195</v>
      </c>
      <c r="B40" s="59">
        <f>IFERROR(__xludf.DUMMYFUNCTION("GOOGLEFINANCE(A40,""price"")"),1358.1)</f>
        <v>1358.1</v>
      </c>
      <c r="C40" s="60">
        <f>IFERROR(__xludf.DUMMYFUNCTION("MAX(QUERY(SORT(GOOGLEFINANCE(A40,""high"",TODAY()-100,TODAY()),1,0),""select Col2 limit 55""))"),1473.4)</f>
        <v>1473.4</v>
      </c>
      <c r="D40" s="32">
        <f>IFERROR(__xludf.DUMMYFUNCTION("GOOGLEFINANCE(A40,""high52"")"),1611.8)</f>
        <v>1611.8</v>
      </c>
      <c r="E40" s="33">
        <f>IFERROR(__xludf.DUMMYFUNCTION("to_date(index(sort(GOOGLEFINANCE(A40, ""high"", today()-52*7, today(), ""DAILY""),2,0),2,1))"),46027.64583333333)</f>
        <v>46027.64583</v>
      </c>
      <c r="F40" s="32">
        <f>IFERROR(__xludf.DUMMYFUNCTION("GOOGLEFINANCE(A40,""low52"")"),1290.0)</f>
        <v>1290</v>
      </c>
      <c r="G40" s="33">
        <f>IFERROR(__xludf.DUMMYFUNCTION("to_date(index(sort(GOOGLEFINANCE(A40, ""low"", today()-52*7, today(), ""DAILY""),2,1),1,1))"),46118.64583333333)</f>
        <v>46118.64583</v>
      </c>
      <c r="H40" s="61">
        <f>IFERROR(__xludf.DUMMYFUNCTION("MIN(QUERY(SORT(GOOGLEFINANCE(A40,""low"",TODAY()-40,TODAY()),1,0),""select Col2 limit 20""))"),1312.6)</f>
        <v>1312.6</v>
      </c>
      <c r="I40" s="61">
        <f t="shared" si="1"/>
        <v>8.489801929</v>
      </c>
      <c r="J40" s="35" t="str">
        <f t="shared" si="2"/>
        <v>No need to fresh start</v>
      </c>
    </row>
    <row r="41">
      <c r="A41" s="67" t="s">
        <v>174</v>
      </c>
      <c r="B41" s="59">
        <f>IFERROR(__xludf.DUMMYFUNCTION("GOOGLEFINANCE(A41,""price"")"),1808.7)</f>
        <v>1808.7</v>
      </c>
      <c r="C41" s="60">
        <f>IFERROR(__xludf.DUMMYFUNCTION("MAX(QUERY(SORT(GOOGLEFINANCE(A41,""high"",TODAY()-100,TODAY()),1,0),""select Col2 limit 55""))"),1917.9)</f>
        <v>1917.9</v>
      </c>
      <c r="D41" s="32">
        <f>IFERROR(__xludf.DUMMYFUNCTION("GOOGLEFINANCE(A41,""high52"")"),2195.0)</f>
        <v>2195</v>
      </c>
      <c r="E41" s="33">
        <f>IFERROR(__xludf.DUMMYFUNCTION("to_date(index(sort(GOOGLEFINANCE(A41, ""high"", today()-52*7, today(), ""DAILY""),2,0),2,1))"),45953.64583333333)</f>
        <v>45953.64583</v>
      </c>
      <c r="F41" s="32">
        <f>IFERROR(__xludf.DUMMYFUNCTION("GOOGLEFINANCE(A41,""low52"")"),1597.0)</f>
        <v>1597</v>
      </c>
      <c r="G41" s="33">
        <f>IFERROR(__xludf.DUMMYFUNCTION("to_date(index(sort(GOOGLEFINANCE(A41, ""low"", today()-52*7, today(), ""DAILY""),2,1),1,1))"),46114.64583333333)</f>
        <v>46114.64583</v>
      </c>
      <c r="H41" s="61">
        <f>IFERROR(__xludf.DUMMYFUNCTION("MIN(QUERY(SORT(GOOGLEFINANCE(A41,""low"",TODAY()-40,TODAY()),1,0),""select Col2 limit 20""))"),1693.8)</f>
        <v>1693.8</v>
      </c>
      <c r="I41" s="61">
        <f t="shared" si="1"/>
        <v>6.037485487</v>
      </c>
      <c r="J41" s="35" t="str">
        <f t="shared" si="2"/>
        <v>No need to fresh start</v>
      </c>
    </row>
    <row r="42">
      <c r="A42" s="67" t="s">
        <v>146</v>
      </c>
      <c r="B42" s="59">
        <f>IFERROR(__xludf.DUMMYFUNCTION("GOOGLEFINANCE(A42,""price"")"),1202.7)</f>
        <v>1202.7</v>
      </c>
      <c r="C42" s="60">
        <f>IFERROR(__xludf.DUMMYFUNCTION("MAX(QUERY(SORT(GOOGLEFINANCE(A42,""high"",TODAY()-100,TODAY()),1,0),""select Col2 limit 55""))"),1282.7)</f>
        <v>1282.7</v>
      </c>
      <c r="D42" s="32">
        <f>IFERROR(__xludf.DUMMYFUNCTION("GOOGLEFINANCE(A42,""high52"")"),1282.7)</f>
        <v>1282.7</v>
      </c>
      <c r="E42" s="33">
        <f>IFERROR(__xludf.DUMMYFUNCTION("to_date(index(sort(GOOGLEFINANCE(A42, ""high"", today()-52*7, today(), ""DAILY""),2,0),2,1))"),46154.64583333333)</f>
        <v>46154.64583</v>
      </c>
      <c r="F42" s="32">
        <f>IFERROR(__xludf.DUMMYFUNCTION("GOOGLEFINANCE(A42,""low52"")"),1007.2)</f>
        <v>1007.2</v>
      </c>
      <c r="G42" s="33">
        <f>IFERROR(__xludf.DUMMYFUNCTION("to_date(index(sort(GOOGLEFINANCE(A42, ""low"", today()-52*7, today(), ""DAILY""),2,1),1,1))"),46114.64583333333)</f>
        <v>46114.64583</v>
      </c>
      <c r="H42" s="61">
        <f>IFERROR(__xludf.DUMMYFUNCTION("MIN(QUERY(SORT(GOOGLEFINANCE(A42,""low"",TODAY()-40,TODAY()),1,0),""select Col2 limit 20""))"),1135.6)</f>
        <v>1135.6</v>
      </c>
      <c r="I42" s="61">
        <f t="shared" si="1"/>
        <v>6.651700341</v>
      </c>
      <c r="J42" s="35" t="str">
        <f t="shared" si="2"/>
        <v>No need to fresh start</v>
      </c>
    </row>
    <row r="43">
      <c r="A43" s="67" t="s">
        <v>184</v>
      </c>
      <c r="B43" s="59" t="str">
        <f>IFERROR(__xludf.DUMMYFUNCTION("GOOGLEFINANCE(A43,""price"")"),"#N/A")</f>
        <v>#N/A</v>
      </c>
      <c r="C43" s="60" t="str">
        <f>IFERROR(__xludf.DUMMYFUNCTION("MAX(QUERY(SORT(GOOGLEFINANCE(A43,""high"",TODAY()-100,TODAY()),1,0),""select Col2 limit 55""))"),"#N/A")</f>
        <v>#N/A</v>
      </c>
      <c r="D43" s="32" t="str">
        <f>IFERROR(__xludf.DUMMYFUNCTION("GOOGLEFINANCE(A43,""high52"")"),"#N/A")</f>
        <v>#N/A</v>
      </c>
      <c r="E43" s="33" t="str">
        <f>IFERROR(__xludf.DUMMYFUNCTION("to_date(index(sort(GOOGLEFINANCE(A43, ""high"", today()-52*7, today(), ""DAILY""),2,0),2,1))"),"#N/A")</f>
        <v>#N/A</v>
      </c>
      <c r="F43" s="32" t="str">
        <f>IFERROR(__xludf.DUMMYFUNCTION("GOOGLEFINANCE(A43,""low52"")"),"#N/A")</f>
        <v>#N/A</v>
      </c>
      <c r="G43" s="33" t="str">
        <f>IFERROR(__xludf.DUMMYFUNCTION("to_date(index(sort(GOOGLEFINANCE(A43, ""low"", today()-52*7, today(), ""DAILY""),2,1),1,1))"),"#N/A")</f>
        <v>#N/A</v>
      </c>
      <c r="H43" s="61" t="str">
        <f>IFERROR(__xludf.DUMMYFUNCTION("MIN(QUERY(SORT(GOOGLEFINANCE(A43,""low"",TODAY()-40,TODAY()),1,0),""select Col2 limit 20""))"),"#N/A")</f>
        <v>#N/A</v>
      </c>
      <c r="I43" s="61" t="str">
        <f t="shared" si="1"/>
        <v>#N/A</v>
      </c>
      <c r="J43" s="35" t="str">
        <f t="shared" si="2"/>
        <v>#N/A</v>
      </c>
    </row>
    <row r="44">
      <c r="A44" s="67" t="s">
        <v>147</v>
      </c>
      <c r="B44" s="59">
        <f>IFERROR(__xludf.DUMMYFUNCTION("GOOGLEFINANCE(A44,""price"")"),4127.1)</f>
        <v>4127.1</v>
      </c>
      <c r="C44" s="60">
        <f>IFERROR(__xludf.DUMMYFUNCTION("MAX(QUERY(SORT(GOOGLEFINANCE(A44,""high"",TODAY()-100,TODAY()),1,0),""select Col2 limit 55""))"),4605.0)</f>
        <v>4605</v>
      </c>
      <c r="D44" s="32">
        <f>IFERROR(__xludf.DUMMYFUNCTION("GOOGLEFINANCE(A44,""high52"")"),4605.0)</f>
        <v>4605</v>
      </c>
      <c r="E44" s="33">
        <f>IFERROR(__xludf.DUMMYFUNCTION("to_date(index(sort(GOOGLEFINANCE(A44, ""high"", today()-52*7, today(), ""DAILY""),2,0),2,1))"),46150.64583333333)</f>
        <v>46150.64583</v>
      </c>
      <c r="F44" s="32">
        <f>IFERROR(__xludf.DUMMYFUNCTION("GOOGLEFINANCE(A44,""low52"")"),3303.1)</f>
        <v>3303.1</v>
      </c>
      <c r="G44" s="33">
        <f>IFERROR(__xludf.DUMMYFUNCTION("to_date(index(sort(GOOGLEFINANCE(A44, ""low"", today()-52*7, today(), ""DAILY""),2,1),1,1))"),45926.64583333333)</f>
        <v>45926.64583</v>
      </c>
      <c r="H44" s="61">
        <f>IFERROR(__xludf.DUMMYFUNCTION("MIN(QUERY(SORT(GOOGLEFINANCE(A44,""low"",TODAY()-40,TODAY()),1,0),""select Col2 limit 20""))"),3985.1)</f>
        <v>3985.1</v>
      </c>
      <c r="I44" s="61">
        <f t="shared" si="1"/>
        <v>11.5795595</v>
      </c>
      <c r="J44" s="35" t="str">
        <f t="shared" si="2"/>
        <v>No need to fresh start</v>
      </c>
    </row>
    <row r="45">
      <c r="A45" s="67" t="s">
        <v>135</v>
      </c>
      <c r="B45" s="59">
        <f>IFERROR(__xludf.DUMMYFUNCTION("GOOGLEFINANCE(A45,""price"")"),205.72)</f>
        <v>205.72</v>
      </c>
      <c r="C45" s="60">
        <f>IFERROR(__xludf.DUMMYFUNCTION("MAX(QUERY(SORT(GOOGLEFINANCE(A45,""high"",TODAY()-100,TODAY()),1,0),""select Col2 limit 55""))"),212.98)</f>
        <v>212.98</v>
      </c>
      <c r="D45" s="32">
        <f>IFERROR(__xludf.DUMMYFUNCTION("GOOGLEFINANCE(A45,""high52"")"),273.1)</f>
        <v>273.1</v>
      </c>
      <c r="E45" s="33">
        <f>IFERROR(__xludf.DUMMYFUNCTION("to_date(index(sort(GOOGLEFINANCE(A45, ""high"", today()-52*7, today(), ""DAILY""),2,0),2,1))"),46013.64583333333)</f>
        <v>46013.64583</v>
      </c>
      <c r="F45" s="32">
        <f>IFERROR(__xludf.DUMMYFUNCTION("GOOGLEFINANCE(A45,""low52"")"),186.5)</f>
        <v>186.5</v>
      </c>
      <c r="G45" s="33">
        <f>IFERROR(__xludf.DUMMYFUNCTION("to_date(index(sort(GOOGLEFINANCE(A45, ""low"", today()-52*7, today(), ""DAILY""),2,1),1,1))"),46111.64583333333)</f>
        <v>46111.64583</v>
      </c>
      <c r="H45" s="61">
        <f>IFERROR(__xludf.DUMMYFUNCTION("MIN(QUERY(SORT(GOOGLEFINANCE(A45,""low"",TODAY()-40,TODAY()),1,0),""select Col2 limit 20""))"),187.0)</f>
        <v>187</v>
      </c>
      <c r="I45" s="61">
        <f t="shared" si="1"/>
        <v>3.529068637</v>
      </c>
      <c r="J45" s="35" t="str">
        <f t="shared" si="2"/>
        <v>No need to fresh start</v>
      </c>
    </row>
    <row r="46">
      <c r="A46" s="67" t="s">
        <v>129</v>
      </c>
      <c r="B46" s="59">
        <f>IFERROR(__xludf.DUMMYFUNCTION("GOOGLEFINANCE(A46,""price"")"),1475.7)</f>
        <v>1475.7</v>
      </c>
      <c r="C46" s="60">
        <f>IFERROR(__xludf.DUMMYFUNCTION("MAX(QUERY(SORT(GOOGLEFINANCE(A46,""high"",TODAY()-100,TODAY()),1,0),""select Col2 limit 55""))"),1531.3)</f>
        <v>1531.3</v>
      </c>
      <c r="D46" s="32">
        <f>IFERROR(__xludf.DUMMYFUNCTION("GOOGLEFINANCE(A46,""high52"")"),1854.0)</f>
        <v>1854</v>
      </c>
      <c r="E46" s="33">
        <f>IFERROR(__xludf.DUMMYFUNCTION("to_date(index(sort(GOOGLEFINANCE(A46, ""high"", today()-52*7, today(), ""DAILY""),2,0),2,1))"),46056.64583333333)</f>
        <v>46056.64583</v>
      </c>
      <c r="F46" s="32">
        <f>IFERROR(__xludf.DUMMYFUNCTION("GOOGLEFINANCE(A46,""low52"")"),1304.1)</f>
        <v>1304.1</v>
      </c>
      <c r="G46" s="33">
        <f>IFERROR(__xludf.DUMMYFUNCTION("to_date(index(sort(GOOGLEFINANCE(A46, ""low"", today()-52*7, today(), ""DAILY""),2,1),1,1))"),46090.64583333333)</f>
        <v>46090.64583</v>
      </c>
      <c r="H46" s="61">
        <f>IFERROR(__xludf.DUMMYFUNCTION("MIN(QUERY(SORT(GOOGLEFINANCE(A46,""low"",TODAY()-40,TODAY()),1,0),""select Col2 limit 20""))"),1327.3)</f>
        <v>1327.3</v>
      </c>
      <c r="I46" s="61">
        <f t="shared" si="1"/>
        <v>3.767703463</v>
      </c>
      <c r="J46" s="35" t="str">
        <f t="shared" si="2"/>
        <v>No need to fresh start</v>
      </c>
    </row>
    <row r="47">
      <c r="A47" s="67" t="s">
        <v>194</v>
      </c>
      <c r="B47" s="59">
        <f>IFERROR(__xludf.DUMMYFUNCTION("GOOGLEFINANCE(A47,""price"")"),1144.0)</f>
        <v>1144</v>
      </c>
      <c r="C47" s="60">
        <f>IFERROR(__xludf.DUMMYFUNCTION("MAX(QUERY(SORT(GOOGLEFINANCE(A47,""high"",TODAY()-100,TODAY()),1,0),""select Col2 limit 55""))"),1119.8)</f>
        <v>1119.8</v>
      </c>
      <c r="D47" s="32">
        <f>IFERROR(__xludf.DUMMYFUNCTION("GOOGLEFINANCE(A47,""high52"")"),1154.0)</f>
        <v>1154</v>
      </c>
      <c r="E47" s="33">
        <f>IFERROR(__xludf.DUMMYFUNCTION("to_date(index(sort(GOOGLEFINANCE(A47, ""high"", today()-52*7, today(), ""DAILY""),2,0),2,1))"),46167.64583333333)</f>
        <v>46167.64583</v>
      </c>
      <c r="F47" s="32">
        <f>IFERROR(__xludf.DUMMYFUNCTION("GOOGLEFINANCE(A47,""low52"")"),618.0)</f>
        <v>618</v>
      </c>
      <c r="G47" s="33">
        <f>IFERROR(__xludf.DUMMYFUNCTION("to_date(index(sort(GOOGLEFINANCE(A47, ""low"", today()-52*7, today(), ""DAILY""),2,1),1,1))"),45810.64583333333)</f>
        <v>45810.64583</v>
      </c>
      <c r="H47" s="61">
        <f>IFERROR(__xludf.DUMMYFUNCTION("MIN(QUERY(SORT(GOOGLEFINANCE(A47,""low"",TODAY()-40,TODAY()),1,0),""select Col2 limit 20""))"),1022.1)</f>
        <v>1022.1</v>
      </c>
      <c r="I47" s="61">
        <f t="shared" si="1"/>
        <v>-2.115384615</v>
      </c>
      <c r="J47" s="35" t="str">
        <f t="shared" si="2"/>
        <v>No need to fresh start</v>
      </c>
    </row>
    <row r="48">
      <c r="A48" s="67" t="s">
        <v>173</v>
      </c>
      <c r="B48" s="59">
        <f>IFERROR(__xludf.DUMMYFUNCTION("GOOGLEFINANCE(A48,""price"")"),3161.9)</f>
        <v>3161.9</v>
      </c>
      <c r="C48" s="60">
        <f>IFERROR(__xludf.DUMMYFUNCTION("MAX(QUERY(SORT(GOOGLEFINANCE(A48,""high"",TODAY()-100,TODAY()),1,0),""select Col2 limit 55""))"),3196.2)</f>
        <v>3196.2</v>
      </c>
      <c r="D48" s="32">
        <f>IFERROR(__xludf.DUMMYFUNCTION("GOOGLEFINANCE(A48,""high52"")"),3197.5)</f>
        <v>3197.5</v>
      </c>
      <c r="E48" s="33">
        <f>IFERROR(__xludf.DUMMYFUNCTION("to_date(index(sort(GOOGLEFINANCE(A48, ""high"", today()-52*7, today(), ""DAILY""),2,0),2,1))"),46168.64583333333)</f>
        <v>46168.64583</v>
      </c>
      <c r="F48" s="32">
        <f>IFERROR(__xludf.DUMMYFUNCTION("GOOGLEFINANCE(A48,""low52"")"),2502.5)</f>
        <v>2502.5</v>
      </c>
      <c r="G48" s="33">
        <f>IFERROR(__xludf.DUMMYFUNCTION("to_date(index(sort(GOOGLEFINANCE(A48, ""low"", today()-52*7, today(), ""DAILY""),2,1),1,1))"),46104.64583333333)</f>
        <v>46104.64583</v>
      </c>
      <c r="H48" s="61">
        <f>IFERROR(__xludf.DUMMYFUNCTION("MIN(QUERY(SORT(GOOGLEFINANCE(A48,""low"",TODAY()-40,TODAY()),1,0),""select Col2 limit 20""))"),2727.0)</f>
        <v>2727</v>
      </c>
      <c r="I48" s="61">
        <f t="shared" si="1"/>
        <v>1.08479079</v>
      </c>
      <c r="J48" s="35" t="str">
        <f t="shared" si="2"/>
        <v>No need to fresh start</v>
      </c>
    </row>
    <row r="49">
      <c r="A49" s="67" t="s">
        <v>177</v>
      </c>
      <c r="B49" s="59">
        <f>IFERROR(__xludf.DUMMYFUNCTION("GOOGLEFINANCE(A49,""price"")"),217.26)</f>
        <v>217.26</v>
      </c>
      <c r="C49" s="60">
        <f>IFERROR(__xludf.DUMMYFUNCTION("MAX(QUERY(SORT(GOOGLEFINANCE(A49,""high"",TODAY()-100,TODAY()),1,0),""select Col2 limit 55""))"),224.4)</f>
        <v>224.4</v>
      </c>
      <c r="D49" s="32">
        <f>IFERROR(__xludf.DUMMYFUNCTION("GOOGLEFINANCE(A49,""high52"")"),224.4)</f>
        <v>224.4</v>
      </c>
      <c r="E49" s="33">
        <f>IFERROR(__xludf.DUMMYFUNCTION("to_date(index(sort(GOOGLEFINANCE(A49, ""high"", today()-52*7, today(), ""DAILY""),2,0),2,1))"),46157.64583333333)</f>
        <v>46157.64583</v>
      </c>
      <c r="F49" s="32">
        <f>IFERROR(__xludf.DUMMYFUNCTION("GOOGLEFINANCE(A49,""low52"")"),149.8)</f>
        <v>149.8</v>
      </c>
      <c r="G49" s="33">
        <f>IFERROR(__xludf.DUMMYFUNCTION("to_date(index(sort(GOOGLEFINANCE(A49, ""low"", today()-52*7, today(), ""DAILY""),2,1),1,1))"),45821.64583333333)</f>
        <v>45821.64583</v>
      </c>
      <c r="H49" s="61">
        <f>IFERROR(__xludf.DUMMYFUNCTION("MIN(QUERY(SORT(GOOGLEFINANCE(A49,""low"",TODAY()-40,TODAY()),1,0),""select Col2 limit 20""))"),203.04)</f>
        <v>203.04</v>
      </c>
      <c r="I49" s="61">
        <f t="shared" si="1"/>
        <v>3.286384977</v>
      </c>
      <c r="J49" s="35" t="str">
        <f t="shared" si="2"/>
        <v>No need to fresh start</v>
      </c>
    </row>
    <row r="50">
      <c r="A50" s="67" t="s">
        <v>200</v>
      </c>
      <c r="B50" s="59">
        <f>IFERROR(__xludf.DUMMYFUNCTION("GOOGLEFINANCE(A50,""price"")"),928.2)</f>
        <v>928.2</v>
      </c>
      <c r="C50" s="60">
        <f>IFERROR(__xludf.DUMMYFUNCTION("MAX(QUERY(SORT(GOOGLEFINANCE(A50,""high"",TODAY()-100,TODAY()),1,0),""select Col2 limit 55""))"),992.25)</f>
        <v>992.25</v>
      </c>
      <c r="D50" s="32">
        <f>IFERROR(__xludf.DUMMYFUNCTION("GOOGLEFINANCE(A50,""high52"")"),1102.5)</f>
        <v>1102.5</v>
      </c>
      <c r="E50" s="33">
        <f>IFERROR(__xludf.DUMMYFUNCTION("to_date(index(sort(GOOGLEFINANCE(A50, ""high"", today()-52*7, today(), ""DAILY""),2,0),2,1))"),45953.64583333333)</f>
        <v>45953.64583</v>
      </c>
      <c r="F50" s="32">
        <f>IFERROR(__xludf.DUMMYFUNCTION("GOOGLEFINANCE(A50,""low52"")"),787.9)</f>
        <v>787.9</v>
      </c>
      <c r="G50" s="33">
        <f>IFERROR(__xludf.DUMMYFUNCTION("to_date(index(sort(GOOGLEFINANCE(A50, ""low"", today()-52*7, today(), ""DAILY""),2,1),1,1))"),46104.64583333333)</f>
        <v>46104.64583</v>
      </c>
      <c r="H50" s="61">
        <f>IFERROR(__xludf.DUMMYFUNCTION("MIN(QUERY(SORT(GOOGLEFINANCE(A50,""low"",TODAY()-40,TODAY()),1,0),""select Col2 limit 20""))"),889.0)</f>
        <v>889</v>
      </c>
      <c r="I50" s="61">
        <f t="shared" si="1"/>
        <v>6.900452489</v>
      </c>
      <c r="J50" s="35" t="str">
        <f t="shared" si="2"/>
        <v>No need to fresh start</v>
      </c>
    </row>
    <row r="51">
      <c r="A51" s="67" t="s">
        <v>149</v>
      </c>
      <c r="B51" s="59">
        <f>IFERROR(__xludf.DUMMYFUNCTION("GOOGLEFINANCE(A51,""price"")"),1317.0)</f>
        <v>1317</v>
      </c>
      <c r="C51" s="60">
        <f>IFERROR(__xludf.DUMMYFUNCTION("MAX(QUERY(SORT(GOOGLEFINANCE(A51,""high"",TODAY()-100,TODAY()),1,0),""select Col2 limit 55""))"),1314.0)</f>
        <v>1314</v>
      </c>
      <c r="D51" s="32">
        <f>IFERROR(__xludf.DUMMYFUNCTION("GOOGLEFINANCE(A51,""high52"")"),1328.0)</f>
        <v>1328</v>
      </c>
      <c r="E51" s="33">
        <f>IFERROR(__xludf.DUMMYFUNCTION("to_date(index(sort(GOOGLEFINANCE(A51, ""high"", today()-52*7, today(), ""DAILY""),2,0),2,1))"),46157.64583333333)</f>
        <v>46157.64583</v>
      </c>
      <c r="F51" s="32">
        <f>IFERROR(__xludf.DUMMYFUNCTION("GOOGLEFINANCE(A51,""low52"")"),962.15)</f>
        <v>962.15</v>
      </c>
      <c r="G51" s="33">
        <f>IFERROR(__xludf.DUMMYFUNCTION("to_date(index(sort(GOOGLEFINANCE(A51, ""low"", today()-52*7, today(), ""DAILY""),2,1),1,1))"),45812.64583333333)</f>
        <v>45812.64583</v>
      </c>
      <c r="H51" s="61">
        <f>IFERROR(__xludf.DUMMYFUNCTION("MIN(QUERY(SORT(GOOGLEFINANCE(A51,""low"",TODAY()-40,TODAY()),1,0),""select Col2 limit 20""))"),1245.8)</f>
        <v>1245.8</v>
      </c>
      <c r="I51" s="61">
        <f t="shared" si="1"/>
        <v>-0.2277904328</v>
      </c>
      <c r="J51" s="35" t="str">
        <f t="shared" si="2"/>
        <v>No need to fresh start</v>
      </c>
    </row>
    <row r="52">
      <c r="C52" s="36"/>
    </row>
    <row r="53">
      <c r="C53" s="36"/>
    </row>
    <row r="54">
      <c r="C54" s="36"/>
    </row>
    <row r="55">
      <c r="C55" s="36"/>
    </row>
    <row r="56">
      <c r="C56" s="36"/>
    </row>
    <row r="57">
      <c r="C57" s="36"/>
    </row>
    <row r="58">
      <c r="C58" s="36"/>
    </row>
    <row r="59">
      <c r="C59" s="36"/>
    </row>
    <row r="60">
      <c r="C60" s="36"/>
    </row>
    <row r="61">
      <c r="C61" s="36"/>
    </row>
    <row r="62">
      <c r="C62" s="36"/>
    </row>
    <row r="63">
      <c r="C63" s="36"/>
    </row>
    <row r="64">
      <c r="C64" s="36"/>
    </row>
    <row r="65">
      <c r="C65" s="36"/>
    </row>
    <row r="66">
      <c r="C66" s="36"/>
    </row>
    <row r="67">
      <c r="C67" s="36"/>
    </row>
    <row r="68">
      <c r="C68" s="36"/>
    </row>
    <row r="69">
      <c r="C69" s="36"/>
    </row>
    <row r="70">
      <c r="C70" s="36"/>
    </row>
    <row r="71">
      <c r="C71" s="36"/>
    </row>
    <row r="72">
      <c r="C72" s="36"/>
    </row>
    <row r="73">
      <c r="C73" s="36"/>
    </row>
    <row r="74">
      <c r="C74" s="36"/>
    </row>
    <row r="75">
      <c r="C75" s="36"/>
    </row>
    <row r="76">
      <c r="C76" s="36"/>
    </row>
    <row r="77">
      <c r="C77" s="36"/>
    </row>
    <row r="78">
      <c r="C78" s="36"/>
    </row>
    <row r="79">
      <c r="C79" s="36"/>
    </row>
    <row r="80">
      <c r="C80" s="36"/>
    </row>
    <row r="81">
      <c r="C81" s="36"/>
    </row>
    <row r="82">
      <c r="C82" s="36"/>
    </row>
    <row r="83">
      <c r="C83" s="36"/>
    </row>
    <row r="84">
      <c r="C84" s="36"/>
    </row>
    <row r="85">
      <c r="C85" s="36"/>
    </row>
    <row r="86">
      <c r="C86" s="36"/>
    </row>
    <row r="87">
      <c r="C87" s="36"/>
    </row>
    <row r="88">
      <c r="C88" s="36"/>
    </row>
    <row r="89">
      <c r="C89" s="36"/>
    </row>
    <row r="90">
      <c r="C90" s="36"/>
    </row>
    <row r="91">
      <c r="C91" s="36"/>
    </row>
    <row r="92">
      <c r="C92" s="36"/>
    </row>
    <row r="93">
      <c r="C93" s="36"/>
    </row>
    <row r="94">
      <c r="C94" s="36"/>
    </row>
    <row r="95">
      <c r="C95" s="36"/>
    </row>
    <row r="96">
      <c r="C96" s="36"/>
    </row>
    <row r="97">
      <c r="C97" s="36"/>
    </row>
    <row r="98">
      <c r="C98" s="36"/>
    </row>
    <row r="99">
      <c r="C99" s="36"/>
    </row>
    <row r="100">
      <c r="C100" s="36"/>
    </row>
    <row r="101">
      <c r="C101" s="36"/>
    </row>
    <row r="102">
      <c r="C102" s="36"/>
    </row>
    <row r="103">
      <c r="C103" s="36"/>
    </row>
    <row r="104">
      <c r="C104" s="36"/>
    </row>
    <row r="105">
      <c r="C105" s="36"/>
    </row>
    <row r="106">
      <c r="C106" s="36"/>
    </row>
    <row r="107">
      <c r="C107" s="36"/>
    </row>
    <row r="108">
      <c r="C108" s="36"/>
    </row>
    <row r="109">
      <c r="C109" s="36"/>
    </row>
    <row r="110">
      <c r="C110" s="36"/>
    </row>
    <row r="111">
      <c r="C111" s="36"/>
    </row>
    <row r="112">
      <c r="C112" s="36"/>
    </row>
    <row r="113">
      <c r="C113" s="36"/>
    </row>
    <row r="114">
      <c r="C114" s="36"/>
    </row>
    <row r="115">
      <c r="C115" s="36"/>
    </row>
    <row r="116">
      <c r="C116" s="36"/>
    </row>
    <row r="117">
      <c r="C117" s="36"/>
    </row>
    <row r="118">
      <c r="C118" s="36"/>
    </row>
    <row r="119">
      <c r="C119" s="36"/>
    </row>
    <row r="120">
      <c r="C120" s="36"/>
    </row>
    <row r="121">
      <c r="C121" s="36"/>
    </row>
    <row r="122">
      <c r="C122" s="36"/>
    </row>
    <row r="123">
      <c r="C123" s="36"/>
    </row>
    <row r="124">
      <c r="C124" s="36"/>
    </row>
    <row r="125">
      <c r="C125" s="36"/>
    </row>
    <row r="126">
      <c r="C126" s="36"/>
    </row>
    <row r="127">
      <c r="C127" s="36"/>
    </row>
    <row r="128">
      <c r="C128" s="36"/>
    </row>
    <row r="129">
      <c r="C129" s="36"/>
    </row>
    <row r="130">
      <c r="C130" s="36"/>
    </row>
    <row r="131">
      <c r="C131" s="36"/>
    </row>
    <row r="132">
      <c r="C132" s="36"/>
    </row>
    <row r="133">
      <c r="C133" s="36"/>
    </row>
    <row r="134">
      <c r="C134" s="36"/>
    </row>
    <row r="135">
      <c r="C135" s="36"/>
    </row>
    <row r="136">
      <c r="C136" s="36"/>
    </row>
    <row r="137">
      <c r="C137" s="36"/>
    </row>
    <row r="138">
      <c r="C138" s="36"/>
    </row>
    <row r="139">
      <c r="C139" s="36"/>
    </row>
    <row r="140">
      <c r="C140" s="36"/>
    </row>
    <row r="141">
      <c r="C141" s="36"/>
    </row>
    <row r="142">
      <c r="C142" s="36"/>
    </row>
    <row r="143">
      <c r="C143" s="36"/>
    </row>
    <row r="144">
      <c r="C144" s="36"/>
    </row>
    <row r="145">
      <c r="C145" s="36"/>
    </row>
    <row r="146">
      <c r="C146" s="36"/>
    </row>
    <row r="147">
      <c r="C147" s="36"/>
    </row>
    <row r="148">
      <c r="C148" s="36"/>
    </row>
    <row r="149">
      <c r="C149" s="36"/>
    </row>
    <row r="150">
      <c r="C150" s="36"/>
    </row>
    <row r="151">
      <c r="C151" s="36"/>
    </row>
    <row r="152">
      <c r="C152" s="36"/>
    </row>
    <row r="153">
      <c r="C153" s="36"/>
    </row>
    <row r="154">
      <c r="C154" s="36"/>
    </row>
    <row r="155">
      <c r="C155" s="36"/>
    </row>
    <row r="156">
      <c r="C156" s="36"/>
    </row>
    <row r="157">
      <c r="C157" s="36"/>
    </row>
    <row r="158">
      <c r="C158" s="36"/>
    </row>
    <row r="159">
      <c r="C159" s="36"/>
    </row>
    <row r="160">
      <c r="C160" s="36"/>
    </row>
    <row r="161">
      <c r="C161" s="36"/>
    </row>
    <row r="162">
      <c r="C162" s="36"/>
    </row>
    <row r="163">
      <c r="C163" s="36"/>
    </row>
    <row r="164">
      <c r="C164" s="36"/>
    </row>
    <row r="165">
      <c r="C165" s="36"/>
    </row>
    <row r="166">
      <c r="C166" s="36"/>
    </row>
    <row r="167">
      <c r="C167" s="36"/>
    </row>
    <row r="168">
      <c r="C168" s="36"/>
    </row>
    <row r="169">
      <c r="C169" s="36"/>
    </row>
    <row r="170">
      <c r="C170" s="36"/>
    </row>
    <row r="171">
      <c r="C171" s="36"/>
    </row>
    <row r="172">
      <c r="C172" s="36"/>
    </row>
    <row r="173">
      <c r="C173" s="36"/>
    </row>
    <row r="174">
      <c r="C174" s="36"/>
    </row>
    <row r="175">
      <c r="C175" s="36"/>
    </row>
    <row r="176">
      <c r="C176" s="36"/>
    </row>
    <row r="177">
      <c r="C177" s="36"/>
    </row>
    <row r="178">
      <c r="C178" s="36"/>
    </row>
    <row r="179">
      <c r="C179" s="36"/>
    </row>
    <row r="180">
      <c r="C180" s="36"/>
    </row>
    <row r="181">
      <c r="C181" s="36"/>
    </row>
    <row r="182">
      <c r="C182" s="36"/>
    </row>
    <row r="183">
      <c r="C183" s="36"/>
    </row>
    <row r="184">
      <c r="C184" s="36"/>
    </row>
    <row r="185">
      <c r="C185" s="36"/>
    </row>
    <row r="186">
      <c r="C186" s="36"/>
    </row>
    <row r="187">
      <c r="C187" s="36"/>
    </row>
    <row r="188">
      <c r="C188" s="36"/>
    </row>
    <row r="189">
      <c r="C189" s="36"/>
    </row>
    <row r="190">
      <c r="C190" s="36"/>
    </row>
    <row r="191">
      <c r="C191" s="36"/>
    </row>
    <row r="192">
      <c r="C192" s="36"/>
    </row>
    <row r="193">
      <c r="C193" s="36"/>
    </row>
    <row r="194">
      <c r="C194" s="36"/>
    </row>
    <row r="195">
      <c r="C195" s="36"/>
    </row>
    <row r="196">
      <c r="C196" s="36"/>
    </row>
    <row r="197">
      <c r="C197" s="36"/>
    </row>
    <row r="198">
      <c r="C198" s="36"/>
    </row>
    <row r="199">
      <c r="C199" s="36"/>
    </row>
    <row r="200">
      <c r="C200" s="36"/>
    </row>
    <row r="201">
      <c r="C201" s="36"/>
    </row>
    <row r="202">
      <c r="C202" s="36"/>
    </row>
    <row r="203">
      <c r="C203" s="36"/>
    </row>
    <row r="204">
      <c r="C204" s="36"/>
    </row>
    <row r="205">
      <c r="C205" s="36"/>
    </row>
    <row r="206">
      <c r="C206" s="36"/>
    </row>
    <row r="207">
      <c r="C207" s="36"/>
    </row>
    <row r="208">
      <c r="C208" s="36"/>
    </row>
    <row r="209">
      <c r="C209" s="36"/>
    </row>
    <row r="210">
      <c r="C210" s="36"/>
    </row>
    <row r="211">
      <c r="C211" s="36"/>
    </row>
    <row r="212">
      <c r="C212" s="36"/>
    </row>
    <row r="213">
      <c r="C213" s="36"/>
    </row>
    <row r="214">
      <c r="C214" s="36"/>
    </row>
    <row r="215">
      <c r="C215" s="36"/>
    </row>
    <row r="216">
      <c r="C216" s="36"/>
    </row>
    <row r="217">
      <c r="C217" s="36"/>
    </row>
    <row r="218">
      <c r="C218" s="36"/>
    </row>
    <row r="219">
      <c r="C219" s="36"/>
    </row>
    <row r="220">
      <c r="C220" s="36"/>
    </row>
    <row r="221">
      <c r="C221" s="36"/>
    </row>
    <row r="222">
      <c r="C222" s="36"/>
    </row>
    <row r="223">
      <c r="C223" s="36"/>
    </row>
    <row r="224">
      <c r="C224" s="36"/>
    </row>
    <row r="225">
      <c r="C225" s="36"/>
    </row>
    <row r="226">
      <c r="C226" s="36"/>
    </row>
    <row r="227">
      <c r="C227" s="36"/>
    </row>
    <row r="228">
      <c r="C228" s="36"/>
    </row>
    <row r="229">
      <c r="C229" s="36"/>
    </row>
    <row r="230">
      <c r="C230" s="36"/>
    </row>
    <row r="231">
      <c r="C231" s="36"/>
    </row>
    <row r="232">
      <c r="C232" s="36"/>
    </row>
    <row r="233">
      <c r="C233" s="36"/>
    </row>
    <row r="234">
      <c r="C234" s="36"/>
    </row>
    <row r="235">
      <c r="C235" s="36"/>
    </row>
    <row r="236">
      <c r="C236" s="36"/>
    </row>
    <row r="237">
      <c r="C237" s="36"/>
    </row>
    <row r="238">
      <c r="C238" s="36"/>
    </row>
    <row r="239">
      <c r="C239" s="36"/>
    </row>
    <row r="240">
      <c r="C240" s="36"/>
    </row>
    <row r="241">
      <c r="C241" s="36"/>
    </row>
    <row r="242">
      <c r="C242" s="36"/>
    </row>
    <row r="243">
      <c r="C243" s="36"/>
    </row>
    <row r="244">
      <c r="C244" s="36"/>
    </row>
    <row r="245">
      <c r="C245" s="36"/>
    </row>
    <row r="246">
      <c r="C246" s="36"/>
    </row>
    <row r="247">
      <c r="C247" s="36"/>
    </row>
    <row r="248">
      <c r="C248" s="36"/>
    </row>
    <row r="249">
      <c r="C249" s="36"/>
    </row>
    <row r="250">
      <c r="C250" s="36"/>
    </row>
    <row r="251">
      <c r="C251" s="36"/>
    </row>
    <row r="252">
      <c r="C252" s="36"/>
    </row>
    <row r="253">
      <c r="C253" s="36"/>
    </row>
    <row r="254">
      <c r="C254" s="36"/>
    </row>
    <row r="255">
      <c r="C255" s="36"/>
    </row>
    <row r="256">
      <c r="C256" s="36"/>
    </row>
    <row r="257">
      <c r="C257" s="36"/>
    </row>
    <row r="258">
      <c r="C258" s="36"/>
    </row>
    <row r="259">
      <c r="C259" s="36"/>
    </row>
    <row r="260">
      <c r="C260" s="36"/>
    </row>
    <row r="261">
      <c r="C261" s="36"/>
    </row>
    <row r="262">
      <c r="C262" s="36"/>
    </row>
    <row r="263">
      <c r="C263" s="36"/>
    </row>
    <row r="264">
      <c r="C264" s="36"/>
    </row>
    <row r="265">
      <c r="C265" s="36"/>
    </row>
    <row r="266">
      <c r="C266" s="36"/>
    </row>
    <row r="267">
      <c r="C267" s="36"/>
    </row>
    <row r="268">
      <c r="C268" s="36"/>
    </row>
    <row r="269">
      <c r="C269" s="36"/>
    </row>
    <row r="270">
      <c r="C270" s="36"/>
    </row>
    <row r="271">
      <c r="C271" s="36"/>
    </row>
    <row r="272">
      <c r="C272" s="36"/>
    </row>
    <row r="273">
      <c r="C273" s="36"/>
    </row>
    <row r="274">
      <c r="C274" s="36"/>
    </row>
    <row r="275">
      <c r="C275" s="36"/>
    </row>
    <row r="276">
      <c r="C276" s="36"/>
    </row>
    <row r="277">
      <c r="C277" s="36"/>
    </row>
    <row r="278">
      <c r="C278" s="36"/>
    </row>
    <row r="279">
      <c r="C279" s="36"/>
    </row>
    <row r="280">
      <c r="C280" s="36"/>
    </row>
    <row r="281">
      <c r="C281" s="36"/>
    </row>
    <row r="282">
      <c r="C282" s="36"/>
    </row>
    <row r="283">
      <c r="C283" s="36"/>
    </row>
    <row r="284">
      <c r="C284" s="36"/>
    </row>
    <row r="285">
      <c r="C285" s="36"/>
    </row>
    <row r="286">
      <c r="C286" s="36"/>
    </row>
    <row r="287">
      <c r="C287" s="36"/>
    </row>
    <row r="288">
      <c r="C288" s="36"/>
    </row>
    <row r="289">
      <c r="C289" s="36"/>
    </row>
    <row r="290">
      <c r="C290" s="36"/>
    </row>
    <row r="291">
      <c r="C291" s="36"/>
    </row>
    <row r="292">
      <c r="C292" s="36"/>
    </row>
    <row r="293">
      <c r="C293" s="36"/>
    </row>
    <row r="294">
      <c r="C294" s="36"/>
    </row>
    <row r="295">
      <c r="C295" s="36"/>
    </row>
    <row r="296">
      <c r="C296" s="36"/>
    </row>
    <row r="297">
      <c r="C297" s="36"/>
    </row>
    <row r="298">
      <c r="C298" s="36"/>
    </row>
    <row r="299">
      <c r="C299" s="36"/>
    </row>
    <row r="300">
      <c r="C300" s="36"/>
    </row>
    <row r="301">
      <c r="C301" s="36"/>
    </row>
    <row r="302">
      <c r="C302" s="36"/>
    </row>
    <row r="303">
      <c r="C303" s="36"/>
    </row>
    <row r="304">
      <c r="C304" s="36"/>
    </row>
    <row r="305">
      <c r="C305" s="36"/>
    </row>
    <row r="306">
      <c r="C306" s="36"/>
    </row>
    <row r="307">
      <c r="C307" s="36"/>
    </row>
    <row r="308">
      <c r="C308" s="36"/>
    </row>
    <row r="309">
      <c r="C309" s="36"/>
    </row>
    <row r="310">
      <c r="C310" s="36"/>
    </row>
    <row r="311">
      <c r="C311" s="36"/>
    </row>
    <row r="312">
      <c r="C312" s="36"/>
    </row>
    <row r="313">
      <c r="C313" s="36"/>
    </row>
    <row r="314">
      <c r="C314" s="36"/>
    </row>
    <row r="315">
      <c r="C315" s="36"/>
    </row>
    <row r="316">
      <c r="C316" s="36"/>
    </row>
    <row r="317">
      <c r="C317" s="36"/>
    </row>
    <row r="318">
      <c r="C318" s="36"/>
    </row>
    <row r="319">
      <c r="C319" s="36"/>
    </row>
    <row r="320">
      <c r="C320" s="36"/>
    </row>
    <row r="321">
      <c r="C321" s="36"/>
    </row>
    <row r="322">
      <c r="C322" s="36"/>
    </row>
    <row r="323">
      <c r="C323" s="36"/>
    </row>
    <row r="324">
      <c r="C324" s="36"/>
    </row>
    <row r="325">
      <c r="C325" s="36"/>
    </row>
    <row r="326">
      <c r="C326" s="36"/>
    </row>
    <row r="327">
      <c r="C327" s="36"/>
    </row>
    <row r="328">
      <c r="C328" s="36"/>
    </row>
    <row r="329">
      <c r="C329" s="36"/>
    </row>
    <row r="330">
      <c r="C330" s="36"/>
    </row>
    <row r="331">
      <c r="C331" s="36"/>
    </row>
    <row r="332">
      <c r="C332" s="36"/>
    </row>
    <row r="333">
      <c r="C333" s="36"/>
    </row>
    <row r="334">
      <c r="C334" s="36"/>
    </row>
    <row r="335">
      <c r="C335" s="36"/>
    </row>
    <row r="336">
      <c r="C336" s="36"/>
    </row>
    <row r="337">
      <c r="C337" s="36"/>
    </row>
    <row r="338">
      <c r="C338" s="36"/>
    </row>
    <row r="339">
      <c r="C339" s="36"/>
    </row>
    <row r="340">
      <c r="C340" s="36"/>
    </row>
    <row r="341">
      <c r="C341" s="36"/>
    </row>
    <row r="342">
      <c r="C342" s="36"/>
    </row>
    <row r="343">
      <c r="C343" s="36"/>
    </row>
    <row r="344">
      <c r="C344" s="36"/>
    </row>
    <row r="345">
      <c r="C345" s="36"/>
    </row>
    <row r="346">
      <c r="C346" s="36"/>
    </row>
    <row r="347">
      <c r="C347" s="36"/>
    </row>
    <row r="348">
      <c r="C348" s="36"/>
    </row>
    <row r="349">
      <c r="C349" s="36"/>
    </row>
    <row r="350">
      <c r="C350" s="36"/>
    </row>
    <row r="351">
      <c r="C351" s="36"/>
    </row>
    <row r="352">
      <c r="C352" s="36"/>
    </row>
    <row r="353">
      <c r="C353" s="36"/>
    </row>
    <row r="354">
      <c r="C354" s="36"/>
    </row>
    <row r="355">
      <c r="C355" s="36"/>
    </row>
    <row r="356">
      <c r="C356" s="36"/>
    </row>
    <row r="357">
      <c r="C357" s="36"/>
    </row>
    <row r="358">
      <c r="C358" s="36"/>
    </row>
    <row r="359">
      <c r="C359" s="36"/>
    </row>
    <row r="360">
      <c r="C360" s="36"/>
    </row>
    <row r="361">
      <c r="C361" s="36"/>
    </row>
    <row r="362">
      <c r="C362" s="36"/>
    </row>
    <row r="363">
      <c r="C363" s="36"/>
    </row>
    <row r="364">
      <c r="C364" s="36"/>
    </row>
    <row r="365">
      <c r="C365" s="36"/>
    </row>
    <row r="366">
      <c r="C366" s="36"/>
    </row>
    <row r="367">
      <c r="C367" s="36"/>
    </row>
    <row r="368">
      <c r="C368" s="36"/>
    </row>
    <row r="369">
      <c r="C369" s="36"/>
    </row>
    <row r="370">
      <c r="C370" s="36"/>
    </row>
    <row r="371">
      <c r="C371" s="36"/>
    </row>
    <row r="372">
      <c r="C372" s="36"/>
    </row>
    <row r="373">
      <c r="C373" s="36"/>
    </row>
    <row r="374">
      <c r="C374" s="36"/>
    </row>
    <row r="375">
      <c r="C375" s="36"/>
    </row>
    <row r="376">
      <c r="C376" s="36"/>
    </row>
    <row r="377">
      <c r="C377" s="36"/>
    </row>
    <row r="378">
      <c r="C378" s="36"/>
    </row>
    <row r="379">
      <c r="C379" s="36"/>
    </row>
    <row r="380">
      <c r="C380" s="36"/>
    </row>
    <row r="381">
      <c r="C381" s="36"/>
    </row>
    <row r="382">
      <c r="C382" s="36"/>
    </row>
    <row r="383">
      <c r="C383" s="36"/>
    </row>
    <row r="384">
      <c r="C384" s="36"/>
    </row>
    <row r="385">
      <c r="C385" s="36"/>
    </row>
    <row r="386">
      <c r="C386" s="36"/>
    </row>
    <row r="387">
      <c r="C387" s="36"/>
    </row>
    <row r="388">
      <c r="C388" s="36"/>
    </row>
    <row r="389">
      <c r="C389" s="36"/>
    </row>
    <row r="390">
      <c r="C390" s="36"/>
    </row>
    <row r="391">
      <c r="C391" s="36"/>
    </row>
    <row r="392">
      <c r="C392" s="36"/>
    </row>
    <row r="393">
      <c r="C393" s="36"/>
    </row>
    <row r="394">
      <c r="C394" s="36"/>
    </row>
    <row r="395">
      <c r="C395" s="36"/>
    </row>
    <row r="396">
      <c r="C396" s="36"/>
    </row>
    <row r="397">
      <c r="C397" s="36"/>
    </row>
    <row r="398">
      <c r="C398" s="36"/>
    </row>
    <row r="399">
      <c r="C399" s="36"/>
    </row>
    <row r="400">
      <c r="C400" s="36"/>
    </row>
    <row r="401">
      <c r="C401" s="36"/>
    </row>
    <row r="402">
      <c r="C402" s="36"/>
    </row>
    <row r="403">
      <c r="C403" s="36"/>
    </row>
    <row r="404">
      <c r="C404" s="36"/>
    </row>
    <row r="405">
      <c r="C405" s="36"/>
    </row>
    <row r="406">
      <c r="C406" s="36"/>
    </row>
    <row r="407">
      <c r="C407" s="36"/>
    </row>
    <row r="408">
      <c r="C408" s="36"/>
    </row>
    <row r="409">
      <c r="C409" s="36"/>
    </row>
    <row r="410">
      <c r="C410" s="36"/>
    </row>
    <row r="411">
      <c r="C411" s="36"/>
    </row>
    <row r="412">
      <c r="C412" s="36"/>
    </row>
    <row r="413">
      <c r="C413" s="36"/>
    </row>
    <row r="414">
      <c r="C414" s="36"/>
    </row>
    <row r="415">
      <c r="C415" s="36"/>
    </row>
    <row r="416">
      <c r="C416" s="36"/>
    </row>
    <row r="417">
      <c r="C417" s="36"/>
    </row>
    <row r="418">
      <c r="C418" s="36"/>
    </row>
    <row r="419">
      <c r="C419" s="36"/>
    </row>
    <row r="420">
      <c r="C420" s="36"/>
    </row>
    <row r="421">
      <c r="C421" s="36"/>
    </row>
    <row r="422">
      <c r="C422" s="36"/>
    </row>
    <row r="423">
      <c r="C423" s="36"/>
    </row>
    <row r="424">
      <c r="C424" s="36"/>
    </row>
    <row r="425">
      <c r="C425" s="36"/>
    </row>
    <row r="426">
      <c r="C426" s="36"/>
    </row>
    <row r="427">
      <c r="C427" s="36"/>
    </row>
    <row r="428">
      <c r="C428" s="36"/>
    </row>
    <row r="429">
      <c r="C429" s="36"/>
    </row>
    <row r="430">
      <c r="C430" s="36"/>
    </row>
    <row r="431">
      <c r="C431" s="36"/>
    </row>
    <row r="432">
      <c r="C432" s="36"/>
    </row>
    <row r="433">
      <c r="C433" s="36"/>
    </row>
    <row r="434">
      <c r="C434" s="36"/>
    </row>
    <row r="435">
      <c r="C435" s="36"/>
    </row>
    <row r="436">
      <c r="C436" s="36"/>
    </row>
    <row r="437">
      <c r="C437" s="36"/>
    </row>
    <row r="438">
      <c r="C438" s="36"/>
    </row>
    <row r="439">
      <c r="C439" s="36"/>
    </row>
    <row r="440">
      <c r="C440" s="36"/>
    </row>
    <row r="441">
      <c r="C441" s="36"/>
    </row>
    <row r="442">
      <c r="C442" s="36"/>
    </row>
    <row r="443">
      <c r="C443" s="36"/>
    </row>
    <row r="444">
      <c r="C444" s="36"/>
    </row>
    <row r="445">
      <c r="C445" s="36"/>
    </row>
    <row r="446">
      <c r="C446" s="36"/>
    </row>
    <row r="447">
      <c r="C447" s="36"/>
    </row>
    <row r="448">
      <c r="C448" s="36"/>
    </row>
    <row r="449">
      <c r="C449" s="36"/>
    </row>
    <row r="450">
      <c r="C450" s="36"/>
    </row>
    <row r="451">
      <c r="C451" s="36"/>
    </row>
    <row r="452">
      <c r="C452" s="36"/>
    </row>
    <row r="453">
      <c r="C453" s="36"/>
    </row>
    <row r="454">
      <c r="C454" s="36"/>
    </row>
    <row r="455">
      <c r="C455" s="36"/>
    </row>
    <row r="456">
      <c r="C456" s="36"/>
    </row>
    <row r="457">
      <c r="C457" s="36"/>
    </row>
    <row r="458">
      <c r="C458" s="36"/>
    </row>
    <row r="459">
      <c r="C459" s="36"/>
    </row>
    <row r="460">
      <c r="C460" s="36"/>
    </row>
    <row r="461">
      <c r="C461" s="36"/>
    </row>
    <row r="462">
      <c r="C462" s="36"/>
    </row>
    <row r="463">
      <c r="C463" s="36"/>
    </row>
    <row r="464">
      <c r="C464" s="36"/>
    </row>
    <row r="465">
      <c r="C465" s="36"/>
    </row>
    <row r="466">
      <c r="C466" s="36"/>
    </row>
    <row r="467">
      <c r="C467" s="36"/>
    </row>
    <row r="468">
      <c r="C468" s="36"/>
    </row>
    <row r="469">
      <c r="C469" s="36"/>
    </row>
    <row r="470">
      <c r="C470" s="36"/>
    </row>
    <row r="471">
      <c r="C471" s="36"/>
    </row>
    <row r="472">
      <c r="C472" s="36"/>
    </row>
    <row r="473">
      <c r="C473" s="36"/>
    </row>
    <row r="474">
      <c r="C474" s="36"/>
    </row>
    <row r="475">
      <c r="C475" s="36"/>
    </row>
    <row r="476">
      <c r="C476" s="36"/>
    </row>
    <row r="477">
      <c r="C477" s="36"/>
    </row>
    <row r="478">
      <c r="C478" s="36"/>
    </row>
    <row r="479">
      <c r="C479" s="36"/>
    </row>
    <row r="480">
      <c r="C480" s="36"/>
    </row>
    <row r="481">
      <c r="C481" s="36"/>
    </row>
    <row r="482">
      <c r="C482" s="36"/>
    </row>
    <row r="483">
      <c r="C483" s="36"/>
    </row>
    <row r="484">
      <c r="C484" s="36"/>
    </row>
    <row r="485">
      <c r="C485" s="36"/>
    </row>
    <row r="486">
      <c r="C486" s="36"/>
    </row>
    <row r="487">
      <c r="C487" s="36"/>
    </row>
    <row r="488">
      <c r="C488" s="36"/>
    </row>
    <row r="489">
      <c r="C489" s="36"/>
    </row>
    <row r="490">
      <c r="C490" s="36"/>
    </row>
    <row r="491">
      <c r="C491" s="36"/>
    </row>
    <row r="492">
      <c r="C492" s="36"/>
    </row>
    <row r="493">
      <c r="C493" s="36"/>
    </row>
    <row r="494">
      <c r="C494" s="36"/>
    </row>
    <row r="495">
      <c r="C495" s="36"/>
    </row>
    <row r="496">
      <c r="C496" s="36"/>
    </row>
    <row r="497">
      <c r="C497" s="36"/>
    </row>
    <row r="498">
      <c r="C498" s="36"/>
    </row>
    <row r="499">
      <c r="C499" s="36"/>
    </row>
    <row r="500">
      <c r="C500" s="36"/>
    </row>
    <row r="501">
      <c r="C501" s="36"/>
    </row>
    <row r="502">
      <c r="C502" s="36"/>
    </row>
    <row r="503">
      <c r="C503" s="36"/>
    </row>
    <row r="504">
      <c r="C504" s="36"/>
    </row>
    <row r="505">
      <c r="C505" s="36"/>
    </row>
    <row r="506">
      <c r="C506" s="36"/>
    </row>
    <row r="507">
      <c r="C507" s="36"/>
    </row>
    <row r="508">
      <c r="C508" s="36"/>
    </row>
    <row r="509">
      <c r="C509" s="36"/>
    </row>
    <row r="510">
      <c r="C510" s="36"/>
    </row>
    <row r="511">
      <c r="C511" s="36"/>
    </row>
    <row r="512">
      <c r="C512" s="36"/>
    </row>
    <row r="513">
      <c r="C513" s="36"/>
    </row>
    <row r="514">
      <c r="C514" s="36"/>
    </row>
    <row r="515">
      <c r="C515" s="36"/>
    </row>
    <row r="516">
      <c r="C516" s="36"/>
    </row>
    <row r="517">
      <c r="C517" s="36"/>
    </row>
    <row r="518">
      <c r="C518" s="36"/>
    </row>
    <row r="519">
      <c r="C519" s="36"/>
    </row>
    <row r="520">
      <c r="C520" s="36"/>
    </row>
    <row r="521">
      <c r="C521" s="36"/>
    </row>
    <row r="522">
      <c r="C522" s="36"/>
    </row>
    <row r="523">
      <c r="C523" s="36"/>
    </row>
    <row r="524">
      <c r="C524" s="36"/>
    </row>
    <row r="525">
      <c r="C525" s="36"/>
    </row>
    <row r="526">
      <c r="C526" s="36"/>
    </row>
    <row r="527">
      <c r="C527" s="36"/>
    </row>
    <row r="528">
      <c r="C528" s="36"/>
    </row>
    <row r="529">
      <c r="C529" s="36"/>
    </row>
    <row r="530">
      <c r="C530" s="36"/>
    </row>
    <row r="531">
      <c r="C531" s="36"/>
    </row>
    <row r="532">
      <c r="C532" s="36"/>
    </row>
    <row r="533">
      <c r="C533" s="36"/>
    </row>
    <row r="534">
      <c r="C534" s="36"/>
    </row>
    <row r="535">
      <c r="C535" s="36"/>
    </row>
    <row r="536">
      <c r="C536" s="36"/>
    </row>
    <row r="537">
      <c r="C537" s="36"/>
    </row>
    <row r="538">
      <c r="C538" s="36"/>
    </row>
    <row r="539">
      <c r="C539" s="36"/>
    </row>
    <row r="540">
      <c r="C540" s="36"/>
    </row>
    <row r="541">
      <c r="C541" s="36"/>
    </row>
    <row r="542">
      <c r="C542" s="36"/>
    </row>
    <row r="543">
      <c r="C543" s="36"/>
    </row>
    <row r="544">
      <c r="C544" s="36"/>
    </row>
    <row r="545">
      <c r="C545" s="36"/>
    </row>
    <row r="546">
      <c r="C546" s="36"/>
    </row>
    <row r="547">
      <c r="C547" s="36"/>
    </row>
    <row r="548">
      <c r="C548" s="36"/>
    </row>
    <row r="549">
      <c r="C549" s="36"/>
    </row>
    <row r="550">
      <c r="C550" s="36"/>
    </row>
    <row r="551">
      <c r="C551" s="36"/>
    </row>
    <row r="552">
      <c r="C552" s="36"/>
    </row>
    <row r="553">
      <c r="C553" s="36"/>
    </row>
    <row r="554">
      <c r="C554" s="36"/>
    </row>
    <row r="555">
      <c r="C555" s="36"/>
    </row>
    <row r="556">
      <c r="C556" s="36"/>
    </row>
    <row r="557">
      <c r="C557" s="36"/>
    </row>
    <row r="558">
      <c r="C558" s="36"/>
    </row>
    <row r="559">
      <c r="C559" s="36"/>
    </row>
    <row r="560">
      <c r="C560" s="36"/>
    </row>
    <row r="561">
      <c r="C561" s="36"/>
    </row>
    <row r="562">
      <c r="C562" s="36"/>
    </row>
    <row r="563">
      <c r="C563" s="36"/>
    </row>
    <row r="564">
      <c r="C564" s="36"/>
    </row>
    <row r="565">
      <c r="C565" s="36"/>
    </row>
    <row r="566">
      <c r="C566" s="36"/>
    </row>
    <row r="567">
      <c r="C567" s="36"/>
    </row>
    <row r="568">
      <c r="C568" s="36"/>
    </row>
    <row r="569">
      <c r="C569" s="36"/>
    </row>
    <row r="570">
      <c r="C570" s="36"/>
    </row>
    <row r="571">
      <c r="C571" s="36"/>
    </row>
    <row r="572">
      <c r="C572" s="36"/>
    </row>
    <row r="573">
      <c r="C573" s="36"/>
    </row>
    <row r="574">
      <c r="C574" s="36"/>
    </row>
    <row r="575">
      <c r="C575" s="36"/>
    </row>
    <row r="576">
      <c r="C576" s="36"/>
    </row>
    <row r="577">
      <c r="C577" s="36"/>
    </row>
    <row r="578">
      <c r="C578" s="36"/>
    </row>
    <row r="579">
      <c r="C579" s="36"/>
    </row>
    <row r="580">
      <c r="C580" s="36"/>
    </row>
    <row r="581">
      <c r="C581" s="36"/>
    </row>
    <row r="582">
      <c r="C582" s="36"/>
    </row>
    <row r="583">
      <c r="C583" s="36"/>
    </row>
    <row r="584">
      <c r="C584" s="36"/>
    </row>
    <row r="585">
      <c r="C585" s="36"/>
    </row>
    <row r="586">
      <c r="C586" s="36"/>
    </row>
    <row r="587">
      <c r="C587" s="36"/>
    </row>
    <row r="588">
      <c r="C588" s="36"/>
    </row>
    <row r="589">
      <c r="C589" s="36"/>
    </row>
    <row r="590">
      <c r="C590" s="36"/>
    </row>
    <row r="591">
      <c r="C591" s="36"/>
    </row>
    <row r="592">
      <c r="C592" s="36"/>
    </row>
    <row r="593">
      <c r="C593" s="36"/>
    </row>
    <row r="594">
      <c r="C594" s="36"/>
    </row>
    <row r="595">
      <c r="C595" s="36"/>
    </row>
    <row r="596">
      <c r="C596" s="36"/>
    </row>
    <row r="597">
      <c r="C597" s="36"/>
    </row>
    <row r="598">
      <c r="C598" s="36"/>
    </row>
    <row r="599">
      <c r="C599" s="36"/>
    </row>
    <row r="600">
      <c r="C600" s="36"/>
    </row>
    <row r="601">
      <c r="C601" s="36"/>
    </row>
    <row r="602">
      <c r="C602" s="36"/>
    </row>
    <row r="603">
      <c r="C603" s="36"/>
    </row>
    <row r="604">
      <c r="C604" s="36"/>
    </row>
    <row r="605">
      <c r="C605" s="36"/>
    </row>
    <row r="606">
      <c r="C606" s="36"/>
    </row>
    <row r="607">
      <c r="C607" s="36"/>
    </row>
    <row r="608">
      <c r="C608" s="36"/>
    </row>
    <row r="609">
      <c r="C609" s="36"/>
    </row>
    <row r="610">
      <c r="C610" s="36"/>
    </row>
    <row r="611">
      <c r="C611" s="36"/>
    </row>
    <row r="612">
      <c r="C612" s="36"/>
    </row>
    <row r="613">
      <c r="C613" s="36"/>
    </row>
    <row r="614">
      <c r="C614" s="36"/>
    </row>
    <row r="615">
      <c r="C615" s="36"/>
    </row>
    <row r="616">
      <c r="C616" s="36"/>
    </row>
    <row r="617">
      <c r="C617" s="36"/>
    </row>
    <row r="618">
      <c r="C618" s="36"/>
    </row>
    <row r="619">
      <c r="C619" s="36"/>
    </row>
    <row r="620">
      <c r="C620" s="36"/>
    </row>
    <row r="621">
      <c r="C621" s="36"/>
    </row>
    <row r="622">
      <c r="C622" s="36"/>
    </row>
    <row r="623">
      <c r="C623" s="36"/>
    </row>
    <row r="624">
      <c r="C624" s="36"/>
    </row>
    <row r="625">
      <c r="C625" s="36"/>
    </row>
    <row r="626">
      <c r="C626" s="36"/>
    </row>
    <row r="627">
      <c r="C627" s="36"/>
    </row>
    <row r="628">
      <c r="C628" s="36"/>
    </row>
    <row r="629">
      <c r="C629" s="36"/>
    </row>
    <row r="630">
      <c r="C630" s="36"/>
    </row>
    <row r="631">
      <c r="C631" s="36"/>
    </row>
    <row r="632">
      <c r="C632" s="36"/>
    </row>
    <row r="633">
      <c r="C633" s="36"/>
    </row>
    <row r="634">
      <c r="C634" s="36"/>
    </row>
    <row r="635">
      <c r="C635" s="36"/>
    </row>
    <row r="636">
      <c r="C636" s="36"/>
    </row>
    <row r="637">
      <c r="C637" s="36"/>
    </row>
    <row r="638">
      <c r="C638" s="36"/>
    </row>
    <row r="639">
      <c r="C639" s="36"/>
    </row>
    <row r="640">
      <c r="C640" s="36"/>
    </row>
    <row r="641">
      <c r="C641" s="36"/>
    </row>
    <row r="642">
      <c r="C642" s="36"/>
    </row>
    <row r="643">
      <c r="C643" s="36"/>
    </row>
    <row r="644">
      <c r="C644" s="36"/>
    </row>
    <row r="645">
      <c r="C645" s="36"/>
    </row>
    <row r="646">
      <c r="C646" s="36"/>
    </row>
    <row r="647">
      <c r="C647" s="36"/>
    </row>
    <row r="648">
      <c r="C648" s="36"/>
    </row>
    <row r="649">
      <c r="C649" s="36"/>
    </row>
    <row r="650">
      <c r="C650" s="36"/>
    </row>
    <row r="651">
      <c r="C651" s="36"/>
    </row>
    <row r="652">
      <c r="C652" s="36"/>
    </row>
    <row r="653">
      <c r="C653" s="36"/>
    </row>
    <row r="654">
      <c r="C654" s="36"/>
    </row>
    <row r="655">
      <c r="C655" s="36"/>
    </row>
    <row r="656">
      <c r="C656" s="36"/>
    </row>
    <row r="657">
      <c r="C657" s="36"/>
    </row>
    <row r="658">
      <c r="C658" s="36"/>
    </row>
    <row r="659">
      <c r="C659" s="36"/>
    </row>
    <row r="660">
      <c r="C660" s="36"/>
    </row>
    <row r="661">
      <c r="C661" s="36"/>
    </row>
    <row r="662">
      <c r="C662" s="36"/>
    </row>
    <row r="663">
      <c r="C663" s="36"/>
    </row>
    <row r="664">
      <c r="C664" s="36"/>
    </row>
    <row r="665">
      <c r="C665" s="36"/>
    </row>
    <row r="666">
      <c r="C666" s="36"/>
    </row>
    <row r="667">
      <c r="C667" s="36"/>
    </row>
    <row r="668">
      <c r="C668" s="36"/>
    </row>
    <row r="669">
      <c r="C669" s="36"/>
    </row>
    <row r="670">
      <c r="C670" s="36"/>
    </row>
    <row r="671">
      <c r="C671" s="36"/>
    </row>
    <row r="672">
      <c r="C672" s="36"/>
    </row>
    <row r="673">
      <c r="C673" s="36"/>
    </row>
    <row r="674">
      <c r="C674" s="36"/>
    </row>
    <row r="675">
      <c r="C675" s="36"/>
    </row>
    <row r="676">
      <c r="C676" s="36"/>
    </row>
    <row r="677">
      <c r="C677" s="36"/>
    </row>
    <row r="678">
      <c r="C678" s="36"/>
    </row>
    <row r="679">
      <c r="C679" s="36"/>
    </row>
    <row r="680">
      <c r="C680" s="36"/>
    </row>
    <row r="681">
      <c r="C681" s="36"/>
    </row>
    <row r="682">
      <c r="C682" s="36"/>
    </row>
    <row r="683">
      <c r="C683" s="36"/>
    </row>
    <row r="684">
      <c r="C684" s="36"/>
    </row>
    <row r="685">
      <c r="C685" s="36"/>
    </row>
    <row r="686">
      <c r="C686" s="36"/>
    </row>
    <row r="687">
      <c r="C687" s="36"/>
    </row>
    <row r="688">
      <c r="C688" s="36"/>
    </row>
    <row r="689">
      <c r="C689" s="36"/>
    </row>
    <row r="690">
      <c r="C690" s="36"/>
    </row>
    <row r="691">
      <c r="C691" s="36"/>
    </row>
    <row r="692">
      <c r="C692" s="36"/>
    </row>
    <row r="693">
      <c r="C693" s="36"/>
    </row>
    <row r="694">
      <c r="C694" s="36"/>
    </row>
    <row r="695">
      <c r="C695" s="36"/>
    </row>
    <row r="696">
      <c r="C696" s="36"/>
    </row>
    <row r="697">
      <c r="C697" s="36"/>
    </row>
    <row r="698">
      <c r="C698" s="36"/>
    </row>
    <row r="699">
      <c r="C699" s="36"/>
    </row>
    <row r="700">
      <c r="C700" s="36"/>
    </row>
    <row r="701">
      <c r="C701" s="36"/>
    </row>
    <row r="702">
      <c r="C702" s="36"/>
    </row>
    <row r="703">
      <c r="C703" s="36"/>
    </row>
    <row r="704">
      <c r="C704" s="36"/>
    </row>
    <row r="705">
      <c r="C705" s="36"/>
    </row>
    <row r="706">
      <c r="C706" s="36"/>
    </row>
    <row r="707">
      <c r="C707" s="36"/>
    </row>
    <row r="708">
      <c r="C708" s="36"/>
    </row>
    <row r="709">
      <c r="C709" s="36"/>
    </row>
    <row r="710">
      <c r="C710" s="36"/>
    </row>
    <row r="711">
      <c r="C711" s="36"/>
    </row>
    <row r="712">
      <c r="C712" s="36"/>
    </row>
    <row r="713">
      <c r="C713" s="36"/>
    </row>
    <row r="714">
      <c r="C714" s="36"/>
    </row>
    <row r="715">
      <c r="C715" s="36"/>
    </row>
    <row r="716">
      <c r="C716" s="36"/>
    </row>
    <row r="717">
      <c r="C717" s="36"/>
    </row>
    <row r="718">
      <c r="C718" s="36"/>
    </row>
    <row r="719">
      <c r="C719" s="36"/>
    </row>
    <row r="720">
      <c r="C720" s="36"/>
    </row>
    <row r="721">
      <c r="C721" s="36"/>
    </row>
    <row r="722">
      <c r="C722" s="36"/>
    </row>
    <row r="723">
      <c r="C723" s="36"/>
    </row>
    <row r="724">
      <c r="C724" s="36"/>
    </row>
    <row r="725">
      <c r="C725" s="36"/>
    </row>
    <row r="726">
      <c r="C726" s="36"/>
    </row>
    <row r="727">
      <c r="C727" s="36"/>
    </row>
    <row r="728">
      <c r="C728" s="36"/>
    </row>
    <row r="729">
      <c r="C729" s="36"/>
    </row>
    <row r="730">
      <c r="C730" s="36"/>
    </row>
    <row r="731">
      <c r="C731" s="36"/>
    </row>
    <row r="732">
      <c r="C732" s="36"/>
    </row>
    <row r="733">
      <c r="C733" s="36"/>
    </row>
    <row r="734">
      <c r="C734" s="36"/>
    </row>
    <row r="735">
      <c r="C735" s="36"/>
    </row>
    <row r="736">
      <c r="C736" s="36"/>
    </row>
    <row r="737">
      <c r="C737" s="36"/>
    </row>
    <row r="738">
      <c r="C738" s="36"/>
    </row>
    <row r="739">
      <c r="C739" s="36"/>
    </row>
    <row r="740">
      <c r="C740" s="36"/>
    </row>
    <row r="741">
      <c r="C741" s="36"/>
    </row>
    <row r="742">
      <c r="C742" s="36"/>
    </row>
    <row r="743">
      <c r="C743" s="36"/>
    </row>
    <row r="744">
      <c r="C744" s="36"/>
    </row>
    <row r="745">
      <c r="C745" s="36"/>
    </row>
    <row r="746">
      <c r="C746" s="36"/>
    </row>
    <row r="747">
      <c r="C747" s="36"/>
    </row>
    <row r="748">
      <c r="C748" s="36"/>
    </row>
    <row r="749">
      <c r="C749" s="36"/>
    </row>
    <row r="750">
      <c r="C750" s="36"/>
    </row>
    <row r="751">
      <c r="C751" s="36"/>
    </row>
    <row r="752">
      <c r="C752" s="36"/>
    </row>
    <row r="753">
      <c r="C753" s="36"/>
    </row>
    <row r="754">
      <c r="C754" s="36"/>
    </row>
    <row r="755">
      <c r="C755" s="36"/>
    </row>
    <row r="756">
      <c r="C756" s="36"/>
    </row>
    <row r="757">
      <c r="C757" s="36"/>
    </row>
    <row r="758">
      <c r="C758" s="36"/>
    </row>
    <row r="759">
      <c r="C759" s="36"/>
    </row>
    <row r="760">
      <c r="C760" s="36"/>
    </row>
    <row r="761">
      <c r="C761" s="36"/>
    </row>
    <row r="762">
      <c r="C762" s="36"/>
    </row>
    <row r="763">
      <c r="C763" s="36"/>
    </row>
    <row r="764">
      <c r="C764" s="36"/>
    </row>
    <row r="765">
      <c r="C765" s="36"/>
    </row>
    <row r="766">
      <c r="C766" s="36"/>
    </row>
    <row r="767">
      <c r="C767" s="36"/>
    </row>
    <row r="768">
      <c r="C768" s="36"/>
    </row>
    <row r="769">
      <c r="C769" s="36"/>
    </row>
    <row r="770">
      <c r="C770" s="36"/>
    </row>
    <row r="771">
      <c r="C771" s="36"/>
    </row>
    <row r="772">
      <c r="C772" s="36"/>
    </row>
    <row r="773">
      <c r="C773" s="36"/>
    </row>
    <row r="774">
      <c r="C774" s="36"/>
    </row>
    <row r="775">
      <c r="C775" s="36"/>
    </row>
    <row r="776">
      <c r="C776" s="36"/>
    </row>
    <row r="777">
      <c r="C777" s="36"/>
    </row>
    <row r="778">
      <c r="C778" s="36"/>
    </row>
    <row r="779">
      <c r="C779" s="36"/>
    </row>
    <row r="780">
      <c r="C780" s="36"/>
    </row>
    <row r="781">
      <c r="C781" s="36"/>
    </row>
    <row r="782">
      <c r="C782" s="36"/>
    </row>
    <row r="783">
      <c r="C783" s="36"/>
    </row>
    <row r="784">
      <c r="C784" s="36"/>
    </row>
    <row r="785">
      <c r="C785" s="36"/>
    </row>
    <row r="786">
      <c r="C786" s="36"/>
    </row>
    <row r="787">
      <c r="C787" s="36"/>
    </row>
    <row r="788">
      <c r="C788" s="36"/>
    </row>
    <row r="789">
      <c r="C789" s="36"/>
    </row>
    <row r="790">
      <c r="C790" s="36"/>
    </row>
    <row r="791">
      <c r="C791" s="36"/>
    </row>
    <row r="792">
      <c r="C792" s="36"/>
    </row>
    <row r="793">
      <c r="C793" s="36"/>
    </row>
    <row r="794">
      <c r="C794" s="36"/>
    </row>
    <row r="795">
      <c r="C795" s="36"/>
    </row>
    <row r="796">
      <c r="C796" s="36"/>
    </row>
    <row r="797">
      <c r="C797" s="36"/>
    </row>
    <row r="798">
      <c r="C798" s="36"/>
    </row>
    <row r="799">
      <c r="C799" s="36"/>
    </row>
    <row r="800">
      <c r="C800" s="36"/>
    </row>
    <row r="801">
      <c r="C801" s="36"/>
    </row>
    <row r="802">
      <c r="C802" s="36"/>
    </row>
    <row r="803">
      <c r="C803" s="36"/>
    </row>
    <row r="804">
      <c r="C804" s="36"/>
    </row>
    <row r="805">
      <c r="C805" s="36"/>
    </row>
    <row r="806">
      <c r="C806" s="36"/>
    </row>
    <row r="807">
      <c r="C807" s="36"/>
    </row>
    <row r="808">
      <c r="C808" s="36"/>
    </row>
    <row r="809">
      <c r="C809" s="36"/>
    </row>
    <row r="810">
      <c r="C810" s="36"/>
    </row>
    <row r="811">
      <c r="C811" s="36"/>
    </row>
    <row r="812">
      <c r="C812" s="36"/>
    </row>
    <row r="813">
      <c r="C813" s="36"/>
    </row>
    <row r="814">
      <c r="C814" s="36"/>
    </row>
    <row r="815">
      <c r="C815" s="36"/>
    </row>
    <row r="816">
      <c r="C816" s="36"/>
    </row>
    <row r="817">
      <c r="C817" s="36"/>
    </row>
    <row r="818">
      <c r="C818" s="36"/>
    </row>
    <row r="819">
      <c r="C819" s="36"/>
    </row>
    <row r="820">
      <c r="C820" s="36"/>
    </row>
    <row r="821">
      <c r="C821" s="36"/>
    </row>
    <row r="822">
      <c r="C822" s="36"/>
    </row>
    <row r="823">
      <c r="C823" s="36"/>
    </row>
    <row r="824">
      <c r="C824" s="36"/>
    </row>
    <row r="825">
      <c r="C825" s="36"/>
    </row>
    <row r="826">
      <c r="C826" s="36"/>
    </row>
    <row r="827">
      <c r="C827" s="36"/>
    </row>
    <row r="828">
      <c r="C828" s="36"/>
    </row>
    <row r="829">
      <c r="C829" s="36"/>
    </row>
    <row r="830">
      <c r="C830" s="36"/>
    </row>
    <row r="831">
      <c r="C831" s="36"/>
    </row>
    <row r="832">
      <c r="C832" s="36"/>
    </row>
    <row r="833">
      <c r="C833" s="36"/>
    </row>
    <row r="834">
      <c r="C834" s="36"/>
    </row>
    <row r="835">
      <c r="C835" s="36"/>
    </row>
    <row r="836">
      <c r="C836" s="36"/>
    </row>
    <row r="837">
      <c r="C837" s="36"/>
    </row>
    <row r="838">
      <c r="C838" s="36"/>
    </row>
    <row r="839">
      <c r="C839" s="36"/>
    </row>
    <row r="840">
      <c r="C840" s="36"/>
    </row>
    <row r="841">
      <c r="C841" s="36"/>
    </row>
    <row r="842">
      <c r="C842" s="36"/>
    </row>
    <row r="843">
      <c r="C843" s="36"/>
    </row>
    <row r="844">
      <c r="C844" s="36"/>
    </row>
    <row r="845">
      <c r="C845" s="36"/>
    </row>
    <row r="846">
      <c r="C846" s="36"/>
    </row>
    <row r="847">
      <c r="C847" s="36"/>
    </row>
    <row r="848">
      <c r="C848" s="36"/>
    </row>
    <row r="849">
      <c r="C849" s="36"/>
    </row>
    <row r="850">
      <c r="C850" s="36"/>
    </row>
    <row r="851">
      <c r="C851" s="36"/>
    </row>
    <row r="852">
      <c r="C852" s="36"/>
    </row>
    <row r="853">
      <c r="C853" s="36"/>
    </row>
    <row r="854">
      <c r="C854" s="36"/>
    </row>
    <row r="855">
      <c r="C855" s="36"/>
    </row>
    <row r="856">
      <c r="C856" s="36"/>
    </row>
    <row r="857">
      <c r="C857" s="36"/>
    </row>
    <row r="858">
      <c r="C858" s="36"/>
    </row>
    <row r="859">
      <c r="C859" s="36"/>
    </row>
    <row r="860">
      <c r="C860" s="36"/>
    </row>
  </sheetData>
  <conditionalFormatting sqref="J1:J860">
    <cfRule type="cellIs" dxfId="0" priority="1" operator="equal">
      <formula>"Start GTT Order"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10" max="10" width="24.88"/>
  </cols>
  <sheetData>
    <row r="1">
      <c r="A1" s="53"/>
      <c r="B1" s="54" t="s">
        <v>17</v>
      </c>
      <c r="C1" s="55" t="s">
        <v>18</v>
      </c>
      <c r="D1" s="23" t="s">
        <v>19</v>
      </c>
      <c r="E1" s="24" t="s">
        <v>20</v>
      </c>
      <c r="F1" s="25" t="s">
        <v>21</v>
      </c>
      <c r="G1" s="25" t="s">
        <v>22</v>
      </c>
      <c r="H1" s="56" t="s">
        <v>23</v>
      </c>
      <c r="I1" s="57" t="s">
        <v>24</v>
      </c>
      <c r="J1" s="57" t="s">
        <v>209</v>
      </c>
    </row>
    <row r="2">
      <c r="A2" s="68" t="s">
        <v>299</v>
      </c>
      <c r="B2" s="59" t="str">
        <f>IFERROR(__xludf.DUMMYFUNCTION("GOOGLEFINANCE(A2,""price"")"),"#N/A")</f>
        <v>#N/A</v>
      </c>
      <c r="C2" s="60" t="str">
        <f>IFERROR(__xludf.DUMMYFUNCTION("MAX(QUERY(SORT(GOOGLEFINANCE(A2,""high"",TODAY()-100,TODAY()),1,0),""select Col2 limit 55""))"),"#N/A")</f>
        <v>#N/A</v>
      </c>
      <c r="D2" s="32" t="str">
        <f>IFERROR(__xludf.DUMMYFUNCTION("GOOGLEFINANCE(A2,""high52"")"),"#N/A")</f>
        <v>#N/A</v>
      </c>
      <c r="E2" s="33" t="str">
        <f>IFERROR(__xludf.DUMMYFUNCTION("to_date(index(sort(GOOGLEFINANCE(A2, ""high"", today()-52*7, today(), ""DAILY""),2,0),2,1))"),"#N/A")</f>
        <v>#N/A</v>
      </c>
      <c r="F2" s="32" t="str">
        <f>IFERROR(__xludf.DUMMYFUNCTION("GOOGLEFINANCE(A2,""low52"")"),"#N/A")</f>
        <v>#N/A</v>
      </c>
      <c r="G2" s="33" t="str">
        <f>IFERROR(__xludf.DUMMYFUNCTION("to_date(index(sort(GOOGLEFINANCE(A2, ""low"", today()-52*7, today(), ""DAILY""),2,1),1,1))"),"#N/A")</f>
        <v>#N/A</v>
      </c>
      <c r="H2" s="61" t="str">
        <f>IFERROR(__xludf.DUMMYFUNCTION("MIN(QUERY(SORT(GOOGLEFINANCE(A2,""low"",TODAY()-40,TODAY()),1,0),""select Col2 limit 20""))"),"#N/A")</f>
        <v>#N/A</v>
      </c>
      <c r="I2" s="61" t="str">
        <f t="shared" ref="I2:I401" si="1">(C2-B2)*100/B2</f>
        <v>#N/A</v>
      </c>
      <c r="J2" s="35" t="str">
        <f t="shared" ref="J2:J401" si="2">if(AND(G2&gt;E2,I2&gt;=10,I2&lt;=20),"Start GTT Order","No need to fresh start")</f>
        <v>#N/A</v>
      </c>
    </row>
    <row r="3">
      <c r="A3" s="69" t="s">
        <v>254</v>
      </c>
      <c r="B3" s="59">
        <f>IFERROR(__xludf.DUMMYFUNCTION("GOOGLEFINANCE(A3,""price"")"),14.23)</f>
        <v>14.23</v>
      </c>
      <c r="C3" s="60">
        <f>IFERROR(__xludf.DUMMYFUNCTION("MAX(QUERY(SORT(GOOGLEFINANCE(A3,""high"",TODAY()-100,TODAY()),1,0),""select Col2 limit 55""))"),14.2)</f>
        <v>14.2</v>
      </c>
      <c r="D3" s="32">
        <f>IFERROR(__xludf.DUMMYFUNCTION("GOOGLEFINANCE(A3,""high52"")"),14.29)</f>
        <v>14.29</v>
      </c>
      <c r="E3" s="33">
        <f>IFERROR(__xludf.DUMMYFUNCTION("to_date(index(sort(GOOGLEFINANCE(A3, ""high"", today()-52*7, today(), ""DAILY""),2,0),2,1))"),46168.64583333333)</f>
        <v>46168.64583</v>
      </c>
      <c r="F3" s="32">
        <f>IFERROR(__xludf.DUMMYFUNCTION("GOOGLEFINANCE(A3,""low52"")"),6.12)</f>
        <v>6.12</v>
      </c>
      <c r="G3" s="33">
        <f>IFERROR(__xludf.DUMMYFUNCTION("to_date(index(sort(GOOGLEFINANCE(A3, ""low"", today()-52*7, today(), ""DAILY""),2,1),1,1))"),45883.64583333333)</f>
        <v>45883.64583</v>
      </c>
      <c r="H3" s="61">
        <f>IFERROR(__xludf.DUMMYFUNCTION("MIN(QUERY(SORT(GOOGLEFINANCE(A3,""low"",TODAY()-40,TODAY()),1,0),""select Col2 limit 20""))"),9.67)</f>
        <v>9.67</v>
      </c>
      <c r="I3" s="61">
        <f t="shared" si="1"/>
        <v>-0.2108222066</v>
      </c>
      <c r="J3" s="35" t="str">
        <f t="shared" si="2"/>
        <v>No need to fresh start</v>
      </c>
    </row>
    <row r="4">
      <c r="A4" s="69" t="s">
        <v>300</v>
      </c>
      <c r="B4" s="59">
        <f>IFERROR(__xludf.DUMMYFUNCTION("GOOGLEFINANCE(A4,""price"")"),773.65)</f>
        <v>773.65</v>
      </c>
      <c r="C4" s="60">
        <f>IFERROR(__xludf.DUMMYFUNCTION("MAX(QUERY(SORT(GOOGLEFINANCE(A4,""high"",TODAY()-100,TODAY()),1,0),""select Col2 limit 55""))"),835.95)</f>
        <v>835.95</v>
      </c>
      <c r="D4" s="32">
        <f>IFERROR(__xludf.DUMMYFUNCTION("GOOGLEFINANCE(A4,""high52"")"),859.0)</f>
        <v>859</v>
      </c>
      <c r="E4" s="33">
        <f>IFERROR(__xludf.DUMMYFUNCTION("to_date(index(sort(GOOGLEFINANCE(A4, ""high"", today()-52*7, today(), ""DAILY""),2,0),2,1))"),46056.64583333333)</f>
        <v>46056.64583</v>
      </c>
      <c r="F4" s="32">
        <f>IFERROR(__xludf.DUMMYFUNCTION("GOOGLEFINANCE(A4,""low52"")"),618.5)</f>
        <v>618.5</v>
      </c>
      <c r="G4" s="33">
        <f>IFERROR(__xludf.DUMMYFUNCTION("to_date(index(sort(GOOGLEFINANCE(A4, ""low"", today()-52*7, today(), ""DAILY""),2,1),1,1))"),46104.64583333333)</f>
        <v>46104.64583</v>
      </c>
      <c r="H4" s="61">
        <f>IFERROR(__xludf.DUMMYFUNCTION("MIN(QUERY(SORT(GOOGLEFINANCE(A4,""low"",TODAY()-40,TODAY()),1,0),""select Col2 limit 20""))"),750.0)</f>
        <v>750</v>
      </c>
      <c r="I4" s="61">
        <f t="shared" si="1"/>
        <v>8.052737026</v>
      </c>
      <c r="J4" s="35" t="str">
        <f t="shared" si="2"/>
        <v>No need to fresh start</v>
      </c>
    </row>
    <row r="5">
      <c r="A5" s="69" t="s">
        <v>301</v>
      </c>
      <c r="B5" s="59">
        <f>IFERROR(__xludf.DUMMYFUNCTION("GOOGLEFINANCE(A5,""price"")"),309.3)</f>
        <v>309.3</v>
      </c>
      <c r="C5" s="60">
        <f>IFERROR(__xludf.DUMMYFUNCTION("MAX(QUERY(SORT(GOOGLEFINANCE(A5,""high"",TODAY()-100,TODAY()),1,0),""select Col2 limit 55""))"),358.85)</f>
        <v>358.85</v>
      </c>
      <c r="D5" s="32">
        <f>IFERROR(__xludf.DUMMYFUNCTION("GOOGLEFINANCE(A5,""high52"")"),358.85)</f>
        <v>358.85</v>
      </c>
      <c r="E5" s="33">
        <f>IFERROR(__xludf.DUMMYFUNCTION("to_date(index(sort(GOOGLEFINANCE(A5, ""high"", today()-52*7, today(), ""DAILY""),2,0),2,1))"),46146.64583333333)</f>
        <v>46146.64583</v>
      </c>
      <c r="F5" s="32">
        <f>IFERROR(__xludf.DUMMYFUNCTION("GOOGLEFINANCE(A5,""low52"")"),277.35)</f>
        <v>277.35</v>
      </c>
      <c r="G5" s="33">
        <f>IFERROR(__xludf.DUMMYFUNCTION("to_date(index(sort(GOOGLEFINANCE(A5, ""low"", today()-52*7, today(), ""DAILY""),2,1),1,1))"),46111.64583333333)</f>
        <v>46111.64583</v>
      </c>
      <c r="H5" s="61">
        <f>IFERROR(__xludf.DUMMYFUNCTION("MIN(QUERY(SORT(GOOGLEFINANCE(A5,""low"",TODAY()-40,TODAY()),1,0),""select Col2 limit 20""))"),300.2)</f>
        <v>300.2</v>
      </c>
      <c r="I5" s="61">
        <f t="shared" si="1"/>
        <v>16.02004526</v>
      </c>
      <c r="J5" s="35" t="str">
        <f t="shared" si="2"/>
        <v>No need to fresh start</v>
      </c>
    </row>
    <row r="6">
      <c r="A6" s="69" t="s">
        <v>302</v>
      </c>
      <c r="B6" s="59">
        <f>IFERROR(__xludf.DUMMYFUNCTION("GOOGLEFINANCE(A6,""price"")"),2575.0)</f>
        <v>2575</v>
      </c>
      <c r="C6" s="60">
        <f>IFERROR(__xludf.DUMMYFUNCTION("MAX(QUERY(SORT(GOOGLEFINANCE(A6,""high"",TODAY()-100,TODAY()),1,0),""select Col2 limit 55""))"),3345.0)</f>
        <v>3345</v>
      </c>
      <c r="D6" s="32">
        <f>IFERROR(__xludf.DUMMYFUNCTION("GOOGLEFINANCE(A6,""high52"")"),3345.0)</f>
        <v>3345</v>
      </c>
      <c r="E6" s="33">
        <f>IFERROR(__xludf.DUMMYFUNCTION("to_date(index(sort(GOOGLEFINANCE(A6, ""high"", today()-52*7, today(), ""DAILY""),2,0),2,1))"),46153.64583333333)</f>
        <v>46153.64583</v>
      </c>
      <c r="F6" s="32">
        <f>IFERROR(__xludf.DUMMYFUNCTION("GOOGLEFINANCE(A6,""low52"")"),1936.5)</f>
        <v>1936.5</v>
      </c>
      <c r="G6" s="33">
        <f>IFERROR(__xludf.DUMMYFUNCTION("to_date(index(sort(GOOGLEFINANCE(A6, ""low"", today()-52*7, today(), ""DAILY""),2,1),1,1))"),46064.64583333333)</f>
        <v>46064.64583</v>
      </c>
      <c r="H6" s="61">
        <f>IFERROR(__xludf.DUMMYFUNCTION("MIN(QUERY(SORT(GOOGLEFINANCE(A6,""low"",TODAY()-40,TODAY()),1,0),""select Col2 limit 20""))"),2442.5)</f>
        <v>2442.5</v>
      </c>
      <c r="I6" s="61">
        <f t="shared" si="1"/>
        <v>29.90291262</v>
      </c>
      <c r="J6" s="35" t="str">
        <f t="shared" si="2"/>
        <v>No need to fresh start</v>
      </c>
    </row>
    <row r="7">
      <c r="A7" s="69" t="s">
        <v>303</v>
      </c>
      <c r="B7" s="59" t="str">
        <f>IFERROR(__xludf.DUMMYFUNCTION("GOOGLEFINANCE(A7,""price"")"),"#N/A")</f>
        <v>#N/A</v>
      </c>
      <c r="C7" s="60" t="str">
        <f>IFERROR(__xludf.DUMMYFUNCTION("MAX(QUERY(SORT(GOOGLEFINANCE(A7,""high"",TODAY()-100,TODAY()),1,0),""select Col2 limit 55""))"),"#N/A")</f>
        <v>#N/A</v>
      </c>
      <c r="D7" s="32" t="str">
        <f>IFERROR(__xludf.DUMMYFUNCTION("GOOGLEFINANCE(A7,""high52"")"),"#N/A")</f>
        <v>#N/A</v>
      </c>
      <c r="E7" s="33" t="str">
        <f>IFERROR(__xludf.DUMMYFUNCTION("to_date(index(sort(GOOGLEFINANCE(A7, ""high"", today()-52*7, today(), ""DAILY""),2,0),2,1))"),"#N/A")</f>
        <v>#N/A</v>
      </c>
      <c r="F7" s="32" t="str">
        <f>IFERROR(__xludf.DUMMYFUNCTION("GOOGLEFINANCE(A7,""low52"")"),"#N/A")</f>
        <v>#N/A</v>
      </c>
      <c r="G7" s="33" t="str">
        <f>IFERROR(__xludf.DUMMYFUNCTION("to_date(index(sort(GOOGLEFINANCE(A7, ""low"", today()-52*7, today(), ""DAILY""),2,1),1,1))"),"#N/A")</f>
        <v>#N/A</v>
      </c>
      <c r="H7" s="61" t="str">
        <f>IFERROR(__xludf.DUMMYFUNCTION("MIN(QUERY(SORT(GOOGLEFINANCE(A7,""low"",TODAY()-40,TODAY()),1,0),""select Col2 limit 20""))"),"#N/A")</f>
        <v>#N/A</v>
      </c>
      <c r="I7" s="61" t="str">
        <f t="shared" si="1"/>
        <v>#N/A</v>
      </c>
      <c r="J7" s="35" t="str">
        <f t="shared" si="2"/>
        <v>#N/A</v>
      </c>
    </row>
    <row r="8">
      <c r="A8" s="69" t="s">
        <v>256</v>
      </c>
      <c r="B8" s="59">
        <f>IFERROR(__xludf.DUMMYFUNCTION("GOOGLEFINANCE(A8,""price"")"),365.05)</f>
        <v>365.05</v>
      </c>
      <c r="C8" s="60">
        <f>IFERROR(__xludf.DUMMYFUNCTION("MAX(QUERY(SORT(GOOGLEFINANCE(A8,""high"",TODAY()-100,TODAY()),1,0),""select Col2 limit 55""))"),375.95)</f>
        <v>375.95</v>
      </c>
      <c r="D8" s="32">
        <f>IFERROR(__xludf.DUMMYFUNCTION("GOOGLEFINANCE(A8,""high52"")"),375.95)</f>
        <v>375.95</v>
      </c>
      <c r="E8" s="33">
        <f>IFERROR(__xludf.DUMMYFUNCTION("to_date(index(sort(GOOGLEFINANCE(A8, ""high"", today()-52*7, today(), ""DAILY""),2,0),2,1))"),46149.64583333333)</f>
        <v>46149.64583</v>
      </c>
      <c r="F8" s="32">
        <f>IFERROR(__xludf.DUMMYFUNCTION("GOOGLEFINANCE(A8,""low52"")"),217.14)</f>
        <v>217.14</v>
      </c>
      <c r="G8" s="33">
        <f>IFERROR(__xludf.DUMMYFUNCTION("to_date(index(sort(GOOGLEFINANCE(A8, ""low"", today()-52*7, today(), ""DAILY""),2,1),1,1))"),45805.64583333333)</f>
        <v>45805.64583</v>
      </c>
      <c r="H8" s="61">
        <f>IFERROR(__xludf.DUMMYFUNCTION("MIN(QUERY(SORT(GOOGLEFINANCE(A8,""low"",TODAY()-40,TODAY()),1,0),""select Col2 limit 20""))"),337.45)</f>
        <v>337.45</v>
      </c>
      <c r="I8" s="61">
        <f t="shared" si="1"/>
        <v>2.985892344</v>
      </c>
      <c r="J8" s="35" t="str">
        <f t="shared" si="2"/>
        <v>No need to fresh start</v>
      </c>
    </row>
    <row r="9">
      <c r="A9" s="69" t="s">
        <v>304</v>
      </c>
      <c r="B9" s="59" t="str">
        <f>IFERROR(__xludf.DUMMYFUNCTION("GOOGLEFINANCE(A9,""price"")"),"#N/A")</f>
        <v>#N/A</v>
      </c>
      <c r="C9" s="60" t="str">
        <f>IFERROR(__xludf.DUMMYFUNCTION("MAX(QUERY(SORT(GOOGLEFINANCE(A9,""high"",TODAY()-100,TODAY()),1,0),""select Col2 limit 55""))"),"#N/A")</f>
        <v>#N/A</v>
      </c>
      <c r="D9" s="32" t="str">
        <f>IFERROR(__xludf.DUMMYFUNCTION("GOOGLEFINANCE(A9,""high52"")"),"#N/A")</f>
        <v>#N/A</v>
      </c>
      <c r="E9" s="33" t="str">
        <f>IFERROR(__xludf.DUMMYFUNCTION("to_date(index(sort(GOOGLEFINANCE(A9, ""high"", today()-52*7, today(), ""DAILY""),2,0),2,1))"),"#N/A")</f>
        <v>#N/A</v>
      </c>
      <c r="F9" s="32" t="str">
        <f>IFERROR(__xludf.DUMMYFUNCTION("GOOGLEFINANCE(A9,""low52"")"),"#N/A")</f>
        <v>#N/A</v>
      </c>
      <c r="G9" s="33" t="str">
        <f>IFERROR(__xludf.DUMMYFUNCTION("to_date(index(sort(GOOGLEFINANCE(A9, ""low"", today()-52*7, today(), ""DAILY""),2,1),1,1))"),"#N/A")</f>
        <v>#N/A</v>
      </c>
      <c r="H9" s="61" t="str">
        <f>IFERROR(__xludf.DUMMYFUNCTION("MIN(QUERY(SORT(GOOGLEFINANCE(A9,""low"",TODAY()-40,TODAY()),1,0),""select Col2 limit 20""))"),"#N/A")</f>
        <v>#N/A</v>
      </c>
      <c r="I9" s="61" t="str">
        <f t="shared" si="1"/>
        <v>#N/A</v>
      </c>
      <c r="J9" s="35" t="str">
        <f t="shared" si="2"/>
        <v>#N/A</v>
      </c>
    </row>
    <row r="10">
      <c r="A10" s="69" t="s">
        <v>305</v>
      </c>
      <c r="B10" s="59">
        <f>IFERROR(__xludf.DUMMYFUNCTION("GOOGLEFINANCE(A10,""price"")"),78.19)</f>
        <v>78.19</v>
      </c>
      <c r="C10" s="60">
        <f>IFERROR(__xludf.DUMMYFUNCTION("MAX(QUERY(SORT(GOOGLEFINANCE(A10,""high"",TODAY()-100,TODAY()),1,0),""select Col2 limit 55""))"),81.4)</f>
        <v>81.4</v>
      </c>
      <c r="D10" s="32">
        <f>IFERROR(__xludf.DUMMYFUNCTION("GOOGLEFINANCE(A10,""high52"")"),112.2)</f>
        <v>112.2</v>
      </c>
      <c r="E10" s="33">
        <f>IFERROR(__xludf.DUMMYFUNCTION("to_date(index(sort(GOOGLEFINANCE(A10, ""high"", today()-52*7, today(), ""DAILY""),2,0),2,1))"),45813.64583333333)</f>
        <v>45813.64583</v>
      </c>
      <c r="F10" s="32">
        <f>IFERROR(__xludf.DUMMYFUNCTION("GOOGLEFINANCE(A10,""low52"")"),63.35)</f>
        <v>63.35</v>
      </c>
      <c r="G10" s="33">
        <f>IFERROR(__xludf.DUMMYFUNCTION("to_date(index(sort(GOOGLEFINANCE(A10, ""low"", today()-52*7, today(), ""DAILY""),2,1),1,1))"),46111.64583333333)</f>
        <v>46111.64583</v>
      </c>
      <c r="H10" s="61">
        <f>IFERROR(__xludf.DUMMYFUNCTION("MIN(QUERY(SORT(GOOGLEFINANCE(A10,""low"",TODAY()-40,TODAY()),1,0),""select Col2 limit 20""))"),72.0)</f>
        <v>72</v>
      </c>
      <c r="I10" s="61">
        <f t="shared" si="1"/>
        <v>4.10538432</v>
      </c>
      <c r="J10" s="35" t="str">
        <f t="shared" si="2"/>
        <v>No need to fresh start</v>
      </c>
    </row>
    <row r="11">
      <c r="A11" s="69" t="s">
        <v>306</v>
      </c>
      <c r="B11" s="59">
        <f>IFERROR(__xludf.DUMMYFUNCTION("GOOGLEFINANCE(A11,""price"")"),400.2)</f>
        <v>400.2</v>
      </c>
      <c r="C11" s="60">
        <f>IFERROR(__xludf.DUMMYFUNCTION("MAX(QUERY(SORT(GOOGLEFINANCE(A11,""high"",TODAY()-100,TODAY()),1,0),""select Col2 limit 55""))"),418.85)</f>
        <v>418.85</v>
      </c>
      <c r="D11" s="32">
        <f>IFERROR(__xludf.DUMMYFUNCTION("GOOGLEFINANCE(A11,""high52"")"),418.85)</f>
        <v>418.85</v>
      </c>
      <c r="E11" s="33">
        <f>IFERROR(__xludf.DUMMYFUNCTION("to_date(index(sort(GOOGLEFINANCE(A11, ""high"", today()-52*7, today(), ""DAILY""),2,0),2,1))"),46146.64583333333)</f>
        <v>46146.64583</v>
      </c>
      <c r="F11" s="32">
        <f>IFERROR(__xludf.DUMMYFUNCTION("GOOGLEFINANCE(A11,""low52"")"),257.05)</f>
        <v>257.05</v>
      </c>
      <c r="G11" s="33">
        <f>IFERROR(__xludf.DUMMYFUNCTION("to_date(index(sort(GOOGLEFINANCE(A11, ""low"", today()-52*7, today(), ""DAILY""),2,1),1,1))"),46104.64583333333)</f>
        <v>46104.64583</v>
      </c>
      <c r="H11" s="61">
        <f>IFERROR(__xludf.DUMMYFUNCTION("MIN(QUERY(SORT(GOOGLEFINANCE(A11,""low"",TODAY()-40,TODAY()),1,0),""select Col2 limit 20""))"),339.0)</f>
        <v>339</v>
      </c>
      <c r="I11" s="61">
        <f t="shared" si="1"/>
        <v>4.660169915</v>
      </c>
      <c r="J11" s="35" t="str">
        <f t="shared" si="2"/>
        <v>No need to fresh start</v>
      </c>
    </row>
    <row r="12">
      <c r="A12" s="69" t="s">
        <v>307</v>
      </c>
      <c r="B12" s="59">
        <f>IFERROR(__xludf.DUMMYFUNCTION("GOOGLEFINANCE(A12,""price"")"),55.22)</f>
        <v>55.22</v>
      </c>
      <c r="C12" s="60">
        <f>IFERROR(__xludf.DUMMYFUNCTION("MAX(QUERY(SORT(GOOGLEFINANCE(A12,""high"",TODAY()-100,TODAY()),1,0),""select Col2 limit 55""))"),58.06)</f>
        <v>58.06</v>
      </c>
      <c r="D12" s="32">
        <f>IFERROR(__xludf.DUMMYFUNCTION("GOOGLEFINANCE(A12,""high52"")"),74.3)</f>
        <v>74.3</v>
      </c>
      <c r="E12" s="33">
        <f>IFERROR(__xludf.DUMMYFUNCTION("to_date(index(sort(GOOGLEFINANCE(A12, ""high"", today()-52*7, today(), ""DAILY""),2,0),2,1))"),45807.64583333333)</f>
        <v>45807.64583</v>
      </c>
      <c r="F12" s="32">
        <f>IFERROR(__xludf.DUMMYFUNCTION("GOOGLEFINANCE(A12,""low52"")"),38.19)</f>
        <v>38.19</v>
      </c>
      <c r="G12" s="33">
        <f>IFERROR(__xludf.DUMMYFUNCTION("to_date(index(sort(GOOGLEFINANCE(A12, ""low"", today()-52*7, today(), ""DAILY""),2,1),1,1))"),46090.64583333333)</f>
        <v>46090.64583</v>
      </c>
      <c r="H12" s="61">
        <f>IFERROR(__xludf.DUMMYFUNCTION("MIN(QUERY(SORT(GOOGLEFINANCE(A12,""low"",TODAY()-40,TODAY()),1,0),""select Col2 limit 20""))"),51.31)</f>
        <v>51.31</v>
      </c>
      <c r="I12" s="61">
        <f t="shared" si="1"/>
        <v>5.143064107</v>
      </c>
      <c r="J12" s="35" t="str">
        <f t="shared" si="2"/>
        <v>No need to fresh start</v>
      </c>
    </row>
    <row r="13">
      <c r="A13" s="69" t="s">
        <v>308</v>
      </c>
      <c r="B13" s="59">
        <f>IFERROR(__xludf.DUMMYFUNCTION("GOOGLEFINANCE(A13,""price"")"),200.57)</f>
        <v>200.57</v>
      </c>
      <c r="C13" s="60">
        <f>IFERROR(__xludf.DUMMYFUNCTION("MAX(QUERY(SORT(GOOGLEFINANCE(A13,""high"",TODAY()-100,TODAY()),1,0),""select Col2 limit 55""))"),224.4)</f>
        <v>224.4</v>
      </c>
      <c r="D13" s="32">
        <f>IFERROR(__xludf.DUMMYFUNCTION("GOOGLEFINANCE(A13,""high52"")"),321.95)</f>
        <v>321.95</v>
      </c>
      <c r="E13" s="33">
        <f>IFERROR(__xludf.DUMMYFUNCTION("to_date(index(sort(GOOGLEFINANCE(A13, ""high"", today()-52*7, today(), ""DAILY""),2,0),2,1))"),45923.64583333333)</f>
        <v>45923.64583</v>
      </c>
      <c r="F13" s="32">
        <f>IFERROR(__xludf.DUMMYFUNCTION("GOOGLEFINANCE(A13,""low52"")"),128.5)</f>
        <v>128.5</v>
      </c>
      <c r="G13" s="33">
        <f>IFERROR(__xludf.DUMMYFUNCTION("to_date(index(sort(GOOGLEFINANCE(A13, ""low"", today()-52*7, today(), ""DAILY""),2,1),1,1))"),46111.64583333333)</f>
        <v>46111.64583</v>
      </c>
      <c r="H13" s="61">
        <f>IFERROR(__xludf.DUMMYFUNCTION("MIN(QUERY(SORT(GOOGLEFINANCE(A13,""low"",TODAY()-40,TODAY()),1,0),""select Col2 limit 20""))"),173.76)</f>
        <v>173.76</v>
      </c>
      <c r="I13" s="61">
        <f t="shared" si="1"/>
        <v>11.88113875</v>
      </c>
      <c r="J13" s="35" t="str">
        <f t="shared" si="2"/>
        <v>Start GTT Order</v>
      </c>
    </row>
    <row r="14">
      <c r="A14" s="69" t="s">
        <v>309</v>
      </c>
      <c r="B14" s="59">
        <f>IFERROR(__xludf.DUMMYFUNCTION("GOOGLEFINANCE(A14,""price"")"),1279.9)</f>
        <v>1279.9</v>
      </c>
      <c r="C14" s="60">
        <f>IFERROR(__xludf.DUMMYFUNCTION("MAX(QUERY(SORT(GOOGLEFINANCE(A14,""high"",TODAY()-100,TODAY()),1,0),""select Col2 limit 55""))"),1568.0)</f>
        <v>1568</v>
      </c>
      <c r="D14" s="32">
        <f>IFERROR(__xludf.DUMMYFUNCTION("GOOGLEFINANCE(A14,""high52"")"),1568.0)</f>
        <v>1568</v>
      </c>
      <c r="E14" s="33">
        <f>IFERROR(__xludf.DUMMYFUNCTION("to_date(index(sort(GOOGLEFINANCE(A14, ""high"", today()-52*7, today(), ""DAILY""),2,0),2,1))"),46147.64583333333)</f>
        <v>46147.64583</v>
      </c>
      <c r="F14" s="32">
        <f>IFERROR(__xludf.DUMMYFUNCTION("GOOGLEFINANCE(A14,""low52"")"),1099.7)</f>
        <v>1099.7</v>
      </c>
      <c r="G14" s="33">
        <f>IFERROR(__xludf.DUMMYFUNCTION("to_date(index(sort(GOOGLEFINANCE(A14, ""low"", today()-52*7, today(), ""DAILY""),2,1),1,1))"),45828.64583333333)</f>
        <v>45828.64583</v>
      </c>
      <c r="H14" s="61">
        <f>IFERROR(__xludf.DUMMYFUNCTION("MIN(QUERY(SORT(GOOGLEFINANCE(A14,""low"",TODAY()-40,TODAY()),1,0),""select Col2 limit 20""))"),1237.1)</f>
        <v>1237.1</v>
      </c>
      <c r="I14" s="61">
        <f t="shared" si="1"/>
        <v>22.50957106</v>
      </c>
      <c r="J14" s="35" t="str">
        <f t="shared" si="2"/>
        <v>No need to fresh start</v>
      </c>
    </row>
    <row r="15">
      <c r="A15" s="69" t="s">
        <v>237</v>
      </c>
      <c r="B15" s="59">
        <f>IFERROR(__xludf.DUMMYFUNCTION("GOOGLEFINANCE(A15,""price"")"),1692.9)</f>
        <v>1692.9</v>
      </c>
      <c r="C15" s="60">
        <f>IFERROR(__xludf.DUMMYFUNCTION("MAX(QUERY(SORT(GOOGLEFINANCE(A15,""high"",TODAY()-100,TODAY()),1,0),""select Col2 limit 55""))"),1754.0)</f>
        <v>1754</v>
      </c>
      <c r="D15" s="32">
        <f>IFERROR(__xludf.DUMMYFUNCTION("GOOGLEFINANCE(A15,""high52"")"),2005.0)</f>
        <v>2005</v>
      </c>
      <c r="E15" s="33">
        <f>IFERROR(__xludf.DUMMYFUNCTION("to_date(index(sort(GOOGLEFINANCE(A15, ""high"", today()-52*7, today(), ""DAILY""),2,0),2,1))"),45833.64583333333)</f>
        <v>45833.64583</v>
      </c>
      <c r="F15" s="32">
        <f>IFERROR(__xludf.DUMMYFUNCTION("GOOGLEFINANCE(A15,""low52"")"),1391.2)</f>
        <v>1391.2</v>
      </c>
      <c r="G15" s="33">
        <f>IFERROR(__xludf.DUMMYFUNCTION("to_date(index(sort(GOOGLEFINANCE(A15, ""low"", today()-52*7, today(), ""DAILY""),2,1),1,1))"),46104.64583333333)</f>
        <v>46104.64583</v>
      </c>
      <c r="H15" s="61">
        <f>IFERROR(__xludf.DUMMYFUNCTION("MIN(QUERY(SORT(GOOGLEFINANCE(A15,""low"",TODAY()-40,TODAY()),1,0),""select Col2 limit 20""))"),1571.0)</f>
        <v>1571</v>
      </c>
      <c r="I15" s="61">
        <f t="shared" si="1"/>
        <v>3.609191328</v>
      </c>
      <c r="J15" s="35" t="str">
        <f t="shared" si="2"/>
        <v>No need to fresh start</v>
      </c>
    </row>
    <row r="16">
      <c r="A16" s="69" t="s">
        <v>310</v>
      </c>
      <c r="B16" s="59">
        <f>IFERROR(__xludf.DUMMYFUNCTION("GOOGLEFINANCE(A16,""price"")"),218.15)</f>
        <v>218.15</v>
      </c>
      <c r="C16" s="60">
        <f>IFERROR(__xludf.DUMMYFUNCTION("MAX(QUERY(SORT(GOOGLEFINANCE(A16,""high"",TODAY()-100,TODAY()),1,0),""select Col2 limit 55""))"),225.4)</f>
        <v>225.4</v>
      </c>
      <c r="D16" s="32">
        <f>IFERROR(__xludf.DUMMYFUNCTION("GOOGLEFINANCE(A16,""high52"")"),264.0)</f>
        <v>264</v>
      </c>
      <c r="E16" s="33">
        <f>IFERROR(__xludf.DUMMYFUNCTION("to_date(index(sort(GOOGLEFINANCE(A16, ""high"", today()-52*7, today(), ""DAILY""),2,0),2,1))"),46015.64583333333)</f>
        <v>46015.64583</v>
      </c>
      <c r="F16" s="32">
        <f>IFERROR(__xludf.DUMMYFUNCTION("GOOGLEFINANCE(A16,""low52"")"),157.91)</f>
        <v>157.91</v>
      </c>
      <c r="G16" s="33">
        <f>IFERROR(__xludf.DUMMYFUNCTION("to_date(index(sort(GOOGLEFINANCE(A16, ""low"", today()-52*7, today(), ""DAILY""),2,1),1,1))"),46104.64583333333)</f>
        <v>46104.64583</v>
      </c>
      <c r="H16" s="61">
        <f>IFERROR(__xludf.DUMMYFUNCTION("MIN(QUERY(SORT(GOOGLEFINANCE(A16,""low"",TODAY()-40,TODAY()),1,0),""select Col2 limit 20""))"),192.84)</f>
        <v>192.84</v>
      </c>
      <c r="I16" s="61">
        <f t="shared" si="1"/>
        <v>3.323401329</v>
      </c>
      <c r="J16" s="35" t="str">
        <f t="shared" si="2"/>
        <v>No need to fresh start</v>
      </c>
    </row>
    <row r="17">
      <c r="A17" s="69" t="s">
        <v>311</v>
      </c>
      <c r="B17" s="59" t="str">
        <f>IFERROR(__xludf.DUMMYFUNCTION("GOOGLEFINANCE(A17,""price"")"),"#N/A")</f>
        <v>#N/A</v>
      </c>
      <c r="C17" s="60" t="str">
        <f>IFERROR(__xludf.DUMMYFUNCTION("MAX(QUERY(SORT(GOOGLEFINANCE(A17,""high"",TODAY()-100,TODAY()),1,0),""select Col2 limit 55""))"),"#N/A")</f>
        <v>#N/A</v>
      </c>
      <c r="D17" s="32" t="str">
        <f>IFERROR(__xludf.DUMMYFUNCTION("GOOGLEFINANCE(A17,""high52"")"),"#N/A")</f>
        <v>#N/A</v>
      </c>
      <c r="E17" s="33" t="str">
        <f>IFERROR(__xludf.DUMMYFUNCTION("to_date(index(sort(GOOGLEFINANCE(A17, ""high"", today()-52*7, today(), ""DAILY""),2,0),2,1))"),"#N/A")</f>
        <v>#N/A</v>
      </c>
      <c r="F17" s="32" t="str">
        <f>IFERROR(__xludf.DUMMYFUNCTION("GOOGLEFINANCE(A17,""low52"")"),"#N/A")</f>
        <v>#N/A</v>
      </c>
      <c r="G17" s="33" t="str">
        <f>IFERROR(__xludf.DUMMYFUNCTION("to_date(index(sort(GOOGLEFINANCE(A17, ""low"", today()-52*7, today(), ""DAILY""),2,1),1,1))"),"#N/A")</f>
        <v>#N/A</v>
      </c>
      <c r="H17" s="61" t="str">
        <f>IFERROR(__xludf.DUMMYFUNCTION("MIN(QUERY(SORT(GOOGLEFINANCE(A17,""low"",TODAY()-40,TODAY()),1,0),""select Col2 limit 20""))"),"#N/A")</f>
        <v>#N/A</v>
      </c>
      <c r="I17" s="61" t="str">
        <f t="shared" si="1"/>
        <v>#N/A</v>
      </c>
      <c r="J17" s="35" t="str">
        <f t="shared" si="2"/>
        <v>#N/A</v>
      </c>
    </row>
    <row r="18">
      <c r="A18" s="69" t="s">
        <v>312</v>
      </c>
      <c r="B18" s="59">
        <f>IFERROR(__xludf.DUMMYFUNCTION("GOOGLEFINANCE(A18,""price"")"),470.9)</f>
        <v>470.9</v>
      </c>
      <c r="C18" s="60">
        <f>IFERROR(__xludf.DUMMYFUNCTION("MAX(QUERY(SORT(GOOGLEFINANCE(A18,""high"",TODAY()-100,TODAY()),1,0),""select Col2 limit 55""))"),505.0)</f>
        <v>505</v>
      </c>
      <c r="D18" s="32">
        <f>IFERROR(__xludf.DUMMYFUNCTION("GOOGLEFINANCE(A18,""high52"")"),675.0)</f>
        <v>675</v>
      </c>
      <c r="E18" s="33">
        <f>IFERROR(__xludf.DUMMYFUNCTION("to_date(index(sort(GOOGLEFINANCE(A18, ""high"", today()-52*7, today(), ""DAILY""),2,0),2,1))"),46028.64583333333)</f>
        <v>46028.64583</v>
      </c>
      <c r="F18" s="32">
        <f>IFERROR(__xludf.DUMMYFUNCTION("GOOGLEFINANCE(A18,""low52"")"),409.1)</f>
        <v>409.1</v>
      </c>
      <c r="G18" s="33">
        <f>IFERROR(__xludf.DUMMYFUNCTION("to_date(index(sort(GOOGLEFINANCE(A18, ""low"", today()-52*7, today(), ""DAILY""),2,1),1,1))"),46139.64583333333)</f>
        <v>46139.64583</v>
      </c>
      <c r="H18" s="61">
        <f>IFERROR(__xludf.DUMMYFUNCTION("MIN(QUERY(SORT(GOOGLEFINANCE(A18,""low"",TODAY()-40,TODAY()),1,0),""select Col2 limit 20""))"),432.45)</f>
        <v>432.45</v>
      </c>
      <c r="I18" s="61">
        <f t="shared" si="1"/>
        <v>7.241452538</v>
      </c>
      <c r="J18" s="35" t="str">
        <f t="shared" si="2"/>
        <v>No need to fresh start</v>
      </c>
    </row>
    <row r="19">
      <c r="A19" s="69" t="s">
        <v>313</v>
      </c>
      <c r="B19" s="59">
        <f>IFERROR(__xludf.DUMMYFUNCTION("GOOGLEFINANCE(A19,""price"")"),1333.1)</f>
        <v>1333.1</v>
      </c>
      <c r="C19" s="60">
        <f>IFERROR(__xludf.DUMMYFUNCTION("MAX(QUERY(SORT(GOOGLEFINANCE(A19,""high"",TODAY()-100,TODAY()),1,0),""select Col2 limit 55""))"),1436.0)</f>
        <v>1436</v>
      </c>
      <c r="D19" s="32">
        <f>IFERROR(__xludf.DUMMYFUNCTION("GOOGLEFINANCE(A19,""high52"")"),2040.0)</f>
        <v>2040</v>
      </c>
      <c r="E19" s="33">
        <f>IFERROR(__xludf.DUMMYFUNCTION("to_date(index(sort(GOOGLEFINANCE(A19, ""high"", today()-52*7, today(), ""DAILY""),2,0),2,1))"),45846.64583333333)</f>
        <v>45846.64583</v>
      </c>
      <c r="F19" s="32">
        <f>IFERROR(__xludf.DUMMYFUNCTION("GOOGLEFINANCE(A19,""low52"")"),1203.0)</f>
        <v>1203</v>
      </c>
      <c r="G19" s="33">
        <f>IFERROR(__xludf.DUMMYFUNCTION("to_date(index(sort(GOOGLEFINANCE(A19, ""low"", today()-52*7, today(), ""DAILY""),2,1),1,1))"),46125.64583333333)</f>
        <v>46125.64583</v>
      </c>
      <c r="H19" s="61">
        <f>IFERROR(__xludf.DUMMYFUNCTION("MIN(QUERY(SORT(GOOGLEFINANCE(A19,""low"",TODAY()-40,TODAY()),1,0),""select Col2 limit 20""))"),1280.2)</f>
        <v>1280.2</v>
      </c>
      <c r="I19" s="61">
        <f t="shared" si="1"/>
        <v>7.718850799</v>
      </c>
      <c r="J19" s="35" t="str">
        <f t="shared" si="2"/>
        <v>No need to fresh start</v>
      </c>
    </row>
    <row r="20">
      <c r="A20" s="69" t="s">
        <v>314</v>
      </c>
      <c r="B20" s="59">
        <f>IFERROR(__xludf.DUMMYFUNCTION("GOOGLEFINANCE(A20,""price"")"),395.4)</f>
        <v>395.4</v>
      </c>
      <c r="C20" s="60">
        <f>IFERROR(__xludf.DUMMYFUNCTION("MAX(QUERY(SORT(GOOGLEFINANCE(A20,""high"",TODAY()-100,TODAY()),1,0),""select Col2 limit 55""))"),407.2)</f>
        <v>407.2</v>
      </c>
      <c r="D20" s="32">
        <f>IFERROR(__xludf.DUMMYFUNCTION("GOOGLEFINANCE(A20,""high52"")"),564.05)</f>
        <v>564.05</v>
      </c>
      <c r="E20" s="33">
        <f>IFERROR(__xludf.DUMMYFUNCTION("to_date(index(sort(GOOGLEFINANCE(A20, ""high"", today()-52*7, today(), ""DAILY""),2,0),2,1))"),45859.64583333333)</f>
        <v>45859.64583</v>
      </c>
      <c r="F20" s="32">
        <f>IFERROR(__xludf.DUMMYFUNCTION("GOOGLEFINANCE(A20,""low52"")"),318.95)</f>
        <v>318.95</v>
      </c>
      <c r="G20" s="33">
        <f>IFERROR(__xludf.DUMMYFUNCTION("to_date(index(sort(GOOGLEFINANCE(A20, ""low"", today()-52*7, today(), ""DAILY""),2,1),1,1))"),46111.64583333333)</f>
        <v>46111.64583</v>
      </c>
      <c r="H20" s="61">
        <f>IFERROR(__xludf.DUMMYFUNCTION("MIN(QUERY(SORT(GOOGLEFINANCE(A20,""low"",TODAY()-40,TODAY()),1,0),""select Col2 limit 20""))"),356.1)</f>
        <v>356.1</v>
      </c>
      <c r="I20" s="61">
        <f t="shared" si="1"/>
        <v>2.984319676</v>
      </c>
      <c r="J20" s="35" t="str">
        <f t="shared" si="2"/>
        <v>No need to fresh start</v>
      </c>
    </row>
    <row r="21">
      <c r="A21" s="69" t="s">
        <v>234</v>
      </c>
      <c r="B21" s="59" t="str">
        <f>IFERROR(__xludf.DUMMYFUNCTION("GOOGLEFINANCE(A21,""price"")"),"#N/A")</f>
        <v>#N/A</v>
      </c>
      <c r="C21" s="60" t="str">
        <f>IFERROR(__xludf.DUMMYFUNCTION("MAX(QUERY(SORT(GOOGLEFINANCE(A21,""high"",TODAY()-100,TODAY()),1,0),""select Col2 limit 55""))"),"#N/A")</f>
        <v>#N/A</v>
      </c>
      <c r="D21" s="32" t="str">
        <f>IFERROR(__xludf.DUMMYFUNCTION("GOOGLEFINANCE(A21,""high52"")"),"#N/A")</f>
        <v>#N/A</v>
      </c>
      <c r="E21" s="33" t="str">
        <f>IFERROR(__xludf.DUMMYFUNCTION("to_date(index(sort(GOOGLEFINANCE(A21, ""high"", today()-52*7, today(), ""DAILY""),2,0),2,1))"),"#N/A")</f>
        <v>#N/A</v>
      </c>
      <c r="F21" s="32" t="str">
        <f>IFERROR(__xludf.DUMMYFUNCTION("GOOGLEFINANCE(A21,""low52"")"),"#N/A")</f>
        <v>#N/A</v>
      </c>
      <c r="G21" s="33" t="str">
        <f>IFERROR(__xludf.DUMMYFUNCTION("to_date(index(sort(GOOGLEFINANCE(A21, ""low"", today()-52*7, today(), ""DAILY""),2,1),1,1))"),"#N/A")</f>
        <v>#N/A</v>
      </c>
      <c r="H21" s="61" t="str">
        <f>IFERROR(__xludf.DUMMYFUNCTION("MIN(QUERY(SORT(GOOGLEFINANCE(A21,""low"",TODAY()-40,TODAY()),1,0),""select Col2 limit 20""))"),"#N/A")</f>
        <v>#N/A</v>
      </c>
      <c r="I21" s="61" t="str">
        <f t="shared" si="1"/>
        <v>#N/A</v>
      </c>
      <c r="J21" s="35" t="str">
        <f t="shared" si="2"/>
        <v>#N/A</v>
      </c>
    </row>
    <row r="22">
      <c r="A22" s="69" t="s">
        <v>315</v>
      </c>
      <c r="B22" s="59">
        <f>IFERROR(__xludf.DUMMYFUNCTION("GOOGLEFINANCE(A22,""price"")"),4350.8)</f>
        <v>4350.8</v>
      </c>
      <c r="C22" s="60">
        <f>IFERROR(__xludf.DUMMYFUNCTION("MAX(QUERY(SORT(GOOGLEFINANCE(A22,""high"",TODAY()-100,TODAY()),1,0),""select Col2 limit 55""))"),4425.0)</f>
        <v>4425</v>
      </c>
      <c r="D22" s="32">
        <f>IFERROR(__xludf.DUMMYFUNCTION("GOOGLEFINANCE(A22,""high52"")"),4446.8)</f>
        <v>4446.8</v>
      </c>
      <c r="E22" s="33">
        <f>IFERROR(__xludf.DUMMYFUNCTION("to_date(index(sort(GOOGLEFINANCE(A22, ""high"", today()-52*7, today(), ""DAILY""),2,0),2,1))"),46168.64583333333)</f>
        <v>46168.64583</v>
      </c>
      <c r="F22" s="32">
        <f>IFERROR(__xludf.DUMMYFUNCTION("GOOGLEFINANCE(A22,""low52"")"),2021.5)</f>
        <v>2021.5</v>
      </c>
      <c r="G22" s="33">
        <f>IFERROR(__xludf.DUMMYFUNCTION("to_date(index(sort(GOOGLEFINANCE(A22, ""low"", today()-52*7, today(), ""DAILY""),2,1),1,1))"),45926.64583333333)</f>
        <v>45926.64583</v>
      </c>
      <c r="H22" s="61">
        <f>IFERROR(__xludf.DUMMYFUNCTION("MIN(QUERY(SORT(GOOGLEFINANCE(A22,""low"",TODAY()-40,TODAY()),1,0),""select Col2 limit 20""))"),3543.6)</f>
        <v>3543.6</v>
      </c>
      <c r="I22" s="61">
        <f t="shared" si="1"/>
        <v>1.705433483</v>
      </c>
      <c r="J22" s="35" t="str">
        <f t="shared" si="2"/>
        <v>No need to fresh start</v>
      </c>
    </row>
    <row r="23">
      <c r="A23" s="69" t="s">
        <v>316</v>
      </c>
      <c r="B23" s="59">
        <f>IFERROR(__xludf.DUMMYFUNCTION("GOOGLEFINANCE(A23,""price"")"),87.34)</f>
        <v>87.34</v>
      </c>
      <c r="C23" s="60">
        <f>IFERROR(__xludf.DUMMYFUNCTION("MAX(QUERY(SORT(GOOGLEFINANCE(A23,""high"",TODAY()-100,TODAY()),1,0),""select Col2 limit 55""))"),96.37)</f>
        <v>96.37</v>
      </c>
      <c r="D23" s="32">
        <f>IFERROR(__xludf.DUMMYFUNCTION("GOOGLEFINANCE(A23,""high52"")"),125.54)</f>
        <v>125.54</v>
      </c>
      <c r="E23" s="33">
        <f>IFERROR(__xludf.DUMMYFUNCTION("to_date(index(sort(GOOGLEFINANCE(A23, ""high"", today()-52*7, today(), ""DAILY""),2,0),2,1))"),45838.64583333333)</f>
        <v>45838.64583</v>
      </c>
      <c r="F23" s="32">
        <f>IFERROR(__xludf.DUMMYFUNCTION("GOOGLEFINANCE(A23,""low52"")"),70.46)</f>
        <v>70.46</v>
      </c>
      <c r="G23" s="33">
        <f>IFERROR(__xludf.DUMMYFUNCTION("to_date(index(sort(GOOGLEFINANCE(A23, ""low"", today()-52*7, today(), ""DAILY""),2,1),1,1))"),46111.64583333333)</f>
        <v>46111.64583</v>
      </c>
      <c r="H23" s="61">
        <f>IFERROR(__xludf.DUMMYFUNCTION("MIN(QUERY(SORT(GOOGLEFINANCE(A23,""low"",TODAY()-40,TODAY()),1,0),""select Col2 limit 20""))"),86.02)</f>
        <v>86.02</v>
      </c>
      <c r="I23" s="61">
        <f t="shared" si="1"/>
        <v>10.33890543</v>
      </c>
      <c r="J23" s="35" t="str">
        <f t="shared" si="2"/>
        <v>Start GTT Order</v>
      </c>
    </row>
    <row r="24">
      <c r="A24" s="69" t="s">
        <v>317</v>
      </c>
      <c r="B24" s="59">
        <f>IFERROR(__xludf.DUMMYFUNCTION("GOOGLEFINANCE(A24,""price"")"),5786.5)</f>
        <v>5786.5</v>
      </c>
      <c r="C24" s="60">
        <f>IFERROR(__xludf.DUMMYFUNCTION("MAX(QUERY(SORT(GOOGLEFINANCE(A24,""high"",TODAY()-100,TODAY()),1,0),""select Col2 limit 55""))"),6215.0)</f>
        <v>6215</v>
      </c>
      <c r="D24" s="32">
        <f>IFERROR(__xludf.DUMMYFUNCTION("GOOGLEFINANCE(A24,""high52"")"),7275.0)</f>
        <v>7275</v>
      </c>
      <c r="E24" s="33">
        <f>IFERROR(__xludf.DUMMYFUNCTION("to_date(index(sort(GOOGLEFINANCE(A24, ""high"", today()-52*7, today(), ""DAILY""),2,0),2,1))"),45825.64583333333)</f>
        <v>45825.64583</v>
      </c>
      <c r="F24" s="32">
        <f>IFERROR(__xludf.DUMMYFUNCTION("GOOGLEFINANCE(A24,""low52"")"),4461.1)</f>
        <v>4461.1</v>
      </c>
      <c r="G24" s="33">
        <f>IFERROR(__xludf.DUMMYFUNCTION("to_date(index(sort(GOOGLEFINANCE(A24, ""low"", today()-52*7, today(), ""DAILY""),2,1),1,1))"),46097.64583333333)</f>
        <v>46097.64583</v>
      </c>
      <c r="H24" s="61">
        <f>IFERROR(__xludf.DUMMYFUNCTION("MIN(QUERY(SORT(GOOGLEFINANCE(A24,""low"",TODAY()-40,TODAY()),1,0),""select Col2 limit 20""))"),5215.0)</f>
        <v>5215</v>
      </c>
      <c r="I24" s="61">
        <f t="shared" si="1"/>
        <v>7.4051672</v>
      </c>
      <c r="J24" s="35" t="str">
        <f t="shared" si="2"/>
        <v>No need to fresh start</v>
      </c>
    </row>
    <row r="25">
      <c r="A25" s="69" t="s">
        <v>318</v>
      </c>
      <c r="B25" s="59">
        <f>IFERROR(__xludf.DUMMYFUNCTION("GOOGLEFINANCE(A25,""price"")"),844.05)</f>
        <v>844.05</v>
      </c>
      <c r="C25" s="60">
        <f>IFERROR(__xludf.DUMMYFUNCTION("MAX(QUERY(SORT(GOOGLEFINANCE(A25,""high"",TODAY()-100,TODAY()),1,0),""select Col2 limit 55""))"),863.0)</f>
        <v>863</v>
      </c>
      <c r="D25" s="32">
        <f>IFERROR(__xludf.DUMMYFUNCTION("GOOGLEFINANCE(A25,""high52"")"),1029.9)</f>
        <v>1029.9</v>
      </c>
      <c r="E25" s="33">
        <f>IFERROR(__xludf.DUMMYFUNCTION("to_date(index(sort(GOOGLEFINANCE(A25, ""high"", today()-52*7, today(), ""DAILY""),2,0),2,1))"),45975.64583333333)</f>
        <v>45975.64583</v>
      </c>
      <c r="F25" s="32">
        <f>IFERROR(__xludf.DUMMYFUNCTION("GOOGLEFINANCE(A25,""low52"")"),569.2)</f>
        <v>569.2</v>
      </c>
      <c r="G25" s="33">
        <f>IFERROR(__xludf.DUMMYFUNCTION("to_date(index(sort(GOOGLEFINANCE(A25, ""low"", today()-52*7, today(), ""DAILY""),2,1),1,1))"),46111.64583333333)</f>
        <v>46111.64583</v>
      </c>
      <c r="H25" s="61">
        <f>IFERROR(__xludf.DUMMYFUNCTION("MIN(QUERY(SORT(GOOGLEFINANCE(A25,""low"",TODAY()-40,TODAY()),1,0),""select Col2 limit 20""))"),738.15)</f>
        <v>738.15</v>
      </c>
      <c r="I25" s="61">
        <f t="shared" si="1"/>
        <v>2.245127658</v>
      </c>
      <c r="J25" s="35" t="str">
        <f t="shared" si="2"/>
        <v>No need to fresh start</v>
      </c>
    </row>
    <row r="26">
      <c r="A26" s="69" t="s">
        <v>319</v>
      </c>
      <c r="B26" s="59">
        <f>IFERROR(__xludf.DUMMYFUNCTION("GOOGLEFINANCE(A26,""price"")"),1392.4)</f>
        <v>1392.4</v>
      </c>
      <c r="C26" s="60">
        <f>IFERROR(__xludf.DUMMYFUNCTION("MAX(QUERY(SORT(GOOGLEFINANCE(A26,""high"",TODAY()-100,TODAY()),1,0),""select Col2 limit 55""))"),1480.0)</f>
        <v>1480</v>
      </c>
      <c r="D26" s="32">
        <f>IFERROR(__xludf.DUMMYFUNCTION("GOOGLEFINANCE(A26,""high52"")"),2138.0)</f>
        <v>2138</v>
      </c>
      <c r="E26" s="33">
        <f>IFERROR(__xludf.DUMMYFUNCTION("to_date(index(sort(GOOGLEFINANCE(A26, ""high"", today()-52*7, today(), ""DAILY""),2,0),2,1))"),45824.64583333333)</f>
        <v>45824.64583</v>
      </c>
      <c r="F26" s="32">
        <f>IFERROR(__xludf.DUMMYFUNCTION("GOOGLEFINANCE(A26,""low52"")"),1065.2)</f>
        <v>1065.2</v>
      </c>
      <c r="G26" s="33">
        <f>IFERROR(__xludf.DUMMYFUNCTION("to_date(index(sort(GOOGLEFINANCE(A26, ""low"", today()-52*7, today(), ""DAILY""),2,1),1,1))"),46097.64583333333)</f>
        <v>46097.64583</v>
      </c>
      <c r="H26" s="61">
        <f>IFERROR(__xludf.DUMMYFUNCTION("MIN(QUERY(SORT(GOOGLEFINANCE(A26,""low"",TODAY()-40,TODAY()),1,0),""select Col2 limit 20""))"),1205.0)</f>
        <v>1205</v>
      </c>
      <c r="I26" s="61">
        <f t="shared" si="1"/>
        <v>6.291295605</v>
      </c>
      <c r="J26" s="35" t="str">
        <f t="shared" si="2"/>
        <v>No need to fresh start</v>
      </c>
    </row>
    <row r="27">
      <c r="A27" s="69" t="s">
        <v>320</v>
      </c>
      <c r="B27" s="59">
        <f>IFERROR(__xludf.DUMMYFUNCTION("GOOGLEFINANCE(A27,""price"")"),3536.6)</f>
        <v>3536.6</v>
      </c>
      <c r="C27" s="60">
        <f>IFERROR(__xludf.DUMMYFUNCTION("MAX(QUERY(SORT(GOOGLEFINANCE(A27,""high"",TODAY()-100,TODAY()),1,0),""select Col2 limit 55""))"),3679.0)</f>
        <v>3679</v>
      </c>
      <c r="D27" s="32">
        <f>IFERROR(__xludf.DUMMYFUNCTION("GOOGLEFINANCE(A27,""high52"")"),3679.0)</f>
        <v>3679</v>
      </c>
      <c r="E27" s="33">
        <f>IFERROR(__xludf.DUMMYFUNCTION("to_date(index(sort(GOOGLEFINANCE(A27, ""high"", today()-52*7, today(), ""DAILY""),2,0),2,1))"),46162.64583333333)</f>
        <v>46162.64583</v>
      </c>
      <c r="F27" s="32">
        <f>IFERROR(__xludf.DUMMYFUNCTION("GOOGLEFINANCE(A27,""low52"")"),2438.2)</f>
        <v>2438.2</v>
      </c>
      <c r="G27" s="33">
        <f>IFERROR(__xludf.DUMMYFUNCTION("to_date(index(sort(GOOGLEFINANCE(A27, ""low"", today()-52*7, today(), ""DAILY""),2,1),1,1))"),45805.64583333333)</f>
        <v>45805.64583</v>
      </c>
      <c r="H27" s="61">
        <f>IFERROR(__xludf.DUMMYFUNCTION("MIN(QUERY(SORT(GOOGLEFINANCE(A27,""low"",TODAY()-40,TODAY()),1,0),""select Col2 limit 20""))"),3288.6)</f>
        <v>3288.6</v>
      </c>
      <c r="I27" s="61">
        <f t="shared" si="1"/>
        <v>4.026466097</v>
      </c>
      <c r="J27" s="35" t="str">
        <f t="shared" si="2"/>
        <v>No need to fresh start</v>
      </c>
    </row>
    <row r="28">
      <c r="A28" s="69" t="s">
        <v>76</v>
      </c>
      <c r="B28" s="59">
        <f>IFERROR(__xludf.DUMMYFUNCTION("GOOGLEFINANCE(A28,""price"")"),131.9)</f>
        <v>131.9</v>
      </c>
      <c r="C28" s="60">
        <f>IFERROR(__xludf.DUMMYFUNCTION("MAX(QUERY(SORT(GOOGLEFINANCE(A28,""high"",TODAY()-100,TODAY()),1,0),""select Col2 limit 55""))"),136.49)</f>
        <v>136.49</v>
      </c>
      <c r="D28" s="32">
        <f>IFERROR(__xludf.DUMMYFUNCTION("GOOGLEFINANCE(A28,""high52"")"),166.5)</f>
        <v>166.5</v>
      </c>
      <c r="E28" s="33">
        <f>IFERROR(__xludf.DUMMYFUNCTION("to_date(index(sort(GOOGLEFINANCE(A28, ""high"", today()-52*7, today(), ""DAILY""),2,0),2,1))"),45819.64583333333)</f>
        <v>45819.64583</v>
      </c>
      <c r="F28" s="32">
        <f>IFERROR(__xludf.DUMMYFUNCTION("GOOGLEFINANCE(A28,""low52"")"),106.0)</f>
        <v>106</v>
      </c>
      <c r="G28" s="33">
        <f>IFERROR(__xludf.DUMMYFUNCTION("to_date(index(sort(GOOGLEFINANCE(A28, ""low"", today()-52*7, today(), ""DAILY""),2,1),1,1))"),46111.64583333333)</f>
        <v>46111.64583</v>
      </c>
      <c r="H28" s="61">
        <f>IFERROR(__xludf.DUMMYFUNCTION("MIN(QUERY(SORT(GOOGLEFINANCE(A28,""low"",TODAY()-40,TODAY()),1,0),""select Col2 limit 20""))"),119.4)</f>
        <v>119.4</v>
      </c>
      <c r="I28" s="61">
        <f t="shared" si="1"/>
        <v>3.479909022</v>
      </c>
      <c r="J28" s="35" t="str">
        <f t="shared" si="2"/>
        <v>No need to fresh start</v>
      </c>
    </row>
    <row r="29">
      <c r="A29" s="69" t="s">
        <v>321</v>
      </c>
      <c r="B29" s="59" t="str">
        <f>IFERROR(__xludf.DUMMYFUNCTION("GOOGLEFINANCE(A29,""price"")"),"#N/A")</f>
        <v>#N/A</v>
      </c>
      <c r="C29" s="60" t="str">
        <f>IFERROR(__xludf.DUMMYFUNCTION("MAX(QUERY(SORT(GOOGLEFINANCE(A29,""high"",TODAY()-100,TODAY()),1,0),""select Col2 limit 55""))"),"#N/A")</f>
        <v>#N/A</v>
      </c>
      <c r="D29" s="32" t="str">
        <f>IFERROR(__xludf.DUMMYFUNCTION("GOOGLEFINANCE(A29,""high52"")"),"#N/A")</f>
        <v>#N/A</v>
      </c>
      <c r="E29" s="33" t="str">
        <f>IFERROR(__xludf.DUMMYFUNCTION("to_date(index(sort(GOOGLEFINANCE(A29, ""high"", today()-52*7, today(), ""DAILY""),2,0),2,1))"),"#N/A")</f>
        <v>#N/A</v>
      </c>
      <c r="F29" s="32" t="str">
        <f>IFERROR(__xludf.DUMMYFUNCTION("GOOGLEFINANCE(A29,""low52"")"),"#N/A")</f>
        <v>#N/A</v>
      </c>
      <c r="G29" s="33" t="str">
        <f>IFERROR(__xludf.DUMMYFUNCTION("to_date(index(sort(GOOGLEFINANCE(A29, ""low"", today()-52*7, today(), ""DAILY""),2,1),1,1))"),"#N/A")</f>
        <v>#N/A</v>
      </c>
      <c r="H29" s="61" t="str">
        <f>IFERROR(__xludf.DUMMYFUNCTION("MIN(QUERY(SORT(GOOGLEFINANCE(A29,""low"",TODAY()-40,TODAY()),1,0),""select Col2 limit 20""))"),"#N/A")</f>
        <v>#N/A</v>
      </c>
      <c r="I29" s="61" t="str">
        <f t="shared" si="1"/>
        <v>#N/A</v>
      </c>
      <c r="J29" s="35" t="str">
        <f t="shared" si="2"/>
        <v>#N/A</v>
      </c>
    </row>
    <row r="30">
      <c r="A30" s="69" t="s">
        <v>322</v>
      </c>
      <c r="B30" s="59">
        <f>IFERROR(__xludf.DUMMYFUNCTION("GOOGLEFINANCE(A30,""price"")"),2321.3)</f>
        <v>2321.3</v>
      </c>
      <c r="C30" s="60">
        <f>IFERROR(__xludf.DUMMYFUNCTION("MAX(QUERY(SORT(GOOGLEFINANCE(A30,""high"",TODAY()-100,TODAY()),1,0),""select Col2 limit 55""))"),2491.7)</f>
        <v>2491.7</v>
      </c>
      <c r="D30" s="32">
        <f>IFERROR(__xludf.DUMMYFUNCTION("GOOGLEFINANCE(A30,""high52"")"),3947.0)</f>
        <v>3947</v>
      </c>
      <c r="E30" s="33">
        <f>IFERROR(__xludf.DUMMYFUNCTION("to_date(index(sort(GOOGLEFINANCE(A30, ""high"", today()-52*7, today(), ""DAILY""),2,0),2,1))"),45916.64583333333)</f>
        <v>45916.64583</v>
      </c>
      <c r="F30" s="32">
        <f>IFERROR(__xludf.DUMMYFUNCTION("GOOGLEFINANCE(A30,""low52"")"),1832.1)</f>
        <v>1832.1</v>
      </c>
      <c r="G30" s="33">
        <f>IFERROR(__xludf.DUMMYFUNCTION("to_date(index(sort(GOOGLEFINANCE(A30, ""low"", today()-52*7, today(), ""DAILY""),2,1),1,1))"),46104.64583333333)</f>
        <v>46104.64583</v>
      </c>
      <c r="H30" s="61">
        <f>IFERROR(__xludf.DUMMYFUNCTION("MIN(QUERY(SORT(GOOGLEFINANCE(A30,""low"",TODAY()-40,TODAY()),1,0),""select Col2 limit 20""))"),2106.0)</f>
        <v>2106</v>
      </c>
      <c r="I30" s="61">
        <f t="shared" si="1"/>
        <v>7.340714255</v>
      </c>
      <c r="J30" s="35" t="str">
        <f t="shared" si="2"/>
        <v>No need to fresh start</v>
      </c>
    </row>
    <row r="31">
      <c r="A31" s="69" t="s">
        <v>323</v>
      </c>
      <c r="B31" s="59">
        <f>IFERROR(__xludf.DUMMYFUNCTION("GOOGLEFINANCE(A31,""price"")"),8410.0)</f>
        <v>8410</v>
      </c>
      <c r="C31" s="60">
        <f>IFERROR(__xludf.DUMMYFUNCTION("MAX(QUERY(SORT(GOOGLEFINANCE(A31,""high"",TODAY()-100,TODAY()),1,0),""select Col2 limit 55""))"),9150.0)</f>
        <v>9150</v>
      </c>
      <c r="D31" s="32">
        <f>IFERROR(__xludf.DUMMYFUNCTION("GOOGLEFINANCE(A31,""high52"")"),10691.0)</f>
        <v>10691</v>
      </c>
      <c r="E31" s="33">
        <f>IFERROR(__xludf.DUMMYFUNCTION("to_date(index(sort(GOOGLEFINANCE(A31, ""high"", today()-52*7, today(), ""DAILY""),2,0),2,1))"),45821.64583333333)</f>
        <v>45821.64583</v>
      </c>
      <c r="F31" s="32">
        <f>IFERROR(__xludf.DUMMYFUNCTION("GOOGLEFINANCE(A31,""low52"")"),7551.5)</f>
        <v>7551.5</v>
      </c>
      <c r="G31" s="33">
        <f>IFERROR(__xludf.DUMMYFUNCTION("to_date(index(sort(GOOGLEFINANCE(A31, ""low"", today()-52*7, today(), ""DAILY""),2,1),1,1))"),46118.64583333333)</f>
        <v>46118.64583</v>
      </c>
      <c r="H31" s="61">
        <f>IFERROR(__xludf.DUMMYFUNCTION("MIN(QUERY(SORT(GOOGLEFINANCE(A31,""low"",TODAY()-40,TODAY()),1,0),""select Col2 limit 20""))"),8010.0)</f>
        <v>8010</v>
      </c>
      <c r="I31" s="61">
        <f t="shared" si="1"/>
        <v>8.799048751</v>
      </c>
      <c r="J31" s="35" t="str">
        <f t="shared" si="2"/>
        <v>No need to fresh start</v>
      </c>
    </row>
    <row r="32">
      <c r="A32" s="69" t="s">
        <v>324</v>
      </c>
      <c r="B32" s="59">
        <f>IFERROR(__xludf.DUMMYFUNCTION("GOOGLEFINANCE(A32,""price"")"),4642.6)</f>
        <v>4642.6</v>
      </c>
      <c r="C32" s="60">
        <f>IFERROR(__xludf.DUMMYFUNCTION("MAX(QUERY(SORT(GOOGLEFINANCE(A32,""high"",TODAY()-100,TODAY()),1,0),""select Col2 limit 55""))"),5063.0)</f>
        <v>5063</v>
      </c>
      <c r="D32" s="32">
        <f>IFERROR(__xludf.DUMMYFUNCTION("GOOGLEFINANCE(A32,""high52"")"),6511.0)</f>
        <v>6511</v>
      </c>
      <c r="E32" s="33">
        <f>IFERROR(__xludf.DUMMYFUNCTION("to_date(index(sort(GOOGLEFINANCE(A32, ""high"", today()-52*7, today(), ""DAILY""),2,0),2,1))"),45845.64583333333)</f>
        <v>45845.64583</v>
      </c>
      <c r="F32" s="32">
        <f>IFERROR(__xludf.DUMMYFUNCTION("GOOGLEFINANCE(A32,""low52"")"),4273.0)</f>
        <v>4273</v>
      </c>
      <c r="G32" s="33">
        <f>IFERROR(__xludf.DUMMYFUNCTION("to_date(index(sort(GOOGLEFINANCE(A32, ""low"", today()-52*7, today(), ""DAILY""),2,1),1,1))"),46129.64583333333)</f>
        <v>46129.64583</v>
      </c>
      <c r="H32" s="61">
        <f>IFERROR(__xludf.DUMMYFUNCTION("MIN(QUERY(SORT(GOOGLEFINANCE(A32,""low"",TODAY()-40,TODAY()),1,0),""select Col2 limit 20""))"),4279.1)</f>
        <v>4279.1</v>
      </c>
      <c r="I32" s="61">
        <f t="shared" si="1"/>
        <v>9.055270753</v>
      </c>
      <c r="J32" s="35" t="str">
        <f t="shared" si="2"/>
        <v>No need to fresh start</v>
      </c>
    </row>
    <row r="33">
      <c r="A33" s="69" t="s">
        <v>325</v>
      </c>
      <c r="B33" s="59">
        <f>IFERROR(__xludf.DUMMYFUNCTION("GOOGLEFINANCE(A33,""price"")"),217.58)</f>
        <v>217.58</v>
      </c>
      <c r="C33" s="60">
        <f>IFERROR(__xludf.DUMMYFUNCTION("MAX(QUERY(SORT(GOOGLEFINANCE(A33,""high"",TODAY()-100,TODAY()),1,0),""select Col2 limit 55""))"),245.45)</f>
        <v>245.45</v>
      </c>
      <c r="D33" s="32">
        <f>IFERROR(__xludf.DUMMYFUNCTION("GOOGLEFINANCE(A33,""high52"")"),254.0)</f>
        <v>254</v>
      </c>
      <c r="E33" s="33">
        <f>IFERROR(__xludf.DUMMYFUNCTION("to_date(index(sort(GOOGLEFINANCE(A33, ""high"", today()-52*7, today(), ""DAILY""),2,0),2,1))"),45811.64583333333)</f>
        <v>45811.64583</v>
      </c>
      <c r="F33" s="32">
        <f>IFERROR(__xludf.DUMMYFUNCTION("GOOGLEFINANCE(A33,""low52"")"),176.4)</f>
        <v>176.4</v>
      </c>
      <c r="G33" s="33">
        <f>IFERROR(__xludf.DUMMYFUNCTION("to_date(index(sort(GOOGLEFINANCE(A33, ""low"", today()-52*7, today(), ""DAILY""),2,1),1,1))"),46097.64583333333)</f>
        <v>46097.64583</v>
      </c>
      <c r="H33" s="61">
        <f>IFERROR(__xludf.DUMMYFUNCTION("MIN(QUERY(SORT(GOOGLEFINANCE(A33,""low"",TODAY()-40,TODAY()),1,0),""select Col2 limit 20""))"),206.6)</f>
        <v>206.6</v>
      </c>
      <c r="I33" s="61">
        <f t="shared" si="1"/>
        <v>12.80908172</v>
      </c>
      <c r="J33" s="35" t="str">
        <f t="shared" si="2"/>
        <v>Start GTT Order</v>
      </c>
    </row>
    <row r="34">
      <c r="A34" s="69" t="s">
        <v>326</v>
      </c>
      <c r="B34" s="59">
        <f>IFERROR(__xludf.DUMMYFUNCTION("GOOGLEFINANCE(A34,""price"")"),484.3)</f>
        <v>484.3</v>
      </c>
      <c r="C34" s="60">
        <f>IFERROR(__xludf.DUMMYFUNCTION("MAX(QUERY(SORT(GOOGLEFINANCE(A34,""high"",TODAY()-100,TODAY()),1,0),""select Col2 limit 55""))"),552.4)</f>
        <v>552.4</v>
      </c>
      <c r="D34" s="32">
        <f>IFERROR(__xludf.DUMMYFUNCTION("GOOGLEFINANCE(A34,""high52"")"),552.4)</f>
        <v>552.4</v>
      </c>
      <c r="E34" s="33">
        <f>IFERROR(__xludf.DUMMYFUNCTION("to_date(index(sort(GOOGLEFINANCE(A34, ""high"", today()-52*7, today(), ""DAILY""),2,0),2,1))"),46125.64583333333)</f>
        <v>46125.64583</v>
      </c>
      <c r="F34" s="32">
        <f>IFERROR(__xludf.DUMMYFUNCTION("GOOGLEFINANCE(A34,""low52"")"),367.55)</f>
        <v>367.55</v>
      </c>
      <c r="G34" s="33">
        <f>IFERROR(__xludf.DUMMYFUNCTION("to_date(index(sort(GOOGLEFINANCE(A34, ""low"", today()-52*7, today(), ""DAILY""),2,1),1,1))"),46083.64583333333)</f>
        <v>46083.64583</v>
      </c>
      <c r="H34" s="61">
        <f>IFERROR(__xludf.DUMMYFUNCTION("MIN(QUERY(SORT(GOOGLEFINANCE(A34,""low"",TODAY()-40,TODAY()),1,0),""select Col2 limit 20""))"),480.0)</f>
        <v>480</v>
      </c>
      <c r="I34" s="61">
        <f t="shared" si="1"/>
        <v>14.06153211</v>
      </c>
      <c r="J34" s="35" t="str">
        <f t="shared" si="2"/>
        <v>No need to fresh start</v>
      </c>
    </row>
    <row r="35">
      <c r="A35" s="69" t="s">
        <v>327</v>
      </c>
      <c r="B35" s="59">
        <f>IFERROR(__xludf.DUMMYFUNCTION("GOOGLEFINANCE(A35,""price"")"),239.0)</f>
        <v>239</v>
      </c>
      <c r="C35" s="60">
        <f>IFERROR(__xludf.DUMMYFUNCTION("MAX(QUERY(SORT(GOOGLEFINANCE(A35,""high"",TODAY()-100,TODAY()),1,0),""select Col2 limit 55""))"),280.0)</f>
        <v>280</v>
      </c>
      <c r="D35" s="32">
        <f>IFERROR(__xludf.DUMMYFUNCTION("GOOGLEFINANCE(A35,""high52"")"),324.5)</f>
        <v>324.5</v>
      </c>
      <c r="E35" s="33">
        <f>IFERROR(__xludf.DUMMYFUNCTION("to_date(index(sort(GOOGLEFINANCE(A35, ""high"", today()-52*7, today(), ""DAILY""),2,0),2,1))"),45855.64583333333)</f>
        <v>45855.64583</v>
      </c>
      <c r="F35" s="32">
        <f>IFERROR(__xludf.DUMMYFUNCTION("GOOGLEFINANCE(A35,""low52"")"),225.0)</f>
        <v>225</v>
      </c>
      <c r="G35" s="33">
        <f>IFERROR(__xludf.DUMMYFUNCTION("to_date(index(sort(GOOGLEFINANCE(A35, ""low"", today()-52*7, today(), ""DAILY""),2,1),1,1))"),46114.64583333333)</f>
        <v>46114.64583</v>
      </c>
      <c r="H35" s="61">
        <f>IFERROR(__xludf.DUMMYFUNCTION("MIN(QUERY(SORT(GOOGLEFINANCE(A35,""low"",TODAY()-40,TODAY()),1,0),""select Col2 limit 20""))"),236.4)</f>
        <v>236.4</v>
      </c>
      <c r="I35" s="61">
        <f t="shared" si="1"/>
        <v>17.15481172</v>
      </c>
      <c r="J35" s="35" t="str">
        <f t="shared" si="2"/>
        <v>Start GTT Order</v>
      </c>
    </row>
    <row r="36">
      <c r="A36" s="69" t="s">
        <v>328</v>
      </c>
      <c r="B36" s="59">
        <f>IFERROR(__xludf.DUMMYFUNCTION("GOOGLEFINANCE(A36,""price"")"),522.7)</f>
        <v>522.7</v>
      </c>
      <c r="C36" s="60">
        <f>IFERROR(__xludf.DUMMYFUNCTION("MAX(QUERY(SORT(GOOGLEFINANCE(A36,""high"",TODAY()-100,TODAY()),1,0),""select Col2 limit 55""))"),552.0)</f>
        <v>552</v>
      </c>
      <c r="D36" s="32">
        <f>IFERROR(__xludf.DUMMYFUNCTION("GOOGLEFINANCE(A36,""high52"")"),573.75)</f>
        <v>573.75</v>
      </c>
      <c r="E36" s="33">
        <f>IFERROR(__xludf.DUMMYFUNCTION("to_date(index(sort(GOOGLEFINANCE(A36, ""high"", today()-52*7, today(), ""DAILY""),2,0),2,1))"),45840.64583333333)</f>
        <v>45840.64583</v>
      </c>
      <c r="F36" s="32">
        <f>IFERROR(__xludf.DUMMYFUNCTION("GOOGLEFINANCE(A36,""low52"")"),365.0)</f>
        <v>365</v>
      </c>
      <c r="G36" s="33">
        <f>IFERROR(__xludf.DUMMYFUNCTION("to_date(index(sort(GOOGLEFINANCE(A36, ""low"", today()-52*7, today(), ""DAILY""),2,1),1,1))"),46111.64583333333)</f>
        <v>46111.64583</v>
      </c>
      <c r="H36" s="61">
        <f>IFERROR(__xludf.DUMMYFUNCTION("MIN(QUERY(SORT(GOOGLEFINANCE(A36,""low"",TODAY()-40,TODAY()),1,0),""select Col2 limit 20""))"),466.0)</f>
        <v>466</v>
      </c>
      <c r="I36" s="61">
        <f t="shared" si="1"/>
        <v>5.605509853</v>
      </c>
      <c r="J36" s="35" t="str">
        <f t="shared" si="2"/>
        <v>No need to fresh start</v>
      </c>
    </row>
    <row r="37">
      <c r="A37" s="69" t="s">
        <v>329</v>
      </c>
      <c r="B37" s="59">
        <f>IFERROR(__xludf.DUMMYFUNCTION("GOOGLEFINANCE(A37,""price"")"),390.5)</f>
        <v>390.5</v>
      </c>
      <c r="C37" s="60">
        <f>IFERROR(__xludf.DUMMYFUNCTION("MAX(QUERY(SORT(GOOGLEFINANCE(A37,""high"",TODAY()-100,TODAY()),1,0),""select Col2 limit 55""))"),427.65)</f>
        <v>427.65</v>
      </c>
      <c r="D37" s="32">
        <f>IFERROR(__xludf.DUMMYFUNCTION("GOOGLEFINANCE(A37,""high52"")"),538.0)</f>
        <v>538</v>
      </c>
      <c r="E37" s="33">
        <f>IFERROR(__xludf.DUMMYFUNCTION("to_date(index(sort(GOOGLEFINANCE(A37, ""high"", today()-52*7, today(), ""DAILY""),2,0),2,1))"),45818.64583333333)</f>
        <v>45818.64583</v>
      </c>
      <c r="F37" s="32">
        <f>IFERROR(__xludf.DUMMYFUNCTION("GOOGLEFINANCE(A37,""low52"")"),273.0)</f>
        <v>273</v>
      </c>
      <c r="G37" s="33">
        <f>IFERROR(__xludf.DUMMYFUNCTION("to_date(index(sort(GOOGLEFINANCE(A37, ""low"", today()-52*7, today(), ""DAILY""),2,1),1,1))"),46049.64583333333)</f>
        <v>46049.64583</v>
      </c>
      <c r="H37" s="61">
        <f>IFERROR(__xludf.DUMMYFUNCTION("MIN(QUERY(SORT(GOOGLEFINANCE(A37,""low"",TODAY()-40,TODAY()),1,0),""select Col2 limit 20""))"),356.5)</f>
        <v>356.5</v>
      </c>
      <c r="I37" s="61">
        <f t="shared" si="1"/>
        <v>9.513444302</v>
      </c>
      <c r="J37" s="35" t="str">
        <f t="shared" si="2"/>
        <v>No need to fresh start</v>
      </c>
    </row>
    <row r="38">
      <c r="A38" s="69" t="s">
        <v>330</v>
      </c>
      <c r="B38" s="59">
        <f>IFERROR(__xludf.DUMMYFUNCTION("GOOGLEFINANCE(A38,""price"")"),583.95)</f>
        <v>583.95</v>
      </c>
      <c r="C38" s="60">
        <f>IFERROR(__xludf.DUMMYFUNCTION("MAX(QUERY(SORT(GOOGLEFINANCE(A38,""high"",TODAY()-100,TODAY()),1,0),""select Col2 limit 55""))"),574.95)</f>
        <v>574.95</v>
      </c>
      <c r="D38" s="32">
        <f>IFERROR(__xludf.DUMMYFUNCTION("GOOGLEFINANCE(A38,""high52"")"),608.4)</f>
        <v>608.4</v>
      </c>
      <c r="E38" s="33">
        <f>IFERROR(__xludf.DUMMYFUNCTION("to_date(index(sort(GOOGLEFINANCE(A38, ""high"", today()-52*7, today(), ""DAILY""),2,0),2,1))"),45862.64583333333)</f>
        <v>45862.64583</v>
      </c>
      <c r="F38" s="32">
        <f>IFERROR(__xludf.DUMMYFUNCTION("GOOGLEFINANCE(A38,""low52"")"),408.25)</f>
        <v>408.25</v>
      </c>
      <c r="G38" s="33">
        <f>IFERROR(__xludf.DUMMYFUNCTION("to_date(index(sort(GOOGLEFINANCE(A38, ""low"", today()-52*7, today(), ""DAILY""),2,1),1,1))"),46043.64583333333)</f>
        <v>46043.64583</v>
      </c>
      <c r="H38" s="61">
        <f>IFERROR(__xludf.DUMMYFUNCTION("MIN(QUERY(SORT(GOOGLEFINANCE(A38,""low"",TODAY()-40,TODAY()),1,0),""select Col2 limit 20""))"),508.0)</f>
        <v>508</v>
      </c>
      <c r="I38" s="61">
        <f t="shared" si="1"/>
        <v>-1.541227845</v>
      </c>
      <c r="J38" s="35" t="str">
        <f t="shared" si="2"/>
        <v>No need to fresh start</v>
      </c>
    </row>
    <row r="39">
      <c r="A39" s="69" t="s">
        <v>331</v>
      </c>
      <c r="B39" s="59">
        <f>IFERROR(__xludf.DUMMYFUNCTION("GOOGLEFINANCE(A39,""price"")"),298.3)</f>
        <v>298.3</v>
      </c>
      <c r="C39" s="60">
        <f>IFERROR(__xludf.DUMMYFUNCTION("MAX(QUERY(SORT(GOOGLEFINANCE(A39,""high"",TODAY()-100,TODAY()),1,0),""select Col2 limit 55""))"),371.2)</f>
        <v>371.2</v>
      </c>
      <c r="D39" s="32">
        <f>IFERROR(__xludf.DUMMYFUNCTION("GOOGLEFINANCE(A39,""high52"")"),492.3)</f>
        <v>492.3</v>
      </c>
      <c r="E39" s="33">
        <f>IFERROR(__xludf.DUMMYFUNCTION("to_date(index(sort(GOOGLEFINANCE(A39, ""high"", today()-52*7, today(), ""DAILY""),2,0),2,1))"),45853.64583333333)</f>
        <v>45853.64583</v>
      </c>
      <c r="F39" s="32">
        <f>IFERROR(__xludf.DUMMYFUNCTION("GOOGLEFINANCE(A39,""low52"")"),278.25)</f>
        <v>278.25</v>
      </c>
      <c r="G39" s="33">
        <f>IFERROR(__xludf.DUMMYFUNCTION("to_date(index(sort(GOOGLEFINANCE(A39, ""low"", today()-52*7, today(), ""DAILY""),2,1),1,1))"),46160.64583333333)</f>
        <v>46160.64583</v>
      </c>
      <c r="H39" s="61">
        <f>IFERROR(__xludf.DUMMYFUNCTION("MIN(QUERY(SORT(GOOGLEFINANCE(A39,""low"",TODAY()-40,TODAY()),1,0),""select Col2 limit 20""))"),278.25)</f>
        <v>278.25</v>
      </c>
      <c r="I39" s="61">
        <f t="shared" si="1"/>
        <v>24.43848475</v>
      </c>
      <c r="J39" s="35" t="str">
        <f t="shared" si="2"/>
        <v>No need to fresh start</v>
      </c>
    </row>
    <row r="40">
      <c r="A40" s="69" t="s">
        <v>332</v>
      </c>
      <c r="B40" s="59">
        <f>IFERROR(__xludf.DUMMYFUNCTION("GOOGLEFINANCE(A40,""price"")"),3744.1)</f>
        <v>3744.1</v>
      </c>
      <c r="C40" s="60">
        <f>IFERROR(__xludf.DUMMYFUNCTION("MAX(QUERY(SORT(GOOGLEFINANCE(A40,""high"",TODAY()-100,TODAY()),1,0),""select Col2 limit 55""))"),4394.0)</f>
        <v>4394</v>
      </c>
      <c r="D40" s="32">
        <f>IFERROR(__xludf.DUMMYFUNCTION("GOOGLEFINANCE(A40,""high52"")"),4720.0)</f>
        <v>4720</v>
      </c>
      <c r="E40" s="33">
        <f>IFERROR(__xludf.DUMMYFUNCTION("to_date(index(sort(GOOGLEFINANCE(A40, ""high"", today()-52*7, today(), ""DAILY""),2,0),2,1))"),45854.64583333333)</f>
        <v>45854.64583</v>
      </c>
      <c r="F40" s="32">
        <f>IFERROR(__xludf.DUMMYFUNCTION("GOOGLEFINANCE(A40,""low52"")"),3301.3)</f>
        <v>3301.3</v>
      </c>
      <c r="G40" s="33">
        <f>IFERROR(__xludf.DUMMYFUNCTION("to_date(index(sort(GOOGLEFINANCE(A40, ""low"", today()-52*7, today(), ""DAILY""),2,1),1,1))"),46111.64583333333)</f>
        <v>46111.64583</v>
      </c>
      <c r="H40" s="61">
        <f>IFERROR(__xludf.DUMMYFUNCTION("MIN(QUERY(SORT(GOOGLEFINANCE(A40,""low"",TODAY()-40,TODAY()),1,0),""select Col2 limit 20""))"),3636.9)</f>
        <v>3636.9</v>
      </c>
      <c r="I40" s="61">
        <f t="shared" si="1"/>
        <v>17.35797655</v>
      </c>
      <c r="J40" s="35" t="str">
        <f t="shared" si="2"/>
        <v>Start GTT Order</v>
      </c>
    </row>
    <row r="41">
      <c r="A41" s="69" t="s">
        <v>333</v>
      </c>
      <c r="B41" s="59">
        <f>IFERROR(__xludf.DUMMYFUNCTION("GOOGLEFINANCE(A41,""price"")"),1157.3)</f>
        <v>1157.3</v>
      </c>
      <c r="C41" s="60">
        <f>IFERROR(__xludf.DUMMYFUNCTION("MAX(QUERY(SORT(GOOGLEFINANCE(A41,""high"",TODAY()-100,TODAY()),1,0),""select Col2 limit 55""))"),1231.0)</f>
        <v>1231</v>
      </c>
      <c r="D41" s="32">
        <f>IFERROR(__xludf.DUMMYFUNCTION("GOOGLEFINANCE(A41,""high52"")"),1231.0)</f>
        <v>1231</v>
      </c>
      <c r="E41" s="33">
        <f>IFERROR(__xludf.DUMMYFUNCTION("to_date(index(sort(GOOGLEFINANCE(A41, ""high"", today()-52*7, today(), ""DAILY""),2,0),2,1))"),46154.64583333333)</f>
        <v>46154.64583</v>
      </c>
      <c r="F41" s="32">
        <f>IFERROR(__xludf.DUMMYFUNCTION("GOOGLEFINANCE(A41,""low52"")"),688.75)</f>
        <v>688.75</v>
      </c>
      <c r="G41" s="33">
        <f>IFERROR(__xludf.DUMMYFUNCTION("to_date(index(sort(GOOGLEFINANCE(A41, ""low"", today()-52*7, today(), ""DAILY""),2,1),1,1))"),45805.64583333333)</f>
        <v>45805.64583</v>
      </c>
      <c r="H41" s="61">
        <f>IFERROR(__xludf.DUMMYFUNCTION("MIN(QUERY(SORT(GOOGLEFINANCE(A41,""low"",TODAY()-40,TODAY()),1,0),""select Col2 limit 20""))"),1017.1)</f>
        <v>1017.1</v>
      </c>
      <c r="I41" s="61">
        <f t="shared" si="1"/>
        <v>6.368270976</v>
      </c>
      <c r="J41" s="35" t="str">
        <f t="shared" si="2"/>
        <v>No need to fresh start</v>
      </c>
    </row>
    <row r="42">
      <c r="A42" s="69" t="s">
        <v>334</v>
      </c>
      <c r="B42" s="59">
        <f>IFERROR(__xludf.DUMMYFUNCTION("GOOGLEFINANCE(A42,""price"")"),5098.0)</f>
        <v>5098</v>
      </c>
      <c r="C42" s="60">
        <f>IFERROR(__xludf.DUMMYFUNCTION("MAX(QUERY(SORT(GOOGLEFINANCE(A42,""high"",TODAY()-100,TODAY()),1,0),""select Col2 limit 55""))"),5605.4)</f>
        <v>5605.4</v>
      </c>
      <c r="D42" s="32">
        <f>IFERROR(__xludf.DUMMYFUNCTION("GOOGLEFINANCE(A42,""high52"")"),6599.0)</f>
        <v>6599</v>
      </c>
      <c r="E42" s="33">
        <f>IFERROR(__xludf.DUMMYFUNCTION("to_date(index(sort(GOOGLEFINANCE(A42, ""high"", today()-52*7, today(), ""DAILY""),2,0),2,1))"),46014.64583333333)</f>
        <v>46014.64583</v>
      </c>
      <c r="F42" s="32">
        <f>IFERROR(__xludf.DUMMYFUNCTION("GOOGLEFINANCE(A42,""low52"")"),4449.1)</f>
        <v>4449.1</v>
      </c>
      <c r="G42" s="33">
        <f>IFERROR(__xludf.DUMMYFUNCTION("to_date(index(sort(GOOGLEFINANCE(A42, ""low"", today()-52*7, today(), ""DAILY""),2,1),1,1))"),46083.64583333333)</f>
        <v>46083.64583</v>
      </c>
      <c r="H42" s="61">
        <f>IFERROR(__xludf.DUMMYFUNCTION("MIN(QUERY(SORT(GOOGLEFINANCE(A42,""low"",TODAY()-40,TODAY()),1,0),""select Col2 limit 20""))"),4577.0)</f>
        <v>4577</v>
      </c>
      <c r="I42" s="61">
        <f t="shared" si="1"/>
        <v>9.952922715</v>
      </c>
      <c r="J42" s="35" t="str">
        <f t="shared" si="2"/>
        <v>No need to fresh start</v>
      </c>
    </row>
    <row r="43">
      <c r="A43" s="69" t="s">
        <v>335</v>
      </c>
      <c r="B43" s="59">
        <f>IFERROR(__xludf.DUMMYFUNCTION("GOOGLEFINANCE(A43,""price"")"),363.3)</f>
        <v>363.3</v>
      </c>
      <c r="C43" s="60">
        <f>IFERROR(__xludf.DUMMYFUNCTION("MAX(QUERY(SORT(GOOGLEFINANCE(A43,""high"",TODAY()-100,TODAY()),1,0),""select Col2 limit 55""))"),417.2)</f>
        <v>417.2</v>
      </c>
      <c r="D43" s="32">
        <f>IFERROR(__xludf.DUMMYFUNCTION("GOOGLEFINANCE(A43,""high52"")"),574.4)</f>
        <v>574.4</v>
      </c>
      <c r="E43" s="33">
        <f>IFERROR(__xludf.DUMMYFUNCTION("to_date(index(sort(GOOGLEFINANCE(A43, ""high"", today()-52*7, today(), ""DAILY""),2,0),2,1))"),46027.64583333333)</f>
        <v>46027.64583</v>
      </c>
      <c r="F43" s="32">
        <f>IFERROR(__xludf.DUMMYFUNCTION("GOOGLEFINANCE(A43,""low52"")"),324.8)</f>
        <v>324.8</v>
      </c>
      <c r="G43" s="33">
        <f>IFERROR(__xludf.DUMMYFUNCTION("to_date(index(sort(GOOGLEFINANCE(A43, ""low"", today()-52*7, today(), ""DAILY""),2,1),1,1))"),46097.64583333333)</f>
        <v>46097.64583</v>
      </c>
      <c r="H43" s="61">
        <f>IFERROR(__xludf.DUMMYFUNCTION("MIN(QUERY(SORT(GOOGLEFINANCE(A43,""low"",TODAY()-40,TODAY()),1,0),""select Col2 limit 20""))"),340.0)</f>
        <v>340</v>
      </c>
      <c r="I43" s="61">
        <f t="shared" si="1"/>
        <v>14.83622351</v>
      </c>
      <c r="J43" s="35" t="str">
        <f t="shared" si="2"/>
        <v>Start GTT Order</v>
      </c>
    </row>
    <row r="44">
      <c r="A44" s="69" t="s">
        <v>336</v>
      </c>
      <c r="B44" s="59">
        <f>IFERROR(__xludf.DUMMYFUNCTION("GOOGLEFINANCE(A44,""price"")"),155.5)</f>
        <v>155.5</v>
      </c>
      <c r="C44" s="60">
        <f>IFERROR(__xludf.DUMMYFUNCTION("MAX(QUERY(SORT(GOOGLEFINANCE(A44,""high"",TODAY()-100,TODAY()),1,0),""select Col2 limit 55""))"),169.16)</f>
        <v>169.16</v>
      </c>
      <c r="D44" s="32">
        <f>IFERROR(__xludf.DUMMYFUNCTION("GOOGLEFINANCE(A44,""high52"")"),200.09)</f>
        <v>200.09</v>
      </c>
      <c r="E44" s="33">
        <f>IFERROR(__xludf.DUMMYFUNCTION("to_date(index(sort(GOOGLEFINANCE(A44, ""high"", today()-52*7, today(), ""DAILY""),2,0),2,1))"),46030.64583333333)</f>
        <v>46030.64583</v>
      </c>
      <c r="F44" s="32">
        <f>IFERROR(__xludf.DUMMYFUNCTION("GOOGLEFINANCE(A44,""low52"")"),141.55)</f>
        <v>141.55</v>
      </c>
      <c r="G44" s="33">
        <f>IFERROR(__xludf.DUMMYFUNCTION("to_date(index(sort(GOOGLEFINANCE(A44, ""low"", today()-52*7, today(), ""DAILY""),2,1),1,1))"),46111.64583333333)</f>
        <v>46111.64583</v>
      </c>
      <c r="H44" s="61">
        <f>IFERROR(__xludf.DUMMYFUNCTION("MIN(QUERY(SORT(GOOGLEFINANCE(A44,""low"",TODAY()-40,TODAY()),1,0),""select Col2 limit 20""))"),147.51)</f>
        <v>147.51</v>
      </c>
      <c r="I44" s="61">
        <f t="shared" si="1"/>
        <v>8.784565916</v>
      </c>
      <c r="J44" s="35" t="str">
        <f t="shared" si="2"/>
        <v>No need to fresh start</v>
      </c>
    </row>
    <row r="45">
      <c r="A45" s="69" t="s">
        <v>337</v>
      </c>
      <c r="B45" s="59">
        <f>IFERROR(__xludf.DUMMYFUNCTION("GOOGLEFINANCE(A45,""price"")"),1383.4)</f>
        <v>1383.4</v>
      </c>
      <c r="C45" s="60">
        <f>IFERROR(__xludf.DUMMYFUNCTION("MAX(QUERY(SORT(GOOGLEFINANCE(A45,""high"",TODAY()-100,TODAY()),1,0),""select Col2 limit 55""))"),1376.9)</f>
        <v>1376.9</v>
      </c>
      <c r="D45" s="32">
        <f>IFERROR(__xludf.DUMMYFUNCTION("GOOGLEFINANCE(A45,""high52"")"),1388.4)</f>
        <v>1388.4</v>
      </c>
      <c r="E45" s="33">
        <f>IFERROR(__xludf.DUMMYFUNCTION("to_date(index(sort(GOOGLEFINANCE(A45, ""high"", today()-52*7, today(), ""DAILY""),2,0),2,1))"),46168.64583333333)</f>
        <v>46168.64583</v>
      </c>
      <c r="F45" s="32">
        <f>IFERROR(__xludf.DUMMYFUNCTION("GOOGLEFINANCE(A45,""low52"")"),593.5)</f>
        <v>593.5</v>
      </c>
      <c r="G45" s="33">
        <f>IFERROR(__xludf.DUMMYFUNCTION("to_date(index(sort(GOOGLEFINANCE(A45, ""low"", today()-52*7, today(), ""DAILY""),2,1),1,1))"),45805.64583333333)</f>
        <v>45805.64583</v>
      </c>
      <c r="H45" s="61">
        <f>IFERROR(__xludf.DUMMYFUNCTION("MIN(QUERY(SORT(GOOGLEFINANCE(A45,""low"",TODAY()-40,TODAY()),1,0),""select Col2 limit 20""))"),1080.0)</f>
        <v>1080</v>
      </c>
      <c r="I45" s="61">
        <f t="shared" si="1"/>
        <v>-0.4698568744</v>
      </c>
      <c r="J45" s="35" t="str">
        <f t="shared" si="2"/>
        <v>No need to fresh start</v>
      </c>
    </row>
    <row r="46">
      <c r="A46" s="69" t="s">
        <v>338</v>
      </c>
      <c r="B46" s="59">
        <f>IFERROR(__xludf.DUMMYFUNCTION("GOOGLEFINANCE(A46,""price"")"),543.8)</f>
        <v>543.8</v>
      </c>
      <c r="C46" s="60">
        <f>IFERROR(__xludf.DUMMYFUNCTION("MAX(QUERY(SORT(GOOGLEFINANCE(A46,""high"",TODAY()-100,TODAY()),1,0),""select Col2 limit 55""))"),569.0)</f>
        <v>569</v>
      </c>
      <c r="D46" s="32">
        <f>IFERROR(__xludf.DUMMYFUNCTION("GOOGLEFINANCE(A46,""high52"")"),783.9)</f>
        <v>783.9</v>
      </c>
      <c r="E46" s="33">
        <f>IFERROR(__xludf.DUMMYFUNCTION("to_date(index(sort(GOOGLEFINANCE(A46, ""high"", today()-52*7, today(), ""DAILY""),2,0),2,1))"),45840.64583333333)</f>
        <v>45840.64583</v>
      </c>
      <c r="F46" s="32">
        <f>IFERROR(__xludf.DUMMYFUNCTION("GOOGLEFINANCE(A46,""low52"")"),320.0)</f>
        <v>320</v>
      </c>
      <c r="G46" s="33">
        <f>IFERROR(__xludf.DUMMYFUNCTION("to_date(index(sort(GOOGLEFINANCE(A46, ""low"", today()-52*7, today(), ""DAILY""),2,1),1,1))"),46111.64583333333)</f>
        <v>46111.64583</v>
      </c>
      <c r="H46" s="61">
        <f>IFERROR(__xludf.DUMMYFUNCTION("MIN(QUERY(SORT(GOOGLEFINANCE(A46,""low"",TODAY()-40,TODAY()),1,0),""select Col2 limit 20""))"),433.0)</f>
        <v>433</v>
      </c>
      <c r="I46" s="61">
        <f t="shared" si="1"/>
        <v>4.634056638</v>
      </c>
      <c r="J46" s="35" t="str">
        <f t="shared" si="2"/>
        <v>No need to fresh start</v>
      </c>
    </row>
    <row r="47">
      <c r="A47" s="69" t="s">
        <v>52</v>
      </c>
      <c r="B47" s="59">
        <f>IFERROR(__xludf.DUMMYFUNCTION("GOOGLEFINANCE(A47,""price"")"),4441.1)</f>
        <v>4441.1</v>
      </c>
      <c r="C47" s="60">
        <f>IFERROR(__xludf.DUMMYFUNCTION("MAX(QUERY(SORT(GOOGLEFINANCE(A47,""high"",TODAY()-100,TODAY()),1,0),""select Col2 limit 55""))"),4836.3)</f>
        <v>4836.3</v>
      </c>
      <c r="D47" s="32">
        <f>IFERROR(__xludf.DUMMYFUNCTION("GOOGLEFINANCE(A47,""high52"")"),5147.0)</f>
        <v>5147</v>
      </c>
      <c r="E47" s="33">
        <f>IFERROR(__xludf.DUMMYFUNCTION("to_date(index(sort(GOOGLEFINANCE(A47, ""high"", today()-52*7, today(), ""DAILY""),2,0),2,1))"),45818.64583333333)</f>
        <v>45818.64583</v>
      </c>
      <c r="F47" s="32">
        <f>IFERROR(__xludf.DUMMYFUNCTION("GOOGLEFINANCE(A47,""low52"")"),3479.1)</f>
        <v>3479.1</v>
      </c>
      <c r="G47" s="33">
        <f>IFERROR(__xludf.DUMMYFUNCTION("to_date(index(sort(GOOGLEFINANCE(A47, ""low"", today()-52*7, today(), ""DAILY""),2,1),1,1))"),46111.64583333333)</f>
        <v>46111.64583</v>
      </c>
      <c r="H47" s="61">
        <f>IFERROR(__xludf.DUMMYFUNCTION("MIN(QUERY(SORT(GOOGLEFINANCE(A47,""low"",TODAY()-40,TODAY()),1,0),""select Col2 limit 20""))"),4175.0)</f>
        <v>4175</v>
      </c>
      <c r="I47" s="61">
        <f t="shared" si="1"/>
        <v>8.898696269</v>
      </c>
      <c r="J47" s="35" t="str">
        <f t="shared" si="2"/>
        <v>No need to fresh start</v>
      </c>
    </row>
    <row r="48">
      <c r="A48" s="69" t="s">
        <v>223</v>
      </c>
      <c r="B48" s="59">
        <f>IFERROR(__xludf.DUMMYFUNCTION("GOOGLEFINANCE(A48,""price"")"),1137.8)</f>
        <v>1137.8</v>
      </c>
      <c r="C48" s="60">
        <f>IFERROR(__xludf.DUMMYFUNCTION("MAX(QUERY(SORT(GOOGLEFINANCE(A48,""high"",TODAY()-100,TODAY()),1,0),""select Col2 limit 55""))"),1260.65)</f>
        <v>1260.65</v>
      </c>
      <c r="D48" s="32">
        <f>IFERROR(__xludf.DUMMYFUNCTION("GOOGLEFINANCE(A48,""high52"")"),1390.0)</f>
        <v>1390</v>
      </c>
      <c r="E48" s="33">
        <f>IFERROR(__xludf.DUMMYFUNCTION("to_date(index(sort(GOOGLEFINANCE(A48, ""high"", today()-52*7, today(), ""DAILY""),2,0),2,1))"),45814.64583333333)</f>
        <v>45814.64583</v>
      </c>
      <c r="F48" s="32">
        <f>IFERROR(__xludf.DUMMYFUNCTION("GOOGLEFINANCE(A48,""low52"")"),744.2)</f>
        <v>744.2</v>
      </c>
      <c r="G48" s="33">
        <f>IFERROR(__xludf.DUMMYFUNCTION("to_date(index(sort(GOOGLEFINANCE(A48, ""low"", today()-52*7, today(), ""DAILY""),2,1),1,1))"),46111.64583333333)</f>
        <v>46111.64583</v>
      </c>
      <c r="H48" s="61">
        <f>IFERROR(__xludf.DUMMYFUNCTION("MIN(QUERY(SORT(GOOGLEFINANCE(A48,""low"",TODAY()-40,TODAY()),1,0),""select Col2 limit 20""))"),949.05)</f>
        <v>949.05</v>
      </c>
      <c r="I48" s="61">
        <f t="shared" si="1"/>
        <v>10.7971524</v>
      </c>
      <c r="J48" s="35" t="str">
        <f t="shared" si="2"/>
        <v>Start GTT Order</v>
      </c>
    </row>
    <row r="49">
      <c r="A49" s="69" t="s">
        <v>339</v>
      </c>
      <c r="B49" s="59">
        <f>IFERROR(__xludf.DUMMYFUNCTION("GOOGLEFINANCE(A49,""price"")"),642.2)</f>
        <v>642.2</v>
      </c>
      <c r="C49" s="60">
        <f>IFERROR(__xludf.DUMMYFUNCTION("MAX(QUERY(SORT(GOOGLEFINANCE(A49,""high"",TODAY()-100,TODAY()),1,0),""select Col2 limit 55""))"),691.5)</f>
        <v>691.5</v>
      </c>
      <c r="D49" s="32">
        <f>IFERROR(__xludf.DUMMYFUNCTION("GOOGLEFINANCE(A49,""high52"")"),970.0)</f>
        <v>970</v>
      </c>
      <c r="E49" s="33">
        <f>IFERROR(__xludf.DUMMYFUNCTION("to_date(index(sort(GOOGLEFINANCE(A49, ""high"", today()-52*7, today(), ""DAILY""),2,0),2,1))"),45861.64583333333)</f>
        <v>45861.64583</v>
      </c>
      <c r="F49" s="32">
        <f>IFERROR(__xludf.DUMMYFUNCTION("GOOGLEFINANCE(A49,""low52"")"),579.75)</f>
        <v>579.75</v>
      </c>
      <c r="G49" s="33">
        <f>IFERROR(__xludf.DUMMYFUNCTION("to_date(index(sort(GOOGLEFINANCE(A49, ""low"", today()-52*7, today(), ""DAILY""),2,1),1,1))"),46111.64583333333)</f>
        <v>46111.64583</v>
      </c>
      <c r="H49" s="61">
        <f>IFERROR(__xludf.DUMMYFUNCTION("MIN(QUERY(SORT(GOOGLEFINANCE(A49,""low"",TODAY()-40,TODAY()),1,0),""select Col2 limit 20""))"),603.0)</f>
        <v>603</v>
      </c>
      <c r="I49" s="61">
        <f t="shared" si="1"/>
        <v>7.676736219</v>
      </c>
      <c r="J49" s="35" t="str">
        <f t="shared" si="2"/>
        <v>No need to fresh start</v>
      </c>
    </row>
    <row r="50">
      <c r="A50" s="69" t="s">
        <v>340</v>
      </c>
      <c r="B50" s="59">
        <f>IFERROR(__xludf.DUMMYFUNCTION("GOOGLEFINANCE(A50,""price"")"),3305.3)</f>
        <v>3305.3</v>
      </c>
      <c r="C50" s="60">
        <f>IFERROR(__xludf.DUMMYFUNCTION("MAX(QUERY(SORT(GOOGLEFINANCE(A50,""high"",TODAY()-100,TODAY()),1,0),""select Col2 limit 55""))"),3949.9)</f>
        <v>3949.9</v>
      </c>
      <c r="D50" s="32">
        <f>IFERROR(__xludf.DUMMYFUNCTION("GOOGLEFINANCE(A50,""high52"")"),4438.0)</f>
        <v>4438</v>
      </c>
      <c r="E50" s="33">
        <f>IFERROR(__xludf.DUMMYFUNCTION("to_date(index(sort(GOOGLEFINANCE(A50, ""high"", today()-52*7, today(), ""DAILY""),2,0),2,1))"),45953.64583333333)</f>
        <v>45953.64583</v>
      </c>
      <c r="F50" s="32">
        <f>IFERROR(__xludf.DUMMYFUNCTION("GOOGLEFINANCE(A50,""low52"")"),3000.5)</f>
        <v>3000.5</v>
      </c>
      <c r="G50" s="33">
        <f>IFERROR(__xludf.DUMMYFUNCTION("to_date(index(sort(GOOGLEFINANCE(A50, ""low"", today()-52*7, today(), ""DAILY""),2,1),1,1))"),45895.64583333333)</f>
        <v>45895.64583</v>
      </c>
      <c r="H50" s="61">
        <f>IFERROR(__xludf.DUMMYFUNCTION("MIN(QUERY(SORT(GOOGLEFINANCE(A50,""low"",TODAY()-40,TODAY()),1,0),""select Col2 limit 20""))"),3093.6)</f>
        <v>3093.6</v>
      </c>
      <c r="I50" s="61">
        <f t="shared" si="1"/>
        <v>19.50201192</v>
      </c>
      <c r="J50" s="35" t="str">
        <f t="shared" si="2"/>
        <v>No need to fresh start</v>
      </c>
    </row>
    <row r="51">
      <c r="A51" s="69" t="s">
        <v>341</v>
      </c>
      <c r="B51" s="59">
        <f>IFERROR(__xludf.DUMMYFUNCTION("GOOGLEFINANCE(A51,""price"")"),122.13)</f>
        <v>122.13</v>
      </c>
      <c r="C51" s="60">
        <f>IFERROR(__xludf.DUMMYFUNCTION("MAX(QUERY(SORT(GOOGLEFINANCE(A51,""high"",TODAY()-100,TODAY()),1,0),""select Col2 limit 55""))"),143.44)</f>
        <v>143.44</v>
      </c>
      <c r="D51" s="32">
        <f>IFERROR(__xludf.DUMMYFUNCTION("GOOGLEFINANCE(A51,""high52"")"),176.0)</f>
        <v>176</v>
      </c>
      <c r="E51" s="33">
        <f>IFERROR(__xludf.DUMMYFUNCTION("to_date(index(sort(GOOGLEFINANCE(A51, ""high"", today()-52*7, today(), ""DAILY""),2,0),2,1))"),45918.64583333333)</f>
        <v>45918.64583</v>
      </c>
      <c r="F51" s="32">
        <f>IFERROR(__xludf.DUMMYFUNCTION("GOOGLEFINANCE(A51,""low52"")"),117.32)</f>
        <v>117.32</v>
      </c>
      <c r="G51" s="33">
        <f>IFERROR(__xludf.DUMMYFUNCTION("to_date(index(sort(GOOGLEFINANCE(A51, ""low"", today()-52*7, today(), ""DAILY""),2,1),1,1))"),46049.64583333333)</f>
        <v>46049.64583</v>
      </c>
      <c r="H51" s="61">
        <f>IFERROR(__xludf.DUMMYFUNCTION("MIN(QUERY(SORT(GOOGLEFINANCE(A51,""low"",TODAY()-40,TODAY()),1,0),""select Col2 limit 20""))"),117.4)</f>
        <v>117.4</v>
      </c>
      <c r="I51" s="61">
        <f t="shared" si="1"/>
        <v>17.44862032</v>
      </c>
      <c r="J51" s="35" t="str">
        <f t="shared" si="2"/>
        <v>Start GTT Order</v>
      </c>
    </row>
    <row r="52">
      <c r="A52" s="7" t="s">
        <v>342</v>
      </c>
      <c r="B52" s="59">
        <f>IFERROR(__xludf.DUMMYFUNCTION("GOOGLEFINANCE(A52,""price"")"),1006.35)</f>
        <v>1006.35</v>
      </c>
      <c r="C52" s="60">
        <f>IFERROR(__xludf.DUMMYFUNCTION("MAX(QUERY(SORT(GOOGLEFINANCE(A52,""high"",TODAY()-100,TODAY()),1,0),""select Col2 limit 55""))"),1103.45)</f>
        <v>1103.45</v>
      </c>
      <c r="D52" s="32">
        <f>IFERROR(__xludf.DUMMYFUNCTION("GOOGLEFINANCE(A52,""high52"")"),1535.3)</f>
        <v>1535.3</v>
      </c>
      <c r="E52" s="33">
        <f>IFERROR(__xludf.DUMMYFUNCTION("to_date(index(sort(GOOGLEFINANCE(A52, ""high"", today()-52*7, today(), ""DAILY""),2,0),2,1))"),45868.64583333333)</f>
        <v>45868.64583</v>
      </c>
      <c r="F52" s="32">
        <f>IFERROR(__xludf.DUMMYFUNCTION("GOOGLEFINANCE(A52,""low52"")"),769.6)</f>
        <v>769.6</v>
      </c>
      <c r="G52" s="33">
        <f>IFERROR(__xludf.DUMMYFUNCTION("to_date(index(sort(GOOGLEFINANCE(A52, ""low"", today()-52*7, today(), ""DAILY""),2,1),1,1))"),46097.64583333333)</f>
        <v>46097.64583</v>
      </c>
      <c r="H52" s="61">
        <f>IFERROR(__xludf.DUMMYFUNCTION("MIN(QUERY(SORT(GOOGLEFINANCE(A52,""low"",TODAY()-40,TODAY()),1,0),""select Col2 limit 20""))"),904.65)</f>
        <v>904.65</v>
      </c>
      <c r="I52" s="61">
        <f t="shared" si="1"/>
        <v>9.648730561</v>
      </c>
      <c r="J52" s="35" t="str">
        <f t="shared" si="2"/>
        <v>No need to fresh start</v>
      </c>
    </row>
    <row r="53">
      <c r="A53" s="7" t="s">
        <v>343</v>
      </c>
      <c r="B53" s="59">
        <f>IFERROR(__xludf.DUMMYFUNCTION("GOOGLEFINANCE(A53,""price"")"),221.0)</f>
        <v>221</v>
      </c>
      <c r="C53" s="60">
        <f>IFERROR(__xludf.DUMMYFUNCTION("MAX(QUERY(SORT(GOOGLEFINANCE(A53,""high"",TODAY()-100,TODAY()),1,0),""select Col2 limit 55""))"),285.65)</f>
        <v>285.65</v>
      </c>
      <c r="D53" s="32">
        <f>IFERROR(__xludf.DUMMYFUNCTION("GOOGLEFINANCE(A53,""high52"")"),382.0)</f>
        <v>382</v>
      </c>
      <c r="E53" s="33">
        <f>IFERROR(__xludf.DUMMYFUNCTION("to_date(index(sort(GOOGLEFINANCE(A53, ""high"", today()-52*7, today(), ""DAILY""),2,0),2,1))"),45862.64583333333)</f>
        <v>45862.64583</v>
      </c>
      <c r="F53" s="32">
        <f>IFERROR(__xludf.DUMMYFUNCTION("GOOGLEFINANCE(A53,""low52"")"),216.19)</f>
        <v>216.19</v>
      </c>
      <c r="G53" s="33">
        <f>IFERROR(__xludf.DUMMYFUNCTION("to_date(index(sort(GOOGLEFINANCE(A53, ""low"", today()-52*7, today(), ""DAILY""),2,1),1,1))"),46164.64583333333)</f>
        <v>46164.64583</v>
      </c>
      <c r="H53" s="61">
        <f>IFERROR(__xludf.DUMMYFUNCTION("MIN(QUERY(SORT(GOOGLEFINANCE(A53,""low"",TODAY()-40,TODAY()),1,0),""select Col2 limit 20""))"),216.19)</f>
        <v>216.19</v>
      </c>
      <c r="I53" s="61">
        <f t="shared" si="1"/>
        <v>29.25339367</v>
      </c>
      <c r="J53" s="35" t="str">
        <f t="shared" si="2"/>
        <v>No need to fresh start</v>
      </c>
    </row>
    <row r="54">
      <c r="A54" s="7" t="s">
        <v>344</v>
      </c>
      <c r="B54" s="59">
        <f>IFERROR(__xludf.DUMMYFUNCTION("GOOGLEFINANCE(A54,""price"")"),4862.0)</f>
        <v>4862</v>
      </c>
      <c r="C54" s="60">
        <f>IFERROR(__xludf.DUMMYFUNCTION("MAX(QUERY(SORT(GOOGLEFINANCE(A54,""high"",TODAY()-100,TODAY()),1,0),""select Col2 limit 55""))"),5775.5)</f>
        <v>5775.5</v>
      </c>
      <c r="D54" s="32">
        <f>IFERROR(__xludf.DUMMYFUNCTION("GOOGLEFINANCE(A54,""high52"")"),7080.0)</f>
        <v>7080</v>
      </c>
      <c r="E54" s="33">
        <f>IFERROR(__xludf.DUMMYFUNCTION("to_date(index(sort(GOOGLEFINANCE(A54, ""high"", today()-52*7, today(), ""DAILY""),2,0),2,1))"),45840.64583333333)</f>
        <v>45840.64583</v>
      </c>
      <c r="F54" s="32">
        <f>IFERROR(__xludf.DUMMYFUNCTION("GOOGLEFINANCE(A54,""low52"")"),4683.0)</f>
        <v>4683</v>
      </c>
      <c r="G54" s="33">
        <f>IFERROR(__xludf.DUMMYFUNCTION("to_date(index(sort(GOOGLEFINANCE(A54, ""low"", today()-52*7, today(), ""DAILY""),2,1),1,1))"),46111.64583333333)</f>
        <v>46111.64583</v>
      </c>
      <c r="H54" s="61">
        <f>IFERROR(__xludf.DUMMYFUNCTION("MIN(QUERY(SORT(GOOGLEFINANCE(A54,""low"",TODAY()-40,TODAY()),1,0),""select Col2 limit 20""))"),4830.0)</f>
        <v>4830</v>
      </c>
      <c r="I54" s="61">
        <f t="shared" si="1"/>
        <v>18.78856438</v>
      </c>
      <c r="J54" s="35" t="str">
        <f t="shared" si="2"/>
        <v>Start GTT Order</v>
      </c>
    </row>
    <row r="55">
      <c r="A55" s="7" t="s">
        <v>345</v>
      </c>
      <c r="B55" s="59">
        <f>IFERROR(__xludf.DUMMYFUNCTION("GOOGLEFINANCE(A55,""price"")"),612.45)</f>
        <v>612.45</v>
      </c>
      <c r="C55" s="60">
        <f>IFERROR(__xludf.DUMMYFUNCTION("MAX(QUERY(SORT(GOOGLEFINANCE(A55,""high"",TODAY()-100,TODAY()),1,0),""select Col2 limit 55""))"),686.0)</f>
        <v>686</v>
      </c>
      <c r="D55" s="32">
        <f>IFERROR(__xludf.DUMMYFUNCTION("GOOGLEFINANCE(A55,""high52"")"),1021.2)</f>
        <v>1021.2</v>
      </c>
      <c r="E55" s="33">
        <f>IFERROR(__xludf.DUMMYFUNCTION("to_date(index(sort(GOOGLEFINANCE(A55, ""high"", today()-52*7, today(), ""DAILY""),2,0),2,1))"),45860.64583333333)</f>
        <v>45860.64583</v>
      </c>
      <c r="F55" s="32">
        <f>IFERROR(__xludf.DUMMYFUNCTION("GOOGLEFINANCE(A55,""low52"")"),549.95)</f>
        <v>549.95</v>
      </c>
      <c r="G55" s="33">
        <f>IFERROR(__xludf.DUMMYFUNCTION("to_date(index(sort(GOOGLEFINANCE(A55, ""low"", today()-52*7, today(), ""DAILY""),2,1),1,1))"),46111.64583333333)</f>
        <v>46111.64583</v>
      </c>
      <c r="H55" s="61">
        <f>IFERROR(__xludf.DUMMYFUNCTION("MIN(QUERY(SORT(GOOGLEFINANCE(A55,""low"",TODAY()-40,TODAY()),1,0),""select Col2 limit 20""))"),601.9)</f>
        <v>601.9</v>
      </c>
      <c r="I55" s="61">
        <f t="shared" si="1"/>
        <v>12.0091436</v>
      </c>
      <c r="J55" s="35" t="str">
        <f t="shared" si="2"/>
        <v>Start GTT Order</v>
      </c>
    </row>
    <row r="56">
      <c r="A56" s="7" t="s">
        <v>346</v>
      </c>
      <c r="B56" s="59" t="str">
        <f>IFERROR(__xludf.DUMMYFUNCTION("GOOGLEFINANCE(A56,""price"")"),"#N/A")</f>
        <v>#N/A</v>
      </c>
      <c r="C56" s="60" t="str">
        <f>IFERROR(__xludf.DUMMYFUNCTION("MAX(QUERY(SORT(GOOGLEFINANCE(A56,""high"",TODAY()-100,TODAY()),1,0),""select Col2 limit 55""))"),"#N/A")</f>
        <v>#N/A</v>
      </c>
      <c r="D56" s="32" t="str">
        <f>IFERROR(__xludf.DUMMYFUNCTION("GOOGLEFINANCE(A56,""high52"")"),"#N/A")</f>
        <v>#N/A</v>
      </c>
      <c r="E56" s="33" t="str">
        <f>IFERROR(__xludf.DUMMYFUNCTION("to_date(index(sort(GOOGLEFINANCE(A56, ""high"", today()-52*7, today(), ""DAILY""),2,0),2,1))"),"#N/A")</f>
        <v>#N/A</v>
      </c>
      <c r="F56" s="32" t="str">
        <f>IFERROR(__xludf.DUMMYFUNCTION("GOOGLEFINANCE(A56,""low52"")"),"#N/A")</f>
        <v>#N/A</v>
      </c>
      <c r="G56" s="33" t="str">
        <f>IFERROR(__xludf.DUMMYFUNCTION("to_date(index(sort(GOOGLEFINANCE(A56, ""low"", today()-52*7, today(), ""DAILY""),2,1),1,1))"),"#N/A")</f>
        <v>#N/A</v>
      </c>
      <c r="H56" s="61" t="str">
        <f>IFERROR(__xludf.DUMMYFUNCTION("MIN(QUERY(SORT(GOOGLEFINANCE(A56,""low"",TODAY()-40,TODAY()),1,0),""select Col2 limit 20""))"),"#N/A")</f>
        <v>#N/A</v>
      </c>
      <c r="I56" s="61" t="str">
        <f t="shared" si="1"/>
        <v>#N/A</v>
      </c>
      <c r="J56" s="35" t="str">
        <f t="shared" si="2"/>
        <v>#N/A</v>
      </c>
    </row>
    <row r="57">
      <c r="A57" s="7" t="s">
        <v>347</v>
      </c>
      <c r="B57" s="59">
        <f>IFERROR(__xludf.DUMMYFUNCTION("GOOGLEFINANCE(A57,""price"")"),21.72)</f>
        <v>21.72</v>
      </c>
      <c r="C57" s="60">
        <f>IFERROR(__xludf.DUMMYFUNCTION("MAX(QUERY(SORT(GOOGLEFINANCE(A57,""high"",TODAY()-100,TODAY()),1,0),""select Col2 limit 55""))"),23.95)</f>
        <v>23.95</v>
      </c>
      <c r="D57" s="32">
        <f>IFERROR(__xludf.DUMMYFUNCTION("GOOGLEFINANCE(A57,""high52"")"),27.14)</f>
        <v>27.14</v>
      </c>
      <c r="E57" s="33">
        <f>IFERROR(__xludf.DUMMYFUNCTION("to_date(index(sort(GOOGLEFINANCE(A57, ""high"", today()-52*7, today(), ""DAILY""),2,0),2,1))"),45818.64583333333)</f>
        <v>45818.64583</v>
      </c>
      <c r="F57" s="32">
        <f>IFERROR(__xludf.DUMMYFUNCTION("GOOGLEFINANCE(A57,""low52"")"),19.15)</f>
        <v>19.15</v>
      </c>
      <c r="G57" s="33">
        <f>IFERROR(__xludf.DUMMYFUNCTION("to_date(index(sort(GOOGLEFINANCE(A57, ""low"", today()-52*7, today(), ""DAILY""),2,1),1,1))"),46083.64583333333)</f>
        <v>46083.64583</v>
      </c>
      <c r="H57" s="61">
        <f>IFERROR(__xludf.DUMMYFUNCTION("MIN(QUERY(SORT(GOOGLEFINANCE(A57,""low"",TODAY()-40,TODAY()),1,0),""select Col2 limit 20""))"),19.72)</f>
        <v>19.72</v>
      </c>
      <c r="I57" s="61">
        <f t="shared" si="1"/>
        <v>10.26703499</v>
      </c>
      <c r="J57" s="35" t="str">
        <f t="shared" si="2"/>
        <v>Start GTT Order</v>
      </c>
    </row>
    <row r="58">
      <c r="A58" s="7" t="s">
        <v>348</v>
      </c>
      <c r="B58" s="59">
        <f>IFERROR(__xludf.DUMMYFUNCTION("GOOGLEFINANCE(A58,""price"")"),3.3)</f>
        <v>3.3</v>
      </c>
      <c r="C58" s="60">
        <f>IFERROR(__xludf.DUMMYFUNCTION("MAX(QUERY(SORT(GOOGLEFINANCE(A58,""high"",TODAY()-100,TODAY()),1,0),""select Col2 limit 55""))"),4.14)</f>
        <v>4.14</v>
      </c>
      <c r="D58" s="32">
        <f>IFERROR(__xludf.DUMMYFUNCTION("GOOGLEFINANCE(A58,""high52"")"),6.54)</f>
        <v>6.54</v>
      </c>
      <c r="E58" s="33">
        <f>IFERROR(__xludf.DUMMYFUNCTION("to_date(index(sort(GOOGLEFINANCE(A58, ""high"", today()-52*7, today(), ""DAILY""),2,0),2,1))"),45859.64583333333)</f>
        <v>45859.64583</v>
      </c>
      <c r="F58" s="32">
        <f>IFERROR(__xludf.DUMMYFUNCTION("GOOGLEFINANCE(A58,""low52"")"),1.82)</f>
        <v>1.82</v>
      </c>
      <c r="G58" s="33">
        <f>IFERROR(__xludf.DUMMYFUNCTION("to_date(index(sort(GOOGLEFINANCE(A58, ""low"", today()-52*7, today(), ""DAILY""),2,1),1,1))"),46111.64583333333)</f>
        <v>46111.64583</v>
      </c>
      <c r="H58" s="61">
        <f>IFERROR(__xludf.DUMMYFUNCTION("MIN(QUERY(SORT(GOOGLEFINANCE(A58,""low"",TODAY()-40,TODAY()),1,0),""select Col2 limit 20""))"),3.1)</f>
        <v>3.1</v>
      </c>
      <c r="I58" s="61">
        <f t="shared" si="1"/>
        <v>25.45454545</v>
      </c>
      <c r="J58" s="35" t="str">
        <f t="shared" si="2"/>
        <v>No need to fresh start</v>
      </c>
    </row>
    <row r="59">
      <c r="A59" s="7" t="s">
        <v>349</v>
      </c>
      <c r="B59" s="59">
        <f>IFERROR(__xludf.DUMMYFUNCTION("GOOGLEFINANCE(A59,""price"")"),1113.1)</f>
        <v>1113.1</v>
      </c>
      <c r="C59" s="60">
        <f>IFERROR(__xludf.DUMMYFUNCTION("MAX(QUERY(SORT(GOOGLEFINANCE(A59,""high"",TODAY()-100,TODAY()),1,0),""select Col2 limit 55""))"),1172.8)</f>
        <v>1172.8</v>
      </c>
      <c r="D59" s="32">
        <f>IFERROR(__xludf.DUMMYFUNCTION("GOOGLEFINANCE(A59,""high52"")"),1172.8)</f>
        <v>1172.8</v>
      </c>
      <c r="E59" s="33">
        <f>IFERROR(__xludf.DUMMYFUNCTION("to_date(index(sort(GOOGLEFINANCE(A59, ""high"", today()-52*7, today(), ""DAILY""),2,0),2,1))"),46150.64583333333)</f>
        <v>46150.64583</v>
      </c>
      <c r="F59" s="32">
        <f>IFERROR(__xludf.DUMMYFUNCTION("GOOGLEFINANCE(A59,""low52"")"),700.8)</f>
        <v>700.8</v>
      </c>
      <c r="G59" s="33">
        <f>IFERROR(__xludf.DUMMYFUNCTION("to_date(index(sort(GOOGLEFINANCE(A59, ""low"", today()-52*7, today(), ""DAILY""),2,1),1,1))"),46052.64583333333)</f>
        <v>46052.64583</v>
      </c>
      <c r="H59" s="61">
        <f>IFERROR(__xludf.DUMMYFUNCTION("MIN(QUERY(SORT(GOOGLEFINANCE(A59,""low"",TODAY()-40,TODAY()),1,0),""select Col2 limit 20""))"),967.55)</f>
        <v>967.55</v>
      </c>
      <c r="I59" s="61">
        <f t="shared" si="1"/>
        <v>5.363399515</v>
      </c>
      <c r="J59" s="35" t="str">
        <f t="shared" si="2"/>
        <v>No need to fresh start</v>
      </c>
    </row>
    <row r="60">
      <c r="A60" s="7" t="s">
        <v>61</v>
      </c>
      <c r="B60" s="59">
        <f>IFERROR(__xludf.DUMMYFUNCTION("GOOGLEFINANCE(A60,""price"")"),151.1)</f>
        <v>151.1</v>
      </c>
      <c r="C60" s="60">
        <f>IFERROR(__xludf.DUMMYFUNCTION("MAX(QUERY(SORT(GOOGLEFINANCE(A60,""high"",TODAY()-100,TODAY()),1,0),""select Col2 limit 55""))"),212.31)</f>
        <v>212.31</v>
      </c>
      <c r="D60" s="32">
        <f>IFERROR(__xludf.DUMMYFUNCTION("GOOGLEFINANCE(A60,""high52"")"),212.31)</f>
        <v>212.31</v>
      </c>
      <c r="E60" s="33">
        <f>IFERROR(__xludf.DUMMYFUNCTION("to_date(index(sort(GOOGLEFINANCE(A60, ""high"", today()-52*7, today(), ""DAILY""),2,0),2,1))"),46087.64583333333)</f>
        <v>46087.64583</v>
      </c>
      <c r="F60" s="32">
        <f>IFERROR(__xludf.DUMMYFUNCTION("GOOGLEFINANCE(A60,""low52"")"),120.4)</f>
        <v>120.4</v>
      </c>
      <c r="G60" s="33">
        <f>IFERROR(__xludf.DUMMYFUNCTION("to_date(index(sort(GOOGLEFINANCE(A60, ""low"", today()-52*7, today(), ""DAILY""),2,1),1,1))"),45876.64583333333)</f>
        <v>45876.64583</v>
      </c>
      <c r="H60" s="61">
        <f>IFERROR(__xludf.DUMMYFUNCTION("MIN(QUERY(SORT(GOOGLEFINANCE(A60,""low"",TODAY()-40,TODAY()),1,0),""select Col2 limit 20""))"),143.12)</f>
        <v>143.12</v>
      </c>
      <c r="I60" s="61">
        <f t="shared" si="1"/>
        <v>40.50959629</v>
      </c>
      <c r="J60" s="35" t="str">
        <f t="shared" si="2"/>
        <v>No need to fresh start</v>
      </c>
    </row>
    <row r="61">
      <c r="A61" s="7" t="s">
        <v>258</v>
      </c>
      <c r="B61" s="59">
        <f>IFERROR(__xludf.DUMMYFUNCTION("GOOGLEFINANCE(A61,""price"")"),70.39)</f>
        <v>70.39</v>
      </c>
      <c r="C61" s="60">
        <f>IFERROR(__xludf.DUMMYFUNCTION("MAX(QUERY(SORT(GOOGLEFINANCE(A61,""high"",TODAY()-100,TODAY()),1,0),""select Col2 limit 55""))"),71.45)</f>
        <v>71.45</v>
      </c>
      <c r="D61" s="32">
        <f>IFERROR(__xludf.DUMMYFUNCTION("GOOGLEFINANCE(A61,""high52"")"),87.0)</f>
        <v>87</v>
      </c>
      <c r="E61" s="33">
        <f>IFERROR(__xludf.DUMMYFUNCTION("to_date(index(sort(GOOGLEFINANCE(A61, ""high"", today()-52*7, today(), ""DAILY""),2,0),2,1))"),46024.64583333333)</f>
        <v>46024.64583</v>
      </c>
      <c r="F61" s="32">
        <f>IFERROR(__xludf.DUMMYFUNCTION("GOOGLEFINANCE(A61,""low52"")"),58.08)</f>
        <v>58.08</v>
      </c>
      <c r="G61" s="33">
        <f>IFERROR(__xludf.DUMMYFUNCTION("to_date(index(sort(GOOGLEFINANCE(A61, ""low"", today()-52*7, today(), ""DAILY""),2,1),1,1))"),46114.64583333333)</f>
        <v>46114.64583</v>
      </c>
      <c r="H61" s="61">
        <f>IFERROR(__xludf.DUMMYFUNCTION("MIN(QUERY(SORT(GOOGLEFINANCE(A61,""low"",TODAY()-40,TODAY()),1,0),""select Col2 limit 20""))"),66.16)</f>
        <v>66.16</v>
      </c>
      <c r="I61" s="61">
        <f t="shared" si="1"/>
        <v>1.505895724</v>
      </c>
      <c r="J61" s="35" t="str">
        <f t="shared" si="2"/>
        <v>No need to fresh start</v>
      </c>
    </row>
    <row r="62">
      <c r="A62" s="7" t="s">
        <v>350</v>
      </c>
      <c r="B62" s="59">
        <f>IFERROR(__xludf.DUMMYFUNCTION("GOOGLEFINANCE(A62,""price"")"),384.5)</f>
        <v>384.5</v>
      </c>
      <c r="C62" s="60">
        <f>IFERROR(__xludf.DUMMYFUNCTION("MAX(QUERY(SORT(GOOGLEFINANCE(A62,""high"",TODAY()-100,TODAY()),1,0),""select Col2 limit 55""))"),381.05)</f>
        <v>381.05</v>
      </c>
      <c r="D62" s="32">
        <f>IFERROR(__xludf.DUMMYFUNCTION("GOOGLEFINANCE(A62,""high52"")"),391.85)</f>
        <v>391.85</v>
      </c>
      <c r="E62" s="33">
        <f>IFERROR(__xludf.DUMMYFUNCTION("to_date(index(sort(GOOGLEFINANCE(A62, ""high"", today()-52*7, today(), ""DAILY""),2,0),2,1))"),46168.64583333333)</f>
        <v>46168.64583</v>
      </c>
      <c r="F62" s="32">
        <f>IFERROR(__xludf.DUMMYFUNCTION("GOOGLEFINANCE(A62,""low52"")"),118.0)</f>
        <v>118</v>
      </c>
      <c r="G62" s="33">
        <f>IFERROR(__xludf.DUMMYFUNCTION("to_date(index(sort(GOOGLEFINANCE(A62, ""low"", today()-52*7, today(), ""DAILY""),2,1),1,1))"),45971.64583333333)</f>
        <v>45971.64583</v>
      </c>
      <c r="H62" s="61">
        <f>IFERROR(__xludf.DUMMYFUNCTION("MIN(QUERY(SORT(GOOGLEFINANCE(A62,""low"",TODAY()-40,TODAY()),1,0),""select Col2 limit 20""))"),265.0)</f>
        <v>265</v>
      </c>
      <c r="I62" s="61">
        <f t="shared" si="1"/>
        <v>-0.8972691808</v>
      </c>
      <c r="J62" s="35" t="str">
        <f t="shared" si="2"/>
        <v>No need to fresh start</v>
      </c>
    </row>
    <row r="63">
      <c r="A63" s="7" t="s">
        <v>351</v>
      </c>
      <c r="B63" s="59">
        <f>IFERROR(__xludf.DUMMYFUNCTION("GOOGLEFINANCE(A63,""price"")"),213.95)</f>
        <v>213.95</v>
      </c>
      <c r="C63" s="60">
        <f>IFERROR(__xludf.DUMMYFUNCTION("MAX(QUERY(SORT(GOOGLEFINANCE(A63,""high"",TODAY()-100,TODAY()),1,0),""select Col2 limit 55""))"),234.86)</f>
        <v>234.86</v>
      </c>
      <c r="D63" s="32">
        <f>IFERROR(__xludf.DUMMYFUNCTION("GOOGLEFINANCE(A63,""high52"")"),331.8)</f>
        <v>331.8</v>
      </c>
      <c r="E63" s="33">
        <f>IFERROR(__xludf.DUMMYFUNCTION("to_date(index(sort(GOOGLEFINANCE(A63, ""high"", today()-52*7, today(), ""DAILY""),2,0),2,1))"),45855.64583333333)</f>
        <v>45855.64583</v>
      </c>
      <c r="F63" s="32">
        <f>IFERROR(__xludf.DUMMYFUNCTION("GOOGLEFINANCE(A63,""low52"")"),158.17)</f>
        <v>158.17</v>
      </c>
      <c r="G63" s="33">
        <f>IFERROR(__xludf.DUMMYFUNCTION("to_date(index(sort(GOOGLEFINANCE(A63, ""low"", today()-52*7, today(), ""DAILY""),2,1),1,1))"),46111.64583333333)</f>
        <v>46111.64583</v>
      </c>
      <c r="H63" s="61">
        <f>IFERROR(__xludf.DUMMYFUNCTION("MIN(QUERY(SORT(GOOGLEFINANCE(A63,""low"",TODAY()-40,TODAY()),1,0),""select Col2 limit 20""))"),207.85)</f>
        <v>207.85</v>
      </c>
      <c r="I63" s="61">
        <f t="shared" si="1"/>
        <v>9.773311521</v>
      </c>
      <c r="J63" s="35" t="str">
        <f t="shared" si="2"/>
        <v>No need to fresh start</v>
      </c>
    </row>
    <row r="64">
      <c r="A64" s="7" t="s">
        <v>295</v>
      </c>
      <c r="B64" s="59">
        <f>IFERROR(__xludf.DUMMYFUNCTION("GOOGLEFINANCE(A64,""price"")"),586.25)</f>
        <v>586.25</v>
      </c>
      <c r="C64" s="60">
        <f>IFERROR(__xludf.DUMMYFUNCTION("MAX(QUERY(SORT(GOOGLEFINANCE(A64,""high"",TODAY()-100,TODAY()),1,0),""select Col2 limit 55""))"),630.0)</f>
        <v>630</v>
      </c>
      <c r="D64" s="32">
        <f>IFERROR(__xludf.DUMMYFUNCTION("GOOGLEFINANCE(A64,""high52"")"),876.35)</f>
        <v>876.35</v>
      </c>
      <c r="E64" s="33">
        <f>IFERROR(__xludf.DUMMYFUNCTION("to_date(index(sort(GOOGLEFINANCE(A64, ""high"", today()-52*7, today(), ""DAILY""),2,0),2,1))"),45862.64583333333)</f>
        <v>45862.64583</v>
      </c>
      <c r="F64" s="32">
        <f>IFERROR(__xludf.DUMMYFUNCTION("GOOGLEFINANCE(A64,""low52"")"),506.1)</f>
        <v>506.1</v>
      </c>
      <c r="G64" s="33">
        <f>IFERROR(__xludf.DUMMYFUNCTION("to_date(index(sort(GOOGLEFINANCE(A64, ""low"", today()-52*7, today(), ""DAILY""),2,1),1,1))"),46049.64583333333)</f>
        <v>46049.64583</v>
      </c>
      <c r="H64" s="61">
        <f>IFERROR(__xludf.DUMMYFUNCTION("MIN(QUERY(SORT(GOOGLEFINANCE(A64,""low"",TODAY()-40,TODAY()),1,0),""select Col2 limit 20""))"),560.0)</f>
        <v>560</v>
      </c>
      <c r="I64" s="61">
        <f t="shared" si="1"/>
        <v>7.462686567</v>
      </c>
      <c r="J64" s="35" t="str">
        <f t="shared" si="2"/>
        <v>No need to fresh start</v>
      </c>
    </row>
    <row r="65">
      <c r="A65" s="7" t="s">
        <v>352</v>
      </c>
      <c r="B65" s="59">
        <f>IFERROR(__xludf.DUMMYFUNCTION("GOOGLEFINANCE(A65,""price"")"),304.7)</f>
        <v>304.7</v>
      </c>
      <c r="C65" s="60">
        <f>IFERROR(__xludf.DUMMYFUNCTION("MAX(QUERY(SORT(GOOGLEFINANCE(A65,""high"",TODAY()-100,TODAY()),1,0),""select Col2 limit 55""))"),329.35)</f>
        <v>329.35</v>
      </c>
      <c r="D65" s="32">
        <f>IFERROR(__xludf.DUMMYFUNCTION("GOOGLEFINANCE(A65,""high52"")"),526.0)</f>
        <v>526</v>
      </c>
      <c r="E65" s="33">
        <f>IFERROR(__xludf.DUMMYFUNCTION("to_date(index(sort(GOOGLEFINANCE(A65, ""high"", today()-52*7, today(), ""DAILY""),2,0),2,1))"),45904.64583333333)</f>
        <v>45904.64583</v>
      </c>
      <c r="F65" s="32">
        <f>IFERROR(__xludf.DUMMYFUNCTION("GOOGLEFINANCE(A65,""low52"")"),236.5)</f>
        <v>236.5</v>
      </c>
      <c r="G65" s="33">
        <f>IFERROR(__xludf.DUMMYFUNCTION("to_date(index(sort(GOOGLEFINANCE(A65, ""low"", today()-52*7, today(), ""DAILY""),2,1),1,1))"),46111.64583333333)</f>
        <v>46111.64583</v>
      </c>
      <c r="H65" s="61">
        <f>IFERROR(__xludf.DUMMYFUNCTION("MIN(QUERY(SORT(GOOGLEFINANCE(A65,""low"",TODAY()-40,TODAY()),1,0),""select Col2 limit 20""))"),278.4)</f>
        <v>278.4</v>
      </c>
      <c r="I65" s="61">
        <f t="shared" si="1"/>
        <v>8.089924516</v>
      </c>
      <c r="J65" s="35" t="str">
        <f t="shared" si="2"/>
        <v>No need to fresh start</v>
      </c>
    </row>
    <row r="66">
      <c r="A66" s="7" t="s">
        <v>353</v>
      </c>
      <c r="B66" s="59">
        <f>IFERROR(__xludf.DUMMYFUNCTION("GOOGLEFINANCE(A66,""price"")"),601.95)</f>
        <v>601.95</v>
      </c>
      <c r="C66" s="60">
        <f>IFERROR(__xludf.DUMMYFUNCTION("MAX(QUERY(SORT(GOOGLEFINANCE(A66,""high"",TODAY()-100,TODAY()),1,0),""select Col2 limit 55""))"),613.4)</f>
        <v>613.4</v>
      </c>
      <c r="D66" s="32">
        <f>IFERROR(__xludf.DUMMYFUNCTION("GOOGLEFINANCE(A66,""high52"")"),619.95)</f>
        <v>619.95</v>
      </c>
      <c r="E66" s="33">
        <f>IFERROR(__xludf.DUMMYFUNCTION("to_date(index(sort(GOOGLEFINANCE(A66, ""high"", today()-52*7, today(), ""DAILY""),2,0),2,1))"),45974.64583333333)</f>
        <v>45974.64583</v>
      </c>
      <c r="F66" s="32">
        <f>IFERROR(__xludf.DUMMYFUNCTION("GOOGLEFINANCE(A66,""low52"")"),445.05)</f>
        <v>445.05</v>
      </c>
      <c r="G66" s="33">
        <f>IFERROR(__xludf.DUMMYFUNCTION("to_date(index(sort(GOOGLEFINANCE(A66, ""low"", today()-52*7, today(), ""DAILY""),2,1),1,1))"),45880.64583333333)</f>
        <v>45880.64583</v>
      </c>
      <c r="H66" s="61">
        <f>IFERROR(__xludf.DUMMYFUNCTION("MIN(QUERY(SORT(GOOGLEFINANCE(A66,""low"",TODAY()-40,TODAY()),1,0),""select Col2 limit 20""))"),502.0)</f>
        <v>502</v>
      </c>
      <c r="I66" s="61">
        <f t="shared" si="1"/>
        <v>1.902151341</v>
      </c>
      <c r="J66" s="35" t="str">
        <f t="shared" si="2"/>
        <v>No need to fresh start</v>
      </c>
    </row>
    <row r="67">
      <c r="A67" s="7" t="s">
        <v>354</v>
      </c>
      <c r="B67" s="59">
        <f>IFERROR(__xludf.DUMMYFUNCTION("GOOGLEFINANCE(A67,""price"")"),493.35)</f>
        <v>493.35</v>
      </c>
      <c r="C67" s="60">
        <f>IFERROR(__xludf.DUMMYFUNCTION("MAX(QUERY(SORT(GOOGLEFINANCE(A67,""high"",TODAY()-100,TODAY()),1,0),""select Col2 limit 55""))"),514.5)</f>
        <v>514.5</v>
      </c>
      <c r="D67" s="32">
        <f>IFERROR(__xludf.DUMMYFUNCTION("GOOGLEFINANCE(A67,""high52"")"),665.0)</f>
        <v>665</v>
      </c>
      <c r="E67" s="33">
        <f>IFERROR(__xludf.DUMMYFUNCTION("to_date(index(sort(GOOGLEFINANCE(A67, ""high"", today()-52*7, today(), ""DAILY""),2,0),2,1))"),45873.64583333333)</f>
        <v>45873.64583</v>
      </c>
      <c r="F67" s="32">
        <f>IFERROR(__xludf.DUMMYFUNCTION("GOOGLEFINANCE(A67,""low52"")"),362.6)</f>
        <v>362.6</v>
      </c>
      <c r="G67" s="33">
        <f>IFERROR(__xludf.DUMMYFUNCTION("to_date(index(sort(GOOGLEFINANCE(A67, ""low"", today()-52*7, today(), ""DAILY""),2,1),1,1))"),46111.64583333333)</f>
        <v>46111.64583</v>
      </c>
      <c r="H67" s="61">
        <f>IFERROR(__xludf.DUMMYFUNCTION("MIN(QUERY(SORT(GOOGLEFINANCE(A67,""low"",TODAY()-40,TODAY()),1,0),""select Col2 limit 20""))"),416.1)</f>
        <v>416.1</v>
      </c>
      <c r="I67" s="61">
        <f t="shared" si="1"/>
        <v>4.28701733</v>
      </c>
      <c r="J67" s="35" t="str">
        <f t="shared" si="2"/>
        <v>No need to fresh start</v>
      </c>
    </row>
    <row r="68">
      <c r="A68" s="7" t="s">
        <v>51</v>
      </c>
      <c r="B68" s="59">
        <f>IFERROR(__xludf.DUMMYFUNCTION("GOOGLEFINANCE(A68,""price"")"),30.99)</f>
        <v>30.99</v>
      </c>
      <c r="C68" s="60">
        <f>IFERROR(__xludf.DUMMYFUNCTION("MAX(QUERY(SORT(GOOGLEFINANCE(A68,""high"",TODAY()-100,TODAY()),1,0),""select Col2 limit 55""))"),38.0)</f>
        <v>38</v>
      </c>
      <c r="D68" s="32">
        <f>IFERROR(__xludf.DUMMYFUNCTION("GOOGLEFINANCE(A68,""high52"")"),41.2)</f>
        <v>41.2</v>
      </c>
      <c r="E68" s="33">
        <f>IFERROR(__xludf.DUMMYFUNCTION("to_date(index(sort(GOOGLEFINANCE(A68, ""high"", today()-52*7, today(), ""DAILY""),2,0),2,1))"),45810.64583333333)</f>
        <v>45810.64583</v>
      </c>
      <c r="F68" s="32">
        <f>IFERROR(__xludf.DUMMYFUNCTION("GOOGLEFINANCE(A68,""low52"")"),30.52)</f>
        <v>30.52</v>
      </c>
      <c r="G68" s="33">
        <f>IFERROR(__xludf.DUMMYFUNCTION("to_date(index(sort(GOOGLEFINANCE(A68, ""low"", today()-52*7, today(), ""DAILY""),2,1),1,1))"),46168.64583333333)</f>
        <v>46168.64583</v>
      </c>
      <c r="H68" s="61">
        <f>IFERROR(__xludf.DUMMYFUNCTION("MIN(QUERY(SORT(GOOGLEFINANCE(A68,""low"",TODAY()-40,TODAY()),1,0),""select Col2 limit 20""))"),31.0)</f>
        <v>31</v>
      </c>
      <c r="I68" s="61">
        <f t="shared" si="1"/>
        <v>22.62020006</v>
      </c>
      <c r="J68" s="35" t="str">
        <f t="shared" si="2"/>
        <v>No need to fresh start</v>
      </c>
    </row>
    <row r="69">
      <c r="A69" s="7" t="s">
        <v>355</v>
      </c>
      <c r="B69" s="59">
        <f>IFERROR(__xludf.DUMMYFUNCTION("GOOGLEFINANCE(A69,""price"")"),13099.0)</f>
        <v>13099</v>
      </c>
      <c r="C69" s="60">
        <f>IFERROR(__xludf.DUMMYFUNCTION("MAX(QUERY(SORT(GOOGLEFINANCE(A69,""high"",TODAY()-100,TODAY()),1,0),""select Col2 limit 55""))"),13595.0)</f>
        <v>13595</v>
      </c>
      <c r="D69" s="32">
        <f>IFERROR(__xludf.DUMMYFUNCTION("GOOGLEFINANCE(A69,""high52"")"),18538.0)</f>
        <v>18538</v>
      </c>
      <c r="E69" s="33">
        <f>IFERROR(__xludf.DUMMYFUNCTION("to_date(index(sort(GOOGLEFINANCE(A69, ""high"", today()-52*7, today(), ""DAILY""),2,0),2,1))"),45915.64583333333)</f>
        <v>45915.64583</v>
      </c>
      <c r="F69" s="32">
        <f>IFERROR(__xludf.DUMMYFUNCTION("GOOGLEFINANCE(A69,""low52"")"),10901.0)</f>
        <v>10901</v>
      </c>
      <c r="G69" s="33">
        <f>IFERROR(__xludf.DUMMYFUNCTION("to_date(index(sort(GOOGLEFINANCE(A69, ""low"", today()-52*7, today(), ""DAILY""),2,1),1,1))"),46114.64583333333)</f>
        <v>46114.64583</v>
      </c>
      <c r="H69" s="61">
        <f>IFERROR(__xludf.DUMMYFUNCTION("MIN(QUERY(SORT(GOOGLEFINANCE(A69,""low"",TODAY()-40,TODAY()),1,0),""select Col2 limit 20""))"),11250.0)</f>
        <v>11250</v>
      </c>
      <c r="I69" s="61">
        <f t="shared" si="1"/>
        <v>3.786548591</v>
      </c>
      <c r="J69" s="35" t="str">
        <f t="shared" si="2"/>
        <v>No need to fresh start</v>
      </c>
    </row>
    <row r="70">
      <c r="A70" s="7" t="s">
        <v>356</v>
      </c>
      <c r="B70" s="59">
        <f>IFERROR(__xludf.DUMMYFUNCTION("GOOGLEFINANCE(A70,""price"")"),478.6)</f>
        <v>478.6</v>
      </c>
      <c r="C70" s="60">
        <f>IFERROR(__xludf.DUMMYFUNCTION("MAX(QUERY(SORT(GOOGLEFINANCE(A70,""high"",TODAY()-100,TODAY()),1,0),""select Col2 limit 55""))"),481.55)</f>
        <v>481.55</v>
      </c>
      <c r="D70" s="32">
        <f>IFERROR(__xludf.DUMMYFUNCTION("GOOGLEFINANCE(A70,""high52"")"),602.4)</f>
        <v>602.4</v>
      </c>
      <c r="E70" s="33">
        <f>IFERROR(__xludf.DUMMYFUNCTION("to_date(index(sort(GOOGLEFINANCE(A70, ""high"", today()-52*7, today(), ""DAILY""),2,0),2,1))"),45805.64583333333)</f>
        <v>45805.64583</v>
      </c>
      <c r="F70" s="32">
        <f>IFERROR(__xludf.DUMMYFUNCTION("GOOGLEFINANCE(A70,""low52"")"),399.75)</f>
        <v>399.75</v>
      </c>
      <c r="G70" s="33">
        <f>IFERROR(__xludf.DUMMYFUNCTION("to_date(index(sort(GOOGLEFINANCE(A70, ""low"", today()-52*7, today(), ""DAILY""),2,1),1,1))"),46097.64583333333)</f>
        <v>46097.64583</v>
      </c>
      <c r="H70" s="61">
        <f>IFERROR(__xludf.DUMMYFUNCTION("MIN(QUERY(SORT(GOOGLEFINANCE(A70,""low"",TODAY()-40,TODAY()),1,0),""select Col2 limit 20""))"),422.0)</f>
        <v>422</v>
      </c>
      <c r="I70" s="61">
        <f t="shared" si="1"/>
        <v>0.6163811116</v>
      </c>
      <c r="J70" s="35" t="str">
        <f t="shared" si="2"/>
        <v>No need to fresh start</v>
      </c>
    </row>
    <row r="71">
      <c r="A71" s="7" t="s">
        <v>357</v>
      </c>
      <c r="B71" s="59">
        <f>IFERROR(__xludf.DUMMYFUNCTION("GOOGLEFINANCE(A71,""price"")"),132.72)</f>
        <v>132.72</v>
      </c>
      <c r="C71" s="60">
        <f>IFERROR(__xludf.DUMMYFUNCTION("MAX(QUERY(SORT(GOOGLEFINANCE(A71,""high"",TODAY()-100,TODAY()),1,0),""select Col2 limit 55""))"),138.9)</f>
        <v>138.9</v>
      </c>
      <c r="D71" s="32">
        <f>IFERROR(__xludf.DUMMYFUNCTION("GOOGLEFINANCE(A71,""high52"")"),137.59)</f>
        <v>137.59</v>
      </c>
      <c r="E71" s="33">
        <f>IFERROR(__xludf.DUMMYFUNCTION("to_date(index(sort(GOOGLEFINANCE(A71, ""high"", today()-52*7, today(), ""DAILY""),2,0),2,1))"),46168.64583333333)</f>
        <v>46168.64583</v>
      </c>
      <c r="F71" s="32">
        <f>IFERROR(__xludf.DUMMYFUNCTION("GOOGLEFINANCE(A71,""low52"")"),67.19)</f>
        <v>67.19</v>
      </c>
      <c r="G71" s="33">
        <f>IFERROR(__xludf.DUMMYFUNCTION("to_date(index(sort(GOOGLEFINANCE(A71, ""low"", today()-52*7, today(), ""DAILY""),2,1),1,1))"),46097.64583333333)</f>
        <v>46097.64583</v>
      </c>
      <c r="H71" s="61">
        <f>IFERROR(__xludf.DUMMYFUNCTION("MIN(QUERY(SORT(GOOGLEFINANCE(A71,""low"",TODAY()-40,TODAY()),1,0),""select Col2 limit 20""))"),90.1)</f>
        <v>90.1</v>
      </c>
      <c r="I71" s="61">
        <f t="shared" si="1"/>
        <v>4.65641953</v>
      </c>
      <c r="J71" s="35" t="str">
        <f t="shared" si="2"/>
        <v>No need to fresh start</v>
      </c>
    </row>
    <row r="72">
      <c r="A72" s="7" t="s">
        <v>358</v>
      </c>
      <c r="B72" s="59">
        <f>IFERROR(__xludf.DUMMYFUNCTION("GOOGLEFINANCE(A72,""price"")"),252.6)</f>
        <v>252.6</v>
      </c>
      <c r="C72" s="60">
        <f>IFERROR(__xludf.DUMMYFUNCTION("MAX(QUERY(SORT(GOOGLEFINANCE(A72,""high"",TODAY()-100,TODAY()),1,0),""select Col2 limit 55""))"),283.0)</f>
        <v>283</v>
      </c>
      <c r="D72" s="32">
        <f>IFERROR(__xludf.DUMMYFUNCTION("GOOGLEFINANCE(A72,""high52"")"),385.9)</f>
        <v>385.9</v>
      </c>
      <c r="E72" s="33">
        <f>IFERROR(__xludf.DUMMYFUNCTION("to_date(index(sort(GOOGLEFINANCE(A72, ""high"", today()-52*7, today(), ""DAILY""),2,0),2,1))"),45868.64583333333)</f>
        <v>45868.64583</v>
      </c>
      <c r="F72" s="32">
        <f>IFERROR(__xludf.DUMMYFUNCTION("GOOGLEFINANCE(A72,""low52"")"),215.5)</f>
        <v>215.5</v>
      </c>
      <c r="G72" s="33">
        <f>IFERROR(__xludf.DUMMYFUNCTION("to_date(index(sort(GOOGLEFINANCE(A72, ""low"", today()-52*7, today(), ""DAILY""),2,1),1,1))"),46111.64583333333)</f>
        <v>46111.64583</v>
      </c>
      <c r="H72" s="61">
        <f>IFERROR(__xludf.DUMMYFUNCTION("MIN(QUERY(SORT(GOOGLEFINANCE(A72,""low"",TODAY()-40,TODAY()),1,0),""select Col2 limit 20""))"),247.4)</f>
        <v>247.4</v>
      </c>
      <c r="I72" s="61">
        <f t="shared" si="1"/>
        <v>12.03483769</v>
      </c>
      <c r="J72" s="35" t="str">
        <f t="shared" si="2"/>
        <v>Start GTT Order</v>
      </c>
    </row>
    <row r="73">
      <c r="A73" s="7" t="s">
        <v>359</v>
      </c>
      <c r="B73" s="59">
        <f>IFERROR(__xludf.DUMMYFUNCTION("GOOGLEFINANCE(A73,""price"")"),55.51)</f>
        <v>55.51</v>
      </c>
      <c r="C73" s="60">
        <f>IFERROR(__xludf.DUMMYFUNCTION("MAX(QUERY(SORT(GOOGLEFINANCE(A73,""high"",TODAY()-100,TODAY()),1,0),""select Col2 limit 55""))"),65.46)</f>
        <v>65.46</v>
      </c>
      <c r="D73" s="32">
        <f>IFERROR(__xludf.DUMMYFUNCTION("GOOGLEFINANCE(A73,""high52"")"),68.0)</f>
        <v>68</v>
      </c>
      <c r="E73" s="33">
        <f>IFERROR(__xludf.DUMMYFUNCTION("to_date(index(sort(GOOGLEFINANCE(A73, ""high"", today()-52*7, today(), ""DAILY""),2,0),2,1))"),46045.64583333333)</f>
        <v>46045.64583</v>
      </c>
      <c r="F73" s="32">
        <f>IFERROR(__xludf.DUMMYFUNCTION("GOOGLEFINANCE(A73,""low52"")"),41.32)</f>
        <v>41.32</v>
      </c>
      <c r="G73" s="33">
        <f>IFERROR(__xludf.DUMMYFUNCTION("to_date(index(sort(GOOGLEFINANCE(A73, ""low"", today()-52*7, today(), ""DAILY""),2,1),1,1))"),45883.64583333333)</f>
        <v>45883.64583</v>
      </c>
      <c r="H73" s="61">
        <f>IFERROR(__xludf.DUMMYFUNCTION("MIN(QUERY(SORT(GOOGLEFINANCE(A73,""low"",TODAY()-40,TODAY()),1,0),""select Col2 limit 20""))"),52.0)</f>
        <v>52</v>
      </c>
      <c r="I73" s="61">
        <f t="shared" si="1"/>
        <v>17.92469825</v>
      </c>
      <c r="J73" s="35" t="str">
        <f t="shared" si="2"/>
        <v>No need to fresh start</v>
      </c>
    </row>
    <row r="74">
      <c r="A74" s="7" t="s">
        <v>360</v>
      </c>
      <c r="B74" s="59" t="str">
        <f>IFERROR(__xludf.DUMMYFUNCTION("GOOGLEFINANCE(A74,""price"")"),"#N/A")</f>
        <v>#N/A</v>
      </c>
      <c r="C74" s="60" t="str">
        <f>IFERROR(__xludf.DUMMYFUNCTION("MAX(QUERY(SORT(GOOGLEFINANCE(A74,""high"",TODAY()-100,TODAY()),1,0),""select Col2 limit 55""))"),"#N/A")</f>
        <v>#N/A</v>
      </c>
      <c r="D74" s="32" t="str">
        <f>IFERROR(__xludf.DUMMYFUNCTION("GOOGLEFINANCE(A74,""high52"")"),"#N/A")</f>
        <v>#N/A</v>
      </c>
      <c r="E74" s="33" t="str">
        <f>IFERROR(__xludf.DUMMYFUNCTION("to_date(index(sort(GOOGLEFINANCE(A74, ""high"", today()-52*7, today(), ""DAILY""),2,0),2,1))"),"#N/A")</f>
        <v>#N/A</v>
      </c>
      <c r="F74" s="32" t="str">
        <f>IFERROR(__xludf.DUMMYFUNCTION("GOOGLEFINANCE(A74,""low52"")"),"#N/A")</f>
        <v>#N/A</v>
      </c>
      <c r="G74" s="33" t="str">
        <f>IFERROR(__xludf.DUMMYFUNCTION("to_date(index(sort(GOOGLEFINANCE(A74, ""low"", today()-52*7, today(), ""DAILY""),2,1),1,1))"),"#N/A")</f>
        <v>#N/A</v>
      </c>
      <c r="H74" s="61" t="str">
        <f>IFERROR(__xludf.DUMMYFUNCTION("MIN(QUERY(SORT(GOOGLEFINANCE(A74,""low"",TODAY()-40,TODAY()),1,0),""select Col2 limit 20""))"),"#N/A")</f>
        <v>#N/A</v>
      </c>
      <c r="I74" s="61" t="str">
        <f t="shared" si="1"/>
        <v>#N/A</v>
      </c>
      <c r="J74" s="35" t="str">
        <f t="shared" si="2"/>
        <v>#N/A</v>
      </c>
    </row>
    <row r="75">
      <c r="A75" s="7" t="s">
        <v>361</v>
      </c>
      <c r="B75" s="59">
        <f>IFERROR(__xludf.DUMMYFUNCTION("GOOGLEFINANCE(A75,""price"")"),751.65)</f>
        <v>751.65</v>
      </c>
      <c r="C75" s="60">
        <f>IFERROR(__xludf.DUMMYFUNCTION("MAX(QUERY(SORT(GOOGLEFINANCE(A75,""high"",TODAY()-100,TODAY()),1,0),""select Col2 limit 55""))"),913.9)</f>
        <v>913.9</v>
      </c>
      <c r="D75" s="32">
        <f>IFERROR(__xludf.DUMMYFUNCTION("GOOGLEFINANCE(A75,""high52"")"),1246.8)</f>
        <v>1246.8</v>
      </c>
      <c r="E75" s="33">
        <f>IFERROR(__xludf.DUMMYFUNCTION("to_date(index(sort(GOOGLEFINANCE(A75, ""high"", today()-52*7, today(), ""DAILY""),2,0),2,1))"),45869.64583333333)</f>
        <v>45869.64583</v>
      </c>
      <c r="F75" s="32">
        <f>IFERROR(__xludf.DUMMYFUNCTION("GOOGLEFINANCE(A75,""low52"")"),747.7)</f>
        <v>747.7</v>
      </c>
      <c r="G75" s="33">
        <f>IFERROR(__xludf.DUMMYFUNCTION("to_date(index(sort(GOOGLEFINANCE(A75, ""low"", today()-52*7, today(), ""DAILY""),2,1),1,1))"),46104.64583333333)</f>
        <v>46104.64583</v>
      </c>
      <c r="H75" s="61">
        <f>IFERROR(__xludf.DUMMYFUNCTION("MIN(QUERY(SORT(GOOGLEFINANCE(A75,""low"",TODAY()-40,TODAY()),1,0),""select Col2 limit 20""))"),757.8)</f>
        <v>757.8</v>
      </c>
      <c r="I75" s="61">
        <f t="shared" si="1"/>
        <v>21.58584448</v>
      </c>
      <c r="J75" s="35" t="str">
        <f t="shared" si="2"/>
        <v>No need to fresh start</v>
      </c>
    </row>
    <row r="76">
      <c r="A76" s="7" t="s">
        <v>86</v>
      </c>
      <c r="B76" s="59">
        <f>IFERROR(__xludf.DUMMYFUNCTION("GOOGLEFINANCE(A76,""price"")"),1838.2)</f>
        <v>1838.2</v>
      </c>
      <c r="C76" s="60">
        <f>IFERROR(__xludf.DUMMYFUNCTION("MAX(QUERY(SORT(GOOGLEFINANCE(A76,""high"",TODAY()-100,TODAY()),1,0),""select Col2 limit 55""))"),2037.1)</f>
        <v>2037.1</v>
      </c>
      <c r="D76" s="32">
        <f>IFERROR(__xludf.DUMMYFUNCTION("GOOGLEFINANCE(A76,""high52"")"),2437.4)</f>
        <v>2437.4</v>
      </c>
      <c r="E76" s="33">
        <f>IFERROR(__xludf.DUMMYFUNCTION("to_date(index(sort(GOOGLEFINANCE(A76, ""high"", today()-52*7, today(), ""DAILY""),2,0),2,1))"),45831.64583333333)</f>
        <v>45831.64583</v>
      </c>
      <c r="F76" s="32">
        <f>IFERROR(__xludf.DUMMYFUNCTION("GOOGLEFINANCE(A76,""low52"")"),1355.0)</f>
        <v>1355</v>
      </c>
      <c r="G76" s="33">
        <f>IFERROR(__xludf.DUMMYFUNCTION("to_date(index(sort(GOOGLEFINANCE(A76, ""low"", today()-52*7, today(), ""DAILY""),2,1),1,1))"),46111.64583333333)</f>
        <v>46111.64583</v>
      </c>
      <c r="H76" s="61">
        <f>IFERROR(__xludf.DUMMYFUNCTION("MIN(QUERY(SORT(GOOGLEFINANCE(A76,""low"",TODAY()-40,TODAY()),1,0),""select Col2 limit 20""))"),1704.1)</f>
        <v>1704.1</v>
      </c>
      <c r="I76" s="61">
        <f t="shared" si="1"/>
        <v>10.82036775</v>
      </c>
      <c r="J76" s="35" t="str">
        <f t="shared" si="2"/>
        <v>Start GTT Order</v>
      </c>
    </row>
    <row r="77">
      <c r="A77" s="7" t="s">
        <v>362</v>
      </c>
      <c r="B77" s="59">
        <f>IFERROR(__xludf.DUMMYFUNCTION("GOOGLEFINANCE(A77,""price"")"),564.05)</f>
        <v>564.05</v>
      </c>
      <c r="C77" s="60">
        <f>IFERROR(__xludf.DUMMYFUNCTION("MAX(QUERY(SORT(GOOGLEFINANCE(A77,""high"",TODAY()-100,TODAY()),1,0),""select Col2 limit 55""))"),581.0)</f>
        <v>581</v>
      </c>
      <c r="D77" s="32">
        <f>IFERROR(__xludf.DUMMYFUNCTION("GOOGLEFINANCE(A77,""high52"")"),581.0)</f>
        <v>581</v>
      </c>
      <c r="E77" s="33">
        <f>IFERROR(__xludf.DUMMYFUNCTION("to_date(index(sort(GOOGLEFINANCE(A77, ""high"", today()-52*7, today(), ""DAILY""),2,0),2,1))"),46167.64583333333)</f>
        <v>46167.64583</v>
      </c>
      <c r="F77" s="32">
        <f>IFERROR(__xludf.DUMMYFUNCTION("GOOGLEFINANCE(A77,""low52"")"),168.25)</f>
        <v>168.25</v>
      </c>
      <c r="G77" s="33">
        <f>IFERROR(__xludf.DUMMYFUNCTION("to_date(index(sort(GOOGLEFINANCE(A77, ""low"", today()-52*7, today(), ""DAILY""),2,1),1,1))"),45828.64583333333)</f>
        <v>45828.64583</v>
      </c>
      <c r="H77" s="61">
        <f>IFERROR(__xludf.DUMMYFUNCTION("MIN(QUERY(SORT(GOOGLEFINANCE(A77,""low"",TODAY()-40,TODAY()),1,0),""select Col2 limit 20""))"),442.4)</f>
        <v>442.4</v>
      </c>
      <c r="I77" s="61">
        <f t="shared" si="1"/>
        <v>3.005052744</v>
      </c>
      <c r="J77" s="35" t="str">
        <f t="shared" si="2"/>
        <v>No need to fresh start</v>
      </c>
    </row>
    <row r="78">
      <c r="A78" s="7" t="s">
        <v>219</v>
      </c>
      <c r="B78" s="59">
        <f>IFERROR(__xludf.DUMMYFUNCTION("GOOGLEFINANCE(A78,""price"")"),2743.0)</f>
        <v>2743</v>
      </c>
      <c r="C78" s="60">
        <f>IFERROR(__xludf.DUMMYFUNCTION("MAX(QUERY(SORT(GOOGLEFINANCE(A78,""high"",TODAY()-100,TODAY()),1,0),""select Col2 limit 55""))"),2811.5)</f>
        <v>2811.5</v>
      </c>
      <c r="D78" s="32">
        <f>IFERROR(__xludf.DUMMYFUNCTION("GOOGLEFINANCE(A78,""high52"")"),3079.9)</f>
        <v>3079.9</v>
      </c>
      <c r="E78" s="33">
        <f>IFERROR(__xludf.DUMMYFUNCTION("to_date(index(sort(GOOGLEFINANCE(A78, ""high"", today()-52*7, today(), ""DAILY""),2,0),2,1))"),45909.64583333333)</f>
        <v>45909.64583</v>
      </c>
      <c r="F78" s="32">
        <f>IFERROR(__xludf.DUMMYFUNCTION("GOOGLEFINANCE(A78,""low52"")"),2142.8)</f>
        <v>2142.8</v>
      </c>
      <c r="G78" s="33">
        <f>IFERROR(__xludf.DUMMYFUNCTION("to_date(index(sort(GOOGLEFINANCE(A78, ""low"", today()-52*7, today(), ""DAILY""),2,1),1,1))"),46114.64583333333)</f>
        <v>46114.64583</v>
      </c>
      <c r="H78" s="61">
        <f>IFERROR(__xludf.DUMMYFUNCTION("MIN(QUERY(SORT(GOOGLEFINANCE(A78,""low"",TODAY()-40,TODAY()),1,0),""select Col2 limit 20""))"),2301.0)</f>
        <v>2301</v>
      </c>
      <c r="I78" s="61">
        <f t="shared" si="1"/>
        <v>2.497265767</v>
      </c>
      <c r="J78" s="35" t="str">
        <f t="shared" si="2"/>
        <v>No need to fresh start</v>
      </c>
    </row>
    <row r="79">
      <c r="A79" s="7" t="s">
        <v>363</v>
      </c>
      <c r="B79" s="59" t="str">
        <f>IFERROR(__xludf.DUMMYFUNCTION("GOOGLEFINANCE(A79,""price"")"),"#N/A")</f>
        <v>#N/A</v>
      </c>
      <c r="C79" s="60" t="str">
        <f>IFERROR(__xludf.DUMMYFUNCTION("MAX(QUERY(SORT(GOOGLEFINANCE(A79,""high"",TODAY()-100,TODAY()),1,0),""select Col2 limit 55""))"),"#N/A")</f>
        <v>#N/A</v>
      </c>
      <c r="D79" s="32" t="str">
        <f>IFERROR(__xludf.DUMMYFUNCTION("GOOGLEFINANCE(A79,""high52"")"),"#N/A")</f>
        <v>#N/A</v>
      </c>
      <c r="E79" s="33" t="str">
        <f>IFERROR(__xludf.DUMMYFUNCTION("to_date(index(sort(GOOGLEFINANCE(A79, ""high"", today()-52*7, today(), ""DAILY""),2,0),2,1))"),"#N/A")</f>
        <v>#N/A</v>
      </c>
      <c r="F79" s="32" t="str">
        <f>IFERROR(__xludf.DUMMYFUNCTION("GOOGLEFINANCE(A79,""low52"")"),"#N/A")</f>
        <v>#N/A</v>
      </c>
      <c r="G79" s="33" t="str">
        <f>IFERROR(__xludf.DUMMYFUNCTION("to_date(index(sort(GOOGLEFINANCE(A79, ""low"", today()-52*7, today(), ""DAILY""),2,1),1,1))"),"#N/A")</f>
        <v>#N/A</v>
      </c>
      <c r="H79" s="61" t="str">
        <f>IFERROR(__xludf.DUMMYFUNCTION("MIN(QUERY(SORT(GOOGLEFINANCE(A79,""low"",TODAY()-40,TODAY()),1,0),""select Col2 limit 20""))"),"#N/A")</f>
        <v>#N/A</v>
      </c>
      <c r="I79" s="61" t="str">
        <f t="shared" si="1"/>
        <v>#N/A</v>
      </c>
      <c r="J79" s="35" t="str">
        <f t="shared" si="2"/>
        <v>#N/A</v>
      </c>
    </row>
    <row r="80">
      <c r="A80" s="7" t="s">
        <v>364</v>
      </c>
      <c r="B80" s="59">
        <f>IFERROR(__xludf.DUMMYFUNCTION("GOOGLEFINANCE(A80,""price"")"),2178.2)</f>
        <v>2178.2</v>
      </c>
      <c r="C80" s="60">
        <f>IFERROR(__xludf.DUMMYFUNCTION("MAX(QUERY(SORT(GOOGLEFINANCE(A80,""high"",TODAY()-100,TODAY()),1,0),""select Col2 limit 55""))"),2285.3)</f>
        <v>2285.3</v>
      </c>
      <c r="D80" s="32">
        <f>IFERROR(__xludf.DUMMYFUNCTION("GOOGLEFINANCE(A80,""high52"")"),2285.3)</f>
        <v>2285.3</v>
      </c>
      <c r="E80" s="33">
        <f>IFERROR(__xludf.DUMMYFUNCTION("to_date(index(sort(GOOGLEFINANCE(A80, ""high"", today()-52*7, today(), ""DAILY""),2,0),2,1))"),46167.64583333333)</f>
        <v>46167.64583</v>
      </c>
      <c r="F80" s="32">
        <f>IFERROR(__xludf.DUMMYFUNCTION("GOOGLEFINANCE(A80,""low52"")"),1603.5)</f>
        <v>1603.5</v>
      </c>
      <c r="G80" s="33">
        <f>IFERROR(__xludf.DUMMYFUNCTION("to_date(index(sort(GOOGLEFINANCE(A80, ""low"", today()-52*7, today(), ""DAILY""),2,1),1,1))"),45849.64583333333)</f>
        <v>45849.64583</v>
      </c>
      <c r="H80" s="61">
        <f>IFERROR(__xludf.DUMMYFUNCTION("MIN(QUERY(SORT(GOOGLEFINANCE(A80,""low"",TODAY()-40,TODAY()),1,0),""select Col2 limit 20""))"),2028.7)</f>
        <v>2028.7</v>
      </c>
      <c r="I80" s="61">
        <f t="shared" si="1"/>
        <v>4.916903866</v>
      </c>
      <c r="J80" s="35" t="str">
        <f t="shared" si="2"/>
        <v>No need to fresh start</v>
      </c>
    </row>
    <row r="81">
      <c r="A81" s="7" t="s">
        <v>365</v>
      </c>
      <c r="B81" s="59">
        <f>IFERROR(__xludf.DUMMYFUNCTION("GOOGLEFINANCE(A81,""price"")"),41.26)</f>
        <v>41.26</v>
      </c>
      <c r="C81" s="60">
        <f>IFERROR(__xludf.DUMMYFUNCTION("MAX(QUERY(SORT(GOOGLEFINANCE(A81,""high"",TODAY()-100,TODAY()),1,0),""select Col2 limit 55""))"),43.38)</f>
        <v>43.38</v>
      </c>
      <c r="D81" s="32">
        <f>IFERROR(__xludf.DUMMYFUNCTION("GOOGLEFINANCE(A81,""high52"")"),46.84)</f>
        <v>46.84</v>
      </c>
      <c r="E81" s="33">
        <f>IFERROR(__xludf.DUMMYFUNCTION("to_date(index(sort(GOOGLEFINANCE(A81, ""high"", today()-52*7, today(), ""DAILY""),2,0),2,1))"),46044.64583333333)</f>
        <v>46044.64583</v>
      </c>
      <c r="F81" s="32">
        <f>IFERROR(__xludf.DUMMYFUNCTION("GOOGLEFINANCE(A81,""low52"")"),28.11)</f>
        <v>28.11</v>
      </c>
      <c r="G81" s="33">
        <f>IFERROR(__xludf.DUMMYFUNCTION("to_date(index(sort(GOOGLEFINANCE(A81, ""low"", today()-52*7, today(), ""DAILY""),2,1),1,1))"),45905.64583333333)</f>
        <v>45905.64583</v>
      </c>
      <c r="H81" s="61">
        <f>IFERROR(__xludf.DUMMYFUNCTION("MIN(QUERY(SORT(GOOGLEFINANCE(A81,""low"",TODAY()-40,TODAY()),1,0),""select Col2 limit 20""))"),37.78)</f>
        <v>37.78</v>
      </c>
      <c r="I81" s="61">
        <f t="shared" si="1"/>
        <v>5.138148328</v>
      </c>
      <c r="J81" s="35" t="str">
        <f t="shared" si="2"/>
        <v>No need to fresh start</v>
      </c>
    </row>
    <row r="82">
      <c r="A82" s="7" t="s">
        <v>366</v>
      </c>
      <c r="B82" s="59">
        <f>IFERROR(__xludf.DUMMYFUNCTION("GOOGLEFINANCE(A82,""price"")"),1059.0)</f>
        <v>1059</v>
      </c>
      <c r="C82" s="60">
        <f>IFERROR(__xludf.DUMMYFUNCTION("MAX(QUERY(SORT(GOOGLEFINANCE(A82,""high"",TODAY()-100,TODAY()),1,0),""select Col2 limit 55""))"),1217.5)</f>
        <v>1217.5</v>
      </c>
      <c r="D82" s="32">
        <f>IFERROR(__xludf.DUMMYFUNCTION("GOOGLEFINANCE(A82,""high52"")"),1217.5)</f>
        <v>1217.5</v>
      </c>
      <c r="E82" s="33">
        <f>IFERROR(__xludf.DUMMYFUNCTION("to_date(index(sort(GOOGLEFINANCE(A82, ""high"", today()-52*7, today(), ""DAILY""),2,0),2,1))"),46149.64583333333)</f>
        <v>46149.64583</v>
      </c>
      <c r="F82" s="32">
        <f>IFERROR(__xludf.DUMMYFUNCTION("GOOGLEFINANCE(A82,""low52"")"),779.5)</f>
        <v>779.5</v>
      </c>
      <c r="G82" s="33">
        <f>IFERROR(__xludf.DUMMYFUNCTION("to_date(index(sort(GOOGLEFINANCE(A82, ""low"", today()-52*7, today(), ""DAILY""),2,1),1,1))"),45828.64583333333)</f>
        <v>45828.64583</v>
      </c>
      <c r="H82" s="61">
        <f>IFERROR(__xludf.DUMMYFUNCTION("MIN(QUERY(SORT(GOOGLEFINANCE(A82,""low"",TODAY()-40,TODAY()),1,0),""select Col2 limit 20""))"),1044.0)</f>
        <v>1044</v>
      </c>
      <c r="I82" s="61">
        <f t="shared" si="1"/>
        <v>14.96694995</v>
      </c>
      <c r="J82" s="35" t="str">
        <f t="shared" si="2"/>
        <v>No need to fresh start</v>
      </c>
    </row>
    <row r="83">
      <c r="A83" s="7" t="s">
        <v>367</v>
      </c>
      <c r="B83" s="59">
        <f>IFERROR(__xludf.DUMMYFUNCTION("GOOGLEFINANCE(A83,""price"")"),191.74)</f>
        <v>191.74</v>
      </c>
      <c r="C83" s="60">
        <f>IFERROR(__xludf.DUMMYFUNCTION("MAX(QUERY(SORT(GOOGLEFINANCE(A83,""high"",TODAY()-100,TODAY()),1,0),""select Col2 limit 55""))"),204.9)</f>
        <v>204.9</v>
      </c>
      <c r="D83" s="32">
        <f>IFERROR(__xludf.DUMMYFUNCTION("GOOGLEFINANCE(A83,""high52"")"),214.0)</f>
        <v>214</v>
      </c>
      <c r="E83" s="33">
        <f>IFERROR(__xludf.DUMMYFUNCTION("to_date(index(sort(GOOGLEFINANCE(A83, ""high"", today()-52*7, today(), ""DAILY""),2,0),2,1))"),45960.64583333333)</f>
        <v>45960.64583</v>
      </c>
      <c r="F83" s="32">
        <f>IFERROR(__xludf.DUMMYFUNCTION("GOOGLEFINANCE(A83,""low52"")"),150.51)</f>
        <v>150.51</v>
      </c>
      <c r="G83" s="33">
        <f>IFERROR(__xludf.DUMMYFUNCTION("to_date(index(sort(GOOGLEFINANCE(A83, ""low"", today()-52*7, today(), ""DAILY""),2,1),1,1))"),45812.64583333333)</f>
        <v>45812.64583</v>
      </c>
      <c r="H83" s="61">
        <f>IFERROR(__xludf.DUMMYFUNCTION("MIN(QUERY(SORT(GOOGLEFINANCE(A83,""low"",TODAY()-40,TODAY()),1,0),""select Col2 limit 20""))"),180.73)</f>
        <v>180.73</v>
      </c>
      <c r="I83" s="61">
        <f t="shared" si="1"/>
        <v>6.863460937</v>
      </c>
      <c r="J83" s="35" t="str">
        <f t="shared" si="2"/>
        <v>No need to fresh start</v>
      </c>
    </row>
    <row r="84">
      <c r="A84" s="7" t="s">
        <v>368</v>
      </c>
      <c r="B84" s="59">
        <f>IFERROR(__xludf.DUMMYFUNCTION("GOOGLEFINANCE(A84,""price"")"),1229.7)</f>
        <v>1229.7</v>
      </c>
      <c r="C84" s="60">
        <f>IFERROR(__xludf.DUMMYFUNCTION("MAX(QUERY(SORT(GOOGLEFINANCE(A84,""high"",TODAY()-100,TODAY()),1,0),""select Col2 limit 55""))"),1323.9)</f>
        <v>1323.9</v>
      </c>
      <c r="D84" s="32">
        <f>IFERROR(__xludf.DUMMYFUNCTION("GOOGLEFINANCE(A84,""high52"")"),1638.9)</f>
        <v>1638.9</v>
      </c>
      <c r="E84" s="33">
        <f>IFERROR(__xludf.DUMMYFUNCTION("to_date(index(sort(GOOGLEFINANCE(A84, ""high"", today()-52*7, today(), ""DAILY""),2,0),2,1))"),45911.64583333333)</f>
        <v>45911.64583</v>
      </c>
      <c r="F84" s="32">
        <f>IFERROR(__xludf.DUMMYFUNCTION("GOOGLEFINANCE(A84,""low52"")"),911.65)</f>
        <v>911.65</v>
      </c>
      <c r="G84" s="33">
        <f>IFERROR(__xludf.DUMMYFUNCTION("to_date(index(sort(GOOGLEFINANCE(A84, ""low"", today()-52*7, today(), ""DAILY""),2,1),1,1))"),45812.64583333333)</f>
        <v>45812.64583</v>
      </c>
      <c r="H84" s="61">
        <f>IFERROR(__xludf.DUMMYFUNCTION("MIN(QUERY(SORT(GOOGLEFINANCE(A84,""low"",TODAY()-40,TODAY()),1,0),""select Col2 limit 20""))"),1189.9)</f>
        <v>1189.9</v>
      </c>
      <c r="I84" s="61">
        <f t="shared" si="1"/>
        <v>7.660404977</v>
      </c>
      <c r="J84" s="35" t="str">
        <f t="shared" si="2"/>
        <v>No need to fresh start</v>
      </c>
    </row>
    <row r="85">
      <c r="A85" s="7" t="s">
        <v>91</v>
      </c>
      <c r="B85" s="59">
        <f>IFERROR(__xludf.DUMMYFUNCTION("GOOGLEFINANCE(A85,""price"")"),306.3)</f>
        <v>306.3</v>
      </c>
      <c r="C85" s="60">
        <f>IFERROR(__xludf.DUMMYFUNCTION("MAX(QUERY(SORT(GOOGLEFINANCE(A85,""high"",TODAY()-100,TODAY()),1,0),""select Col2 limit 55""))"),337.4)</f>
        <v>337.4</v>
      </c>
      <c r="D85" s="32">
        <f>IFERROR(__xludf.DUMMYFUNCTION("GOOGLEFINANCE(A85,""high52"")"),405.6)</f>
        <v>405.6</v>
      </c>
      <c r="E85" s="33">
        <f>IFERROR(__xludf.DUMMYFUNCTION("to_date(index(sort(GOOGLEFINANCE(A85, ""high"", today()-52*7, today(), ""DAILY""),2,0),2,1))"),45818.64583333333)</f>
        <v>45818.64583</v>
      </c>
      <c r="F85" s="32">
        <f>IFERROR(__xludf.DUMMYFUNCTION("GOOGLEFINANCE(A85,""low52"")"),242.35)</f>
        <v>242.35</v>
      </c>
      <c r="G85" s="33">
        <f>IFERROR(__xludf.DUMMYFUNCTION("to_date(index(sort(GOOGLEFINANCE(A85, ""low"", today()-52*7, today(), ""DAILY""),2,1),1,1))"),46098.64583333333)</f>
        <v>46098.64583</v>
      </c>
      <c r="H85" s="61">
        <f>IFERROR(__xludf.DUMMYFUNCTION("MIN(QUERY(SORT(GOOGLEFINANCE(A85,""low"",TODAY()-40,TODAY()),1,0),""select Col2 limit 20""))"),293.15)</f>
        <v>293.15</v>
      </c>
      <c r="I85" s="61">
        <f t="shared" si="1"/>
        <v>10.15344434</v>
      </c>
      <c r="J85" s="35" t="str">
        <f t="shared" si="2"/>
        <v>Start GTT Order</v>
      </c>
    </row>
    <row r="86">
      <c r="A86" s="7" t="s">
        <v>369</v>
      </c>
      <c r="B86" s="59">
        <f>IFERROR(__xludf.DUMMYFUNCTION("GOOGLEFINANCE(A86,""price"")"),5398.0)</f>
        <v>5398</v>
      </c>
      <c r="C86" s="60">
        <f>IFERROR(__xludf.DUMMYFUNCTION("MAX(QUERY(SORT(GOOGLEFINANCE(A86,""high"",TODAY()-100,TODAY()),1,0),""select Col2 limit 55""))"),5757.0)</f>
        <v>5757</v>
      </c>
      <c r="D86" s="32">
        <f>IFERROR(__xludf.DUMMYFUNCTION("GOOGLEFINANCE(A86,""high52"")"),7130.0)</f>
        <v>7130</v>
      </c>
      <c r="E86" s="33">
        <f>IFERROR(__xludf.DUMMYFUNCTION("to_date(index(sort(GOOGLEFINANCE(A86, ""high"", today()-52*7, today(), ""DAILY""),2,0),2,1))"),45854.64583333333)</f>
        <v>45854.64583</v>
      </c>
      <c r="F86" s="32">
        <f>IFERROR(__xludf.DUMMYFUNCTION("GOOGLEFINANCE(A86,""low52"")"),4965.5)</f>
        <v>4965.5</v>
      </c>
      <c r="G86" s="33">
        <f>IFERROR(__xludf.DUMMYFUNCTION("to_date(index(sort(GOOGLEFINANCE(A86, ""low"", today()-52*7, today(), ""DAILY""),2,1),1,1))"),46114.64583333333)</f>
        <v>46114.64583</v>
      </c>
      <c r="H86" s="61">
        <f>IFERROR(__xludf.DUMMYFUNCTION("MIN(QUERY(SORT(GOOGLEFINANCE(A86,""low"",TODAY()-40,TODAY()),1,0),""select Col2 limit 20""))"),5226.0)</f>
        <v>5226</v>
      </c>
      <c r="I86" s="61">
        <f t="shared" si="1"/>
        <v>6.650611338</v>
      </c>
      <c r="J86" s="35" t="str">
        <f t="shared" si="2"/>
        <v>No need to fresh start</v>
      </c>
    </row>
    <row r="87">
      <c r="A87" s="7" t="s">
        <v>370</v>
      </c>
      <c r="B87" s="59">
        <f>IFERROR(__xludf.DUMMYFUNCTION("GOOGLEFINANCE(A87,""price"")"),4156.5)</f>
        <v>4156.5</v>
      </c>
      <c r="C87" s="60">
        <f>IFERROR(__xludf.DUMMYFUNCTION("MAX(QUERY(SORT(GOOGLEFINANCE(A87,""high"",TODAY()-100,TODAY()),1,0),""select Col2 limit 55""))"),4467.7)</f>
        <v>4467.7</v>
      </c>
      <c r="D87" s="32">
        <f>IFERROR(__xludf.DUMMYFUNCTION("GOOGLEFINANCE(A87,""high52"")"),4467.7)</f>
        <v>4467.7</v>
      </c>
      <c r="E87" s="33">
        <f>IFERROR(__xludf.DUMMYFUNCTION("to_date(index(sort(GOOGLEFINANCE(A87, ""high"", today()-52*7, today(), ""DAILY""),2,0),2,1))"),46087.64583333333)</f>
        <v>46087.64583</v>
      </c>
      <c r="F87" s="32">
        <f>IFERROR(__xludf.DUMMYFUNCTION("GOOGLEFINANCE(A87,""low52"")"),3518.4)</f>
        <v>3518.4</v>
      </c>
      <c r="G87" s="33">
        <f>IFERROR(__xludf.DUMMYFUNCTION("to_date(index(sort(GOOGLEFINANCE(A87, ""low"", today()-52*7, today(), ""DAILY""),2,1),1,1))"),46044.64583333333)</f>
        <v>46044.64583</v>
      </c>
      <c r="H87" s="61">
        <f>IFERROR(__xludf.DUMMYFUNCTION("MIN(QUERY(SORT(GOOGLEFINANCE(A87,""low"",TODAY()-40,TODAY()),1,0),""select Col2 limit 20""))"),3886.6)</f>
        <v>3886.6</v>
      </c>
      <c r="I87" s="61">
        <f t="shared" si="1"/>
        <v>7.487068447</v>
      </c>
      <c r="J87" s="35" t="str">
        <f t="shared" si="2"/>
        <v>No need to fresh start</v>
      </c>
    </row>
    <row r="88">
      <c r="A88" s="7" t="s">
        <v>87</v>
      </c>
      <c r="B88" s="59">
        <f>IFERROR(__xludf.DUMMYFUNCTION("GOOGLEFINANCE(A88,""price"")"),419.85)</f>
        <v>419.85</v>
      </c>
      <c r="C88" s="60">
        <f>IFERROR(__xludf.DUMMYFUNCTION("MAX(QUERY(SORT(GOOGLEFINANCE(A88,""high"",TODAY()-100,TODAY()),1,0),""select Col2 limit 55""))"),420.95)</f>
        <v>420.95</v>
      </c>
      <c r="D88" s="32">
        <f>IFERROR(__xludf.DUMMYFUNCTION("GOOGLEFINANCE(A88,""high52"")"),423.2)</f>
        <v>423.2</v>
      </c>
      <c r="E88" s="33">
        <f>IFERROR(__xludf.DUMMYFUNCTION("to_date(index(sort(GOOGLEFINANCE(A88, ""high"", today()-52*7, today(), ""DAILY""),2,0),2,1))"),46167.64583333333)</f>
        <v>46167.64583</v>
      </c>
      <c r="F88" s="32">
        <f>IFERROR(__xludf.DUMMYFUNCTION("GOOGLEFINANCE(A88,""low52"")"),205.12)</f>
        <v>205.12</v>
      </c>
      <c r="G88" s="33">
        <f>IFERROR(__xludf.DUMMYFUNCTION("to_date(index(sort(GOOGLEFINANCE(A88, ""low"", today()-52*7, today(), ""DAILY""),2,1),1,1))"),45898.64583333333)</f>
        <v>45898.64583</v>
      </c>
      <c r="H88" s="61">
        <f>IFERROR(__xludf.DUMMYFUNCTION("MIN(QUERY(SORT(GOOGLEFINANCE(A88,""low"",TODAY()-40,TODAY()),1,0),""select Col2 limit 20""))"),342.04)</f>
        <v>342.04</v>
      </c>
      <c r="I88" s="61">
        <f t="shared" si="1"/>
        <v>0.2619983327</v>
      </c>
      <c r="J88" s="35" t="str">
        <f t="shared" si="2"/>
        <v>No need to fresh start</v>
      </c>
    </row>
    <row r="89">
      <c r="A89" s="7" t="s">
        <v>371</v>
      </c>
      <c r="B89" s="59">
        <f>IFERROR(__xludf.DUMMYFUNCTION("GOOGLEFINANCE(A89,""price"")"),0.33)</f>
        <v>0.33</v>
      </c>
      <c r="C89" s="60">
        <f>IFERROR(__xludf.DUMMYFUNCTION("MAX(QUERY(SORT(GOOGLEFINANCE(A89,""high"",TODAY()-100,TODAY()),1,0),""select Col2 limit 55""))"),0.36)</f>
        <v>0.36</v>
      </c>
      <c r="D89" s="32">
        <f>IFERROR(__xludf.DUMMYFUNCTION("GOOGLEFINANCE(A89,""high52"")"),0.55)</f>
        <v>0.55</v>
      </c>
      <c r="E89" s="33">
        <f>IFERROR(__xludf.DUMMYFUNCTION("to_date(index(sort(GOOGLEFINANCE(A89, ""high"", today()-52*7, today(), ""DAILY""),2,0),2,1))"),45831.64583333333)</f>
        <v>45831.64583</v>
      </c>
      <c r="F89" s="32">
        <f>IFERROR(__xludf.DUMMYFUNCTION("GOOGLEFINANCE(A89,""low52"")"),0.3)</f>
        <v>0.3</v>
      </c>
      <c r="G89" s="33">
        <f>IFERROR(__xludf.DUMMYFUNCTION("to_date(index(sort(GOOGLEFINANCE(A89, ""low"", today()-52*7, today(), ""DAILY""),2,1),1,1))"),46118.64583333333)</f>
        <v>46118.64583</v>
      </c>
      <c r="H89" s="61">
        <f>IFERROR(__xludf.DUMMYFUNCTION("MIN(QUERY(SORT(GOOGLEFINANCE(A89,""low"",TODAY()-40,TODAY()),1,0),""select Col2 limit 20""))"),0.31)</f>
        <v>0.31</v>
      </c>
      <c r="I89" s="61">
        <f t="shared" si="1"/>
        <v>9.090909091</v>
      </c>
      <c r="J89" s="35" t="str">
        <f t="shared" si="2"/>
        <v>No need to fresh start</v>
      </c>
    </row>
    <row r="90">
      <c r="A90" s="7" t="s">
        <v>372</v>
      </c>
      <c r="B90" s="59">
        <f>IFERROR(__xludf.DUMMYFUNCTION("GOOGLEFINANCE(A90,""price"")"),258.75)</f>
        <v>258.75</v>
      </c>
      <c r="C90" s="60">
        <f>IFERROR(__xludf.DUMMYFUNCTION("MAX(QUERY(SORT(GOOGLEFINANCE(A90,""high"",TODAY()-100,TODAY()),1,0),""select Col2 limit 55""))"),268.59)</f>
        <v>268.59</v>
      </c>
      <c r="D90" s="32">
        <f>IFERROR(__xludf.DUMMYFUNCTION("GOOGLEFINANCE(A90,""high52"")"),319.1)</f>
        <v>319.1</v>
      </c>
      <c r="E90" s="33">
        <f>IFERROR(__xludf.DUMMYFUNCTION("to_date(index(sort(GOOGLEFINANCE(A90, ""high"", today()-52*7, today(), ""DAILY""),2,0),2,1))"),45840.64583333333)</f>
        <v>45840.64583</v>
      </c>
      <c r="F90" s="32">
        <f>IFERROR(__xludf.DUMMYFUNCTION("GOOGLEFINANCE(A90,""low52"")"),200.0)</f>
        <v>200</v>
      </c>
      <c r="G90" s="33">
        <f>IFERROR(__xludf.DUMMYFUNCTION("to_date(index(sort(GOOGLEFINANCE(A90, ""low"", today()-52*7, today(), ""DAILY""),2,1),1,1))"),46111.64583333333)</f>
        <v>46111.64583</v>
      </c>
      <c r="H90" s="61">
        <f>IFERROR(__xludf.DUMMYFUNCTION("MIN(QUERY(SORT(GOOGLEFINANCE(A90,""low"",TODAY()-40,TODAY()),1,0),""select Col2 limit 20""))"),251.2)</f>
        <v>251.2</v>
      </c>
      <c r="I90" s="61">
        <f t="shared" si="1"/>
        <v>3.802898551</v>
      </c>
      <c r="J90" s="35" t="str">
        <f t="shared" si="2"/>
        <v>No need to fresh start</v>
      </c>
    </row>
    <row r="91">
      <c r="A91" s="7" t="s">
        <v>373</v>
      </c>
      <c r="B91" s="59">
        <f>IFERROR(__xludf.DUMMYFUNCTION("GOOGLEFINANCE(A91,""price"")"),783.9)</f>
        <v>783.9</v>
      </c>
      <c r="C91" s="60">
        <f>IFERROR(__xludf.DUMMYFUNCTION("MAX(QUERY(SORT(GOOGLEFINANCE(A91,""high"",TODAY()-100,TODAY()),1,0),""select Col2 limit 55""))"),820.05)</f>
        <v>820.05</v>
      </c>
      <c r="D91" s="32">
        <f>IFERROR(__xludf.DUMMYFUNCTION("GOOGLEFINANCE(A91,""high52"")"),1082.0)</f>
        <v>1082</v>
      </c>
      <c r="E91" s="33">
        <f>IFERROR(__xludf.DUMMYFUNCTION("to_date(index(sort(GOOGLEFINANCE(A91, ""high"", today()-52*7, today(), ""DAILY""),2,0),2,1))"),45870.64583333333)</f>
        <v>45870.64583</v>
      </c>
      <c r="F91" s="32">
        <f>IFERROR(__xludf.DUMMYFUNCTION("GOOGLEFINANCE(A91,""low52"")"),691.35)</f>
        <v>691.35</v>
      </c>
      <c r="G91" s="33">
        <f>IFERROR(__xludf.DUMMYFUNCTION("to_date(index(sort(GOOGLEFINANCE(A91, ""low"", today()-52*7, today(), ""DAILY""),2,1),1,1))"),46111.64583333333)</f>
        <v>46111.64583</v>
      </c>
      <c r="H91" s="61">
        <f>IFERROR(__xludf.DUMMYFUNCTION("MIN(QUERY(SORT(GOOGLEFINANCE(A91,""low"",TODAY()-40,TODAY()),1,0),""select Col2 limit 20""))"),736.0)</f>
        <v>736</v>
      </c>
      <c r="I91" s="61">
        <f t="shared" si="1"/>
        <v>4.611557597</v>
      </c>
      <c r="J91" s="35" t="str">
        <f t="shared" si="2"/>
        <v>No need to fresh start</v>
      </c>
    </row>
    <row r="92">
      <c r="A92" s="7" t="s">
        <v>374</v>
      </c>
      <c r="B92" s="59">
        <f>IFERROR(__xludf.DUMMYFUNCTION("GOOGLEFINANCE(A92,""price"")"),1172.8)</f>
        <v>1172.8</v>
      </c>
      <c r="C92" s="60">
        <f>IFERROR(__xludf.DUMMYFUNCTION("MAX(QUERY(SORT(GOOGLEFINANCE(A92,""high"",TODAY()-100,TODAY()),1,0),""select Col2 limit 55""))"),1248.0)</f>
        <v>1248</v>
      </c>
      <c r="D92" s="32">
        <f>IFERROR(__xludf.DUMMYFUNCTION("GOOGLEFINANCE(A92,""high52"")"),1975.0)</f>
        <v>1975</v>
      </c>
      <c r="E92" s="33">
        <f>IFERROR(__xludf.DUMMYFUNCTION("to_date(index(sort(GOOGLEFINANCE(A92, ""high"", today()-52*7, today(), ""DAILY""),2,0),2,1))"),45870.64583333333)</f>
        <v>45870.64583</v>
      </c>
      <c r="F92" s="32">
        <f>IFERROR(__xludf.DUMMYFUNCTION("GOOGLEFINANCE(A92,""low52"")"),889.6)</f>
        <v>889.6</v>
      </c>
      <c r="G92" s="33">
        <f>IFERROR(__xludf.DUMMYFUNCTION("to_date(index(sort(GOOGLEFINANCE(A92, ""low"", today()-52*7, today(), ""DAILY""),2,1),1,1))"),46111.64583333333)</f>
        <v>46111.64583</v>
      </c>
      <c r="H92" s="61">
        <f>IFERROR(__xludf.DUMMYFUNCTION("MIN(QUERY(SORT(GOOGLEFINANCE(A92,""low"",TODAY()-40,TODAY()),1,0),""select Col2 limit 20""))"),1030.85)</f>
        <v>1030.85</v>
      </c>
      <c r="I92" s="61">
        <f t="shared" si="1"/>
        <v>6.412005457</v>
      </c>
      <c r="J92" s="35" t="str">
        <f t="shared" si="2"/>
        <v>No need to fresh start</v>
      </c>
    </row>
    <row r="93">
      <c r="A93" s="7" t="s">
        <v>246</v>
      </c>
      <c r="B93" s="59" t="str">
        <f>IFERROR(__xludf.DUMMYFUNCTION("GOOGLEFINANCE(A93,""price"")"),"#N/A")</f>
        <v>#N/A</v>
      </c>
      <c r="C93" s="60" t="str">
        <f>IFERROR(__xludf.DUMMYFUNCTION("MAX(QUERY(SORT(GOOGLEFINANCE(A93,""high"",TODAY()-100,TODAY()),1,0),""select Col2 limit 55""))"),"#N/A")</f>
        <v>#N/A</v>
      </c>
      <c r="D93" s="32" t="str">
        <f>IFERROR(__xludf.DUMMYFUNCTION("GOOGLEFINANCE(A93,""high52"")"),"#N/A")</f>
        <v>#N/A</v>
      </c>
      <c r="E93" s="33" t="str">
        <f>IFERROR(__xludf.DUMMYFUNCTION("to_date(index(sort(GOOGLEFINANCE(A93, ""high"", today()-52*7, today(), ""DAILY""),2,0),2,1))"),"#N/A")</f>
        <v>#N/A</v>
      </c>
      <c r="F93" s="32" t="str">
        <f>IFERROR(__xludf.DUMMYFUNCTION("GOOGLEFINANCE(A93,""low52"")"),"#N/A")</f>
        <v>#N/A</v>
      </c>
      <c r="G93" s="33" t="str">
        <f>IFERROR(__xludf.DUMMYFUNCTION("to_date(index(sort(GOOGLEFINANCE(A93, ""low"", today()-52*7, today(), ""DAILY""),2,1),1,1))"),"#N/A")</f>
        <v>#N/A</v>
      </c>
      <c r="H93" s="61" t="str">
        <f>IFERROR(__xludf.DUMMYFUNCTION("MIN(QUERY(SORT(GOOGLEFINANCE(A93,""low"",TODAY()-40,TODAY()),1,0),""select Col2 limit 20""))"),"#N/A")</f>
        <v>#N/A</v>
      </c>
      <c r="I93" s="61" t="str">
        <f t="shared" si="1"/>
        <v>#N/A</v>
      </c>
      <c r="J93" s="35" t="str">
        <f t="shared" si="2"/>
        <v>#N/A</v>
      </c>
    </row>
    <row r="94">
      <c r="A94" s="7" t="s">
        <v>375</v>
      </c>
      <c r="B94" s="59">
        <f>IFERROR(__xludf.DUMMYFUNCTION("GOOGLEFINANCE(A94,""price"")"),908.2)</f>
        <v>908.2</v>
      </c>
      <c r="C94" s="60">
        <f>IFERROR(__xludf.DUMMYFUNCTION("MAX(QUERY(SORT(GOOGLEFINANCE(A94,""high"",TODAY()-100,TODAY()),1,0),""select Col2 limit 55""))"),1011.9)</f>
        <v>1011.9</v>
      </c>
      <c r="D94" s="32">
        <f>IFERROR(__xludf.DUMMYFUNCTION("GOOGLEFINANCE(A94,""high52"")"),1398.0)</f>
        <v>1398</v>
      </c>
      <c r="E94" s="33">
        <f>IFERROR(__xludf.DUMMYFUNCTION("to_date(index(sort(GOOGLEFINANCE(A94, ""high"", today()-52*7, today(), ""DAILY""),2,0),2,1))"),45805.64583333333)</f>
        <v>45805.64583</v>
      </c>
      <c r="F94" s="32">
        <f>IFERROR(__xludf.DUMMYFUNCTION("GOOGLEFINANCE(A94,""low52"")"),740.0)</f>
        <v>740</v>
      </c>
      <c r="G94" s="33">
        <f>IFERROR(__xludf.DUMMYFUNCTION("to_date(index(sort(GOOGLEFINANCE(A94, ""low"", today()-52*7, today(), ""DAILY""),2,1),1,1))"),46111.64583333333)</f>
        <v>46111.64583</v>
      </c>
      <c r="H94" s="61">
        <f>IFERROR(__xludf.DUMMYFUNCTION("MIN(QUERY(SORT(GOOGLEFINANCE(A94,""low"",TODAY()-40,TODAY()),1,0),""select Col2 limit 20""))"),870.0)</f>
        <v>870</v>
      </c>
      <c r="I94" s="61">
        <f t="shared" si="1"/>
        <v>11.41818983</v>
      </c>
      <c r="J94" s="35" t="str">
        <f t="shared" si="2"/>
        <v>Start GTT Order</v>
      </c>
    </row>
    <row r="95">
      <c r="A95" s="7" t="s">
        <v>376</v>
      </c>
      <c r="B95" s="59">
        <f>IFERROR(__xludf.DUMMYFUNCTION("GOOGLEFINANCE(A95,""price"")"),4344.0)</f>
        <v>4344</v>
      </c>
      <c r="C95" s="60">
        <f>IFERROR(__xludf.DUMMYFUNCTION("MAX(QUERY(SORT(GOOGLEFINANCE(A95,""high"",TODAY()-100,TODAY()),1,0),""select Col2 limit 55""))"),4753.6)</f>
        <v>4753.6</v>
      </c>
      <c r="D95" s="32">
        <f>IFERROR(__xludf.DUMMYFUNCTION("GOOGLEFINANCE(A95,""high52"")"),6735.0)</f>
        <v>6735</v>
      </c>
      <c r="E95" s="33">
        <f>IFERROR(__xludf.DUMMYFUNCTION("to_date(index(sort(GOOGLEFINANCE(A95, ""high"", today()-52*7, today(), ""DAILY""),2,0),2,1))"),45818.64583333333)</f>
        <v>45818.64583</v>
      </c>
      <c r="F95" s="32">
        <f>IFERROR(__xludf.DUMMYFUNCTION("GOOGLEFINANCE(A95,""low52"")"),3945.0)</f>
        <v>3945</v>
      </c>
      <c r="G95" s="33">
        <f>IFERROR(__xludf.DUMMYFUNCTION("to_date(index(sort(GOOGLEFINANCE(A95, ""low"", today()-52*7, today(), ""DAILY""),2,1),1,1))"),46156.64583333333)</f>
        <v>46156.64583</v>
      </c>
      <c r="H95" s="61">
        <f>IFERROR(__xludf.DUMMYFUNCTION("MIN(QUERY(SORT(GOOGLEFINANCE(A95,""low"",TODAY()-40,TODAY()),1,0),""select Col2 limit 20""))"),3945.0)</f>
        <v>3945</v>
      </c>
      <c r="I95" s="61">
        <f t="shared" si="1"/>
        <v>9.429097606</v>
      </c>
      <c r="J95" s="35" t="str">
        <f t="shared" si="2"/>
        <v>No need to fresh start</v>
      </c>
    </row>
    <row r="96">
      <c r="A96" s="7" t="s">
        <v>377</v>
      </c>
      <c r="B96" s="59">
        <f>IFERROR(__xludf.DUMMYFUNCTION("GOOGLEFINANCE(A96,""price"")"),834.7)</f>
        <v>834.7</v>
      </c>
      <c r="C96" s="60">
        <f>IFERROR(__xludf.DUMMYFUNCTION("MAX(QUERY(SORT(GOOGLEFINANCE(A96,""high"",TODAY()-100,TODAY()),1,0),""select Col2 limit 55""))"),943.9)</f>
        <v>943.9</v>
      </c>
      <c r="D96" s="32">
        <f>IFERROR(__xludf.DUMMYFUNCTION("GOOGLEFINANCE(A96,""high52"")"),971.5)</f>
        <v>971.5</v>
      </c>
      <c r="E96" s="33">
        <f>IFERROR(__xludf.DUMMYFUNCTION("to_date(index(sort(GOOGLEFINANCE(A96, ""high"", today()-52*7, today(), ""DAILY""),2,0),2,1))"),46017.64583333333)</f>
        <v>46017.64583</v>
      </c>
      <c r="F96" s="32">
        <f>IFERROR(__xludf.DUMMYFUNCTION("GOOGLEFINANCE(A96,""low52"")"),708.6)</f>
        <v>708.6</v>
      </c>
      <c r="G96" s="33">
        <f>IFERROR(__xludf.DUMMYFUNCTION("to_date(index(sort(GOOGLEFINANCE(A96, ""low"", today()-52*7, today(), ""DAILY""),2,1),1,1))"),45898.64583333333)</f>
        <v>45898.64583</v>
      </c>
      <c r="H96" s="61">
        <f>IFERROR(__xludf.DUMMYFUNCTION("MIN(QUERY(SORT(GOOGLEFINANCE(A96,""low"",TODAY()-40,TODAY()),1,0),""select Col2 limit 20""))"),807.6)</f>
        <v>807.6</v>
      </c>
      <c r="I96" s="61">
        <f t="shared" si="1"/>
        <v>13.08254463</v>
      </c>
      <c r="J96" s="35" t="str">
        <f t="shared" si="2"/>
        <v>No need to fresh start</v>
      </c>
    </row>
    <row r="97">
      <c r="A97" s="7" t="s">
        <v>378</v>
      </c>
      <c r="B97" s="59">
        <f>IFERROR(__xludf.DUMMYFUNCTION("GOOGLEFINANCE(A97,""price"")"),1673.2)</f>
        <v>1673.2</v>
      </c>
      <c r="C97" s="60">
        <f>IFERROR(__xludf.DUMMYFUNCTION("MAX(QUERY(SORT(GOOGLEFINANCE(A97,""high"",TODAY()-100,TODAY()),1,0),""select Col2 limit 55""))"),1838.0)</f>
        <v>1838</v>
      </c>
      <c r="D97" s="32">
        <f>IFERROR(__xludf.DUMMYFUNCTION("GOOGLEFINANCE(A97,""high52"")"),1964.0)</f>
        <v>1964</v>
      </c>
      <c r="E97" s="33">
        <f>IFERROR(__xludf.DUMMYFUNCTION("to_date(index(sort(GOOGLEFINANCE(A97, ""high"", today()-52*7, today(), ""DAILY""),2,0),2,1))"),45819.64583333333)</f>
        <v>45819.64583</v>
      </c>
      <c r="F97" s="32">
        <f>IFERROR(__xludf.DUMMYFUNCTION("GOOGLEFINANCE(A97,""low52"")"),1392.7)</f>
        <v>1392.7</v>
      </c>
      <c r="G97" s="33">
        <f>IFERROR(__xludf.DUMMYFUNCTION("to_date(index(sort(GOOGLEFINANCE(A97, ""low"", today()-52*7, today(), ""DAILY""),2,1),1,1))"),46104.64583333333)</f>
        <v>46104.64583</v>
      </c>
      <c r="H97" s="61">
        <f>IFERROR(__xludf.DUMMYFUNCTION("MIN(QUERY(SORT(GOOGLEFINANCE(A97,""low"",TODAY()-40,TODAY()),1,0),""select Col2 limit 20""))"),1565.0)</f>
        <v>1565</v>
      </c>
      <c r="I97" s="61">
        <f t="shared" si="1"/>
        <v>9.84939039</v>
      </c>
      <c r="J97" s="35" t="str">
        <f t="shared" si="2"/>
        <v>No need to fresh start</v>
      </c>
    </row>
    <row r="98">
      <c r="A98" s="7" t="s">
        <v>211</v>
      </c>
      <c r="B98" s="59">
        <f>IFERROR(__xludf.DUMMYFUNCTION("GOOGLEFINANCE(A98,""price"")"),1799.0)</f>
        <v>1799</v>
      </c>
      <c r="C98" s="60">
        <f>IFERROR(__xludf.DUMMYFUNCTION("MAX(QUERY(SORT(GOOGLEFINANCE(A98,""high"",TODAY()-100,TODAY()),1,0),""select Col2 limit 55""))"),1951.9)</f>
        <v>1951.9</v>
      </c>
      <c r="D98" s="32">
        <f>IFERROR(__xludf.DUMMYFUNCTION("GOOGLEFINANCE(A98,""high52"")"),2506.5)</f>
        <v>2506.5</v>
      </c>
      <c r="E98" s="33">
        <f>IFERROR(__xludf.DUMMYFUNCTION("to_date(index(sort(GOOGLEFINANCE(A98, ""high"", today()-52*7, today(), ""DAILY""),2,0),2,1))"),45818.64583333333)</f>
        <v>45818.64583</v>
      </c>
      <c r="F98" s="32">
        <f>IFERROR(__xludf.DUMMYFUNCTION("GOOGLEFINANCE(A98,""low52"")"),1434.0)</f>
        <v>1434</v>
      </c>
      <c r="G98" s="33">
        <f>IFERROR(__xludf.DUMMYFUNCTION("to_date(index(sort(GOOGLEFINANCE(A98, ""low"", today()-52*7, today(), ""DAILY""),2,1),1,1))"),46114.64583333333)</f>
        <v>46114.64583</v>
      </c>
      <c r="H98" s="61">
        <f>IFERROR(__xludf.DUMMYFUNCTION("MIN(QUERY(SORT(GOOGLEFINANCE(A98,""low"",TODAY()-40,TODAY()),1,0),""select Col2 limit 20""))"),1644.3)</f>
        <v>1644.3</v>
      </c>
      <c r="I98" s="61">
        <f t="shared" si="1"/>
        <v>8.499166203</v>
      </c>
      <c r="J98" s="35" t="str">
        <f t="shared" si="2"/>
        <v>No need to fresh start</v>
      </c>
    </row>
    <row r="99">
      <c r="A99" s="7" t="s">
        <v>379</v>
      </c>
      <c r="B99" s="59">
        <f>IFERROR(__xludf.DUMMYFUNCTION("GOOGLEFINANCE(A99,""price"")"),898.4)</f>
        <v>898.4</v>
      </c>
      <c r="C99" s="60">
        <f>IFERROR(__xludf.DUMMYFUNCTION("MAX(QUERY(SORT(GOOGLEFINANCE(A99,""high"",TODAY()-100,TODAY()),1,0),""select Col2 limit 55""))"),902.5)</f>
        <v>902.5</v>
      </c>
      <c r="D99" s="32">
        <f>IFERROR(__xludf.DUMMYFUNCTION("GOOGLEFINANCE(A99,""high52"")"),1097.1)</f>
        <v>1097.1</v>
      </c>
      <c r="E99" s="33">
        <f>IFERROR(__xludf.DUMMYFUNCTION("to_date(index(sort(GOOGLEFINANCE(A99, ""high"", today()-52*7, today(), ""DAILY""),2,0),2,1))"),45958.64583333333)</f>
        <v>45958.64583</v>
      </c>
      <c r="F99" s="32">
        <f>IFERROR(__xludf.DUMMYFUNCTION("GOOGLEFINANCE(A99,""low52"")"),614.9)</f>
        <v>614.9</v>
      </c>
      <c r="G99" s="33">
        <f>IFERROR(__xludf.DUMMYFUNCTION("to_date(index(sort(GOOGLEFINANCE(A99, ""low"", today()-52*7, today(), ""DAILY""),2,1),1,1))"),46104.64583333333)</f>
        <v>46104.64583</v>
      </c>
      <c r="H99" s="61">
        <f>IFERROR(__xludf.DUMMYFUNCTION("MIN(QUERY(SORT(GOOGLEFINANCE(A99,""low"",TODAY()-40,TODAY()),1,0),""select Col2 limit 20""))"),770.05)</f>
        <v>770.05</v>
      </c>
      <c r="I99" s="61">
        <f t="shared" si="1"/>
        <v>0.4563668744</v>
      </c>
      <c r="J99" s="35" t="str">
        <f t="shared" si="2"/>
        <v>No need to fresh start</v>
      </c>
    </row>
    <row r="100">
      <c r="A100" s="7" t="s">
        <v>93</v>
      </c>
      <c r="B100" s="59">
        <f>IFERROR(__xludf.DUMMYFUNCTION("GOOGLEFINANCE(A100,""price"")"),79.8)</f>
        <v>79.8</v>
      </c>
      <c r="C100" s="60">
        <f>IFERROR(__xludf.DUMMYFUNCTION("MAX(QUERY(SORT(GOOGLEFINANCE(A100,""high"",TODAY()-100,TODAY()),1,0),""select Col2 limit 55""))"),85.9)</f>
        <v>85.9</v>
      </c>
      <c r="D100" s="32">
        <f>IFERROR(__xludf.DUMMYFUNCTION("GOOGLEFINANCE(A100,""high52"")"),85.9)</f>
        <v>85.9</v>
      </c>
      <c r="E100" s="33">
        <f>IFERROR(__xludf.DUMMYFUNCTION("to_date(index(sort(GOOGLEFINANCE(A100, ""high"", today()-52*7, today(), ""DAILY""),2,0),2,1))"),46149.64583333333)</f>
        <v>46149.64583</v>
      </c>
      <c r="F100" s="32">
        <f>IFERROR(__xludf.DUMMYFUNCTION("GOOGLEFINANCE(A100,""low52"")"),50.55)</f>
        <v>50.55</v>
      </c>
      <c r="G100" s="33">
        <f>IFERROR(__xludf.DUMMYFUNCTION("to_date(index(sort(GOOGLEFINANCE(A100, ""low"", today()-52*7, today(), ""DAILY""),2,1),1,1))"),45807.64583333333)</f>
        <v>45807.64583</v>
      </c>
      <c r="H100" s="61">
        <f>IFERROR(__xludf.DUMMYFUNCTION("MIN(QUERY(SORT(GOOGLEFINANCE(A100,""low"",TODAY()-40,TODAY()),1,0),""select Col2 limit 20""))"),76.2)</f>
        <v>76.2</v>
      </c>
      <c r="I100" s="61">
        <f t="shared" si="1"/>
        <v>7.644110276</v>
      </c>
      <c r="J100" s="35" t="str">
        <f t="shared" si="2"/>
        <v>No need to fresh start</v>
      </c>
    </row>
    <row r="101">
      <c r="A101" s="7" t="s">
        <v>68</v>
      </c>
      <c r="B101" s="59">
        <f>IFERROR(__xludf.DUMMYFUNCTION("GOOGLEFINANCE(A101,""price"")"),75.83)</f>
        <v>75.83</v>
      </c>
      <c r="C101" s="60">
        <f>IFERROR(__xludf.DUMMYFUNCTION("MAX(QUERY(SORT(GOOGLEFINANCE(A101,""high"",TODAY()-100,TODAY()),1,0),""select Col2 limit 55""))"),83.0)</f>
        <v>83</v>
      </c>
      <c r="D101" s="32">
        <f>IFERROR(__xludf.DUMMYFUNCTION("GOOGLEFINANCE(A101,""high52"")"),105.85)</f>
        <v>105.85</v>
      </c>
      <c r="E101" s="33">
        <f>IFERROR(__xludf.DUMMYFUNCTION("to_date(index(sort(GOOGLEFINANCE(A101, ""high"", today()-52*7, today(), ""DAILY""),2,0),2,1))"),45819.64583333333)</f>
        <v>45819.64583</v>
      </c>
      <c r="F101" s="32">
        <f>IFERROR(__xludf.DUMMYFUNCTION("GOOGLEFINANCE(A101,""low52"")"),63.02)</f>
        <v>63.02</v>
      </c>
      <c r="G101" s="33">
        <f>IFERROR(__xludf.DUMMYFUNCTION("to_date(index(sort(GOOGLEFINANCE(A101, ""low"", today()-52*7, today(), ""DAILY""),2,1),1,1))"),46111.64583333333)</f>
        <v>46111.64583</v>
      </c>
      <c r="H101" s="61">
        <f>IFERROR(__xludf.DUMMYFUNCTION("MIN(QUERY(SORT(GOOGLEFINANCE(A101,""low"",TODAY()-40,TODAY()),1,0),""select Col2 limit 20""))"),70.5)</f>
        <v>70.5</v>
      </c>
      <c r="I101" s="61">
        <f t="shared" si="1"/>
        <v>9.455360675</v>
      </c>
      <c r="J101" s="35" t="str">
        <f t="shared" si="2"/>
        <v>No need to fresh start</v>
      </c>
    </row>
    <row r="102">
      <c r="A102" s="7" t="s">
        <v>84</v>
      </c>
      <c r="B102" s="59">
        <f>IFERROR(__xludf.DUMMYFUNCTION("GOOGLEFINANCE(A102,""price"")"),143.11)</f>
        <v>143.11</v>
      </c>
      <c r="C102" s="60">
        <f>IFERROR(__xludf.DUMMYFUNCTION("MAX(QUERY(SORT(GOOGLEFINANCE(A102,""high"",TODAY()-100,TODAY()),1,0),""select Col2 limit 55""))"),145.0)</f>
        <v>145</v>
      </c>
      <c r="D102" s="32">
        <f>IFERROR(__xludf.DUMMYFUNCTION("GOOGLEFINANCE(A102,""high52"")"),145.0)</f>
        <v>145</v>
      </c>
      <c r="E102" s="33">
        <f>IFERROR(__xludf.DUMMYFUNCTION("to_date(index(sort(GOOGLEFINANCE(A102, ""high"", today()-52*7, today(), ""DAILY""),2,0),2,1))"),46149.64583333333)</f>
        <v>46149.64583</v>
      </c>
      <c r="F102" s="32">
        <f>IFERROR(__xludf.DUMMYFUNCTION("GOOGLEFINANCE(A102,""low52"")"),97.35)</f>
        <v>97.35</v>
      </c>
      <c r="G102" s="33">
        <f>IFERROR(__xludf.DUMMYFUNCTION("to_date(index(sort(GOOGLEFINANCE(A102, ""low"", today()-52*7, today(), ""DAILY""),2,1),1,1))"),46021.64583333333)</f>
        <v>46021.64583</v>
      </c>
      <c r="H102" s="61">
        <f>IFERROR(__xludf.DUMMYFUNCTION("MIN(QUERY(SORT(GOOGLEFINANCE(A102,""low"",TODAY()-40,TODAY()),1,0),""select Col2 limit 20""))"),125.37)</f>
        <v>125.37</v>
      </c>
      <c r="I102" s="61">
        <f t="shared" si="1"/>
        <v>1.320662428</v>
      </c>
      <c r="J102" s="35" t="str">
        <f t="shared" si="2"/>
        <v>No need to fresh start</v>
      </c>
    </row>
    <row r="103">
      <c r="A103" s="7" t="s">
        <v>380</v>
      </c>
      <c r="B103" s="59">
        <f>IFERROR(__xludf.DUMMYFUNCTION("GOOGLEFINANCE(A103,""price"")"),207.8)</f>
        <v>207.8</v>
      </c>
      <c r="C103" s="60">
        <f>IFERROR(__xludf.DUMMYFUNCTION("MAX(QUERY(SORT(GOOGLEFINANCE(A103,""high"",TODAY()-100,TODAY()),1,0),""select Col2 limit 55""))"),277.8)</f>
        <v>277.8</v>
      </c>
      <c r="D103" s="32">
        <f>IFERROR(__xludf.DUMMYFUNCTION("GOOGLEFINANCE(A103,""high52"")"),364.8)</f>
        <v>364.8</v>
      </c>
      <c r="E103" s="33">
        <f>IFERROR(__xludf.DUMMYFUNCTION("to_date(index(sort(GOOGLEFINANCE(A103, ""high"", today()-52*7, today(), ""DAILY""),2,0),2,1))"),45845.64583333333)</f>
        <v>45845.64583</v>
      </c>
      <c r="F103" s="32">
        <f>IFERROR(__xludf.DUMMYFUNCTION("GOOGLEFINANCE(A103,""low52"")"),196.15)</f>
        <v>196.15</v>
      </c>
      <c r="G103" s="33">
        <f>IFERROR(__xludf.DUMMYFUNCTION("to_date(index(sort(GOOGLEFINANCE(A103, ""low"", today()-52*7, today(), ""DAILY""),2,1),1,1))"),46111.64583333333)</f>
        <v>46111.64583</v>
      </c>
      <c r="H103" s="61">
        <f>IFERROR(__xludf.DUMMYFUNCTION("MIN(QUERY(SORT(GOOGLEFINANCE(A103,""low"",TODAY()-40,TODAY()),1,0),""select Col2 limit 20""))"),202.25)</f>
        <v>202.25</v>
      </c>
      <c r="I103" s="61">
        <f t="shared" si="1"/>
        <v>33.68623677</v>
      </c>
      <c r="J103" s="35" t="str">
        <f t="shared" si="2"/>
        <v>No need to fresh start</v>
      </c>
    </row>
    <row r="104">
      <c r="A104" s="7" t="s">
        <v>72</v>
      </c>
      <c r="B104" s="59">
        <f>IFERROR(__xludf.DUMMYFUNCTION("GOOGLEFINANCE(A104,""price"")"),184.01)</f>
        <v>184.01</v>
      </c>
      <c r="C104" s="60">
        <f>IFERROR(__xludf.DUMMYFUNCTION("MAX(QUERY(SORT(GOOGLEFINANCE(A104,""high"",TODAY()-100,TODAY()),1,0),""select Col2 limit 55""))"),199.5)</f>
        <v>199.5</v>
      </c>
      <c r="D104" s="32">
        <f>IFERROR(__xludf.DUMMYFUNCTION("GOOGLEFINANCE(A104,""high52"")"),238.2)</f>
        <v>238.2</v>
      </c>
      <c r="E104" s="33">
        <f>IFERROR(__xludf.DUMMYFUNCTION("to_date(index(sort(GOOGLEFINANCE(A104, ""high"", today()-52*7, today(), ""DAILY""),2,0),2,1))"),45915.64583333333)</f>
        <v>45915.64583</v>
      </c>
      <c r="F104" s="32">
        <f>IFERROR(__xludf.DUMMYFUNCTION("GOOGLEFINANCE(A104,""low52"")"),148.36)</f>
        <v>148.36</v>
      </c>
      <c r="G104" s="33">
        <f>IFERROR(__xludf.DUMMYFUNCTION("to_date(index(sort(GOOGLEFINANCE(A104, ""low"", today()-52*7, today(), ""DAILY""),2,1),1,1))"),46111.64583333333)</f>
        <v>46111.64583</v>
      </c>
      <c r="H104" s="61">
        <f>IFERROR(__xludf.DUMMYFUNCTION("MIN(QUERY(SORT(GOOGLEFINANCE(A104,""low"",TODAY()-40,TODAY()),1,0),""select Col2 limit 20""))"),180.0)</f>
        <v>180</v>
      </c>
      <c r="I104" s="61">
        <f t="shared" si="1"/>
        <v>8.41802076</v>
      </c>
      <c r="J104" s="35" t="str">
        <f t="shared" si="2"/>
        <v>No need to fresh start</v>
      </c>
    </row>
    <row r="105">
      <c r="A105" s="7" t="s">
        <v>381</v>
      </c>
      <c r="B105" s="59" t="str">
        <f>IFERROR(__xludf.DUMMYFUNCTION("GOOGLEFINANCE(A105,""price"")"),"#N/A")</f>
        <v>#N/A</v>
      </c>
      <c r="C105" s="60" t="str">
        <f>IFERROR(__xludf.DUMMYFUNCTION("MAX(QUERY(SORT(GOOGLEFINANCE(A105,""high"",TODAY()-100,TODAY()),1,0),""select Col2 limit 55""))"),"#N/A")</f>
        <v>#N/A</v>
      </c>
      <c r="D105" s="32" t="str">
        <f>IFERROR(__xludf.DUMMYFUNCTION("GOOGLEFINANCE(A105,""high52"")"),"#N/A")</f>
        <v>#N/A</v>
      </c>
      <c r="E105" s="33" t="str">
        <f>IFERROR(__xludf.DUMMYFUNCTION("to_date(index(sort(GOOGLEFINANCE(A105, ""high"", today()-52*7, today(), ""DAILY""),2,0),2,1))"),"#N/A")</f>
        <v>#N/A</v>
      </c>
      <c r="F105" s="32" t="str">
        <f>IFERROR(__xludf.DUMMYFUNCTION("GOOGLEFINANCE(A105,""low52"")"),"#N/A")</f>
        <v>#N/A</v>
      </c>
      <c r="G105" s="33" t="str">
        <f>IFERROR(__xludf.DUMMYFUNCTION("to_date(index(sort(GOOGLEFINANCE(A105, ""low"", today()-52*7, today(), ""DAILY""),2,1),1,1))"),"#N/A")</f>
        <v>#N/A</v>
      </c>
      <c r="H105" s="61" t="str">
        <f>IFERROR(__xludf.DUMMYFUNCTION("MIN(QUERY(SORT(GOOGLEFINANCE(A105,""low"",TODAY()-40,TODAY()),1,0),""select Col2 limit 20""))"),"#N/A")</f>
        <v>#N/A</v>
      </c>
      <c r="I105" s="61" t="str">
        <f t="shared" si="1"/>
        <v>#N/A</v>
      </c>
      <c r="J105" s="35" t="str">
        <f t="shared" si="2"/>
        <v>#N/A</v>
      </c>
    </row>
    <row r="106">
      <c r="A106" s="7" t="s">
        <v>382</v>
      </c>
      <c r="B106" s="59">
        <f>IFERROR(__xludf.DUMMYFUNCTION("GOOGLEFINANCE(A106,""price"")"),36160.0)</f>
        <v>36160</v>
      </c>
      <c r="C106" s="60">
        <f>IFERROR(__xludf.DUMMYFUNCTION("MAX(QUERY(SORT(GOOGLEFINANCE(A106,""high"",TODAY()-100,TODAY()),1,0),""select Col2 limit 55""))"),36550.0)</f>
        <v>36550</v>
      </c>
      <c r="D106" s="32">
        <f>IFERROR(__xludf.DUMMYFUNCTION("GOOGLEFINANCE(A106,""high52"")"),41450.0)</f>
        <v>41450</v>
      </c>
      <c r="E106" s="33">
        <f>IFERROR(__xludf.DUMMYFUNCTION("to_date(index(sort(GOOGLEFINANCE(A106, ""high"", today()-52*7, today(), ""DAILY""),2,0),2,1))"),45841.64583333333)</f>
        <v>45841.64583</v>
      </c>
      <c r="F106" s="32">
        <f>IFERROR(__xludf.DUMMYFUNCTION("GOOGLEFINANCE(A106,""low52"")"),26220.0)</f>
        <v>26220</v>
      </c>
      <c r="G106" s="33">
        <f>IFERROR(__xludf.DUMMYFUNCTION("to_date(index(sort(GOOGLEFINANCE(A106, ""low"", today()-52*7, today(), ""DAILY""),2,1),1,1))"),46111.64583333333)</f>
        <v>46111.64583</v>
      </c>
      <c r="H106" s="61">
        <f>IFERROR(__xludf.DUMMYFUNCTION("MIN(QUERY(SORT(GOOGLEFINANCE(A106,""low"",TODAY()-40,TODAY()),1,0),""select Col2 limit 20""))"),28000.0)</f>
        <v>28000</v>
      </c>
      <c r="I106" s="61">
        <f t="shared" si="1"/>
        <v>1.078539823</v>
      </c>
      <c r="J106" s="35" t="str">
        <f t="shared" si="2"/>
        <v>No need to fresh start</v>
      </c>
    </row>
    <row r="107">
      <c r="A107" s="7" t="s">
        <v>94</v>
      </c>
      <c r="B107" s="59">
        <f>IFERROR(__xludf.DUMMYFUNCTION("GOOGLEFINANCE(A107,""price"")"),205.9)</f>
        <v>205.9</v>
      </c>
      <c r="C107" s="60">
        <f>IFERROR(__xludf.DUMMYFUNCTION("MAX(QUERY(SORT(GOOGLEFINANCE(A107,""high"",TODAY()-100,TODAY()),1,0),""select Col2 limit 55""))"),209.7)</f>
        <v>209.7</v>
      </c>
      <c r="D107" s="32">
        <f>IFERROR(__xludf.DUMMYFUNCTION("GOOGLEFINANCE(A107,""high52"")"),209.7)</f>
        <v>209.7</v>
      </c>
      <c r="E107" s="33">
        <f>IFERROR(__xludf.DUMMYFUNCTION("to_date(index(sort(GOOGLEFINANCE(A107, ""high"", today()-52*7, today(), ""DAILY""),2,0),2,1))"),46156.64583333333)</f>
        <v>46156.64583</v>
      </c>
      <c r="F107" s="32">
        <f>IFERROR(__xludf.DUMMYFUNCTION("GOOGLEFINANCE(A107,""low52"")"),118.1)</f>
        <v>118.1</v>
      </c>
      <c r="G107" s="33">
        <f>IFERROR(__xludf.DUMMYFUNCTION("to_date(index(sort(GOOGLEFINANCE(A107, ""low"", today()-52*7, today(), ""DAILY""),2,1),1,1))"),45897.64583333333)</f>
        <v>45897.64583</v>
      </c>
      <c r="H107" s="61">
        <f>IFERROR(__xludf.DUMMYFUNCTION("MIN(QUERY(SORT(GOOGLEFINANCE(A107,""low"",TODAY()-40,TODAY()),1,0),""select Col2 limit 20""))"),175.16)</f>
        <v>175.16</v>
      </c>
      <c r="I107" s="61">
        <f t="shared" si="1"/>
        <v>1.845556095</v>
      </c>
      <c r="J107" s="35" t="str">
        <f t="shared" si="2"/>
        <v>No need to fresh start</v>
      </c>
    </row>
    <row r="108">
      <c r="A108" s="7" t="s">
        <v>90</v>
      </c>
      <c r="B108" s="59">
        <f>IFERROR(__xludf.DUMMYFUNCTION("GOOGLEFINANCE(A108,""price"")"),25.44)</f>
        <v>25.44</v>
      </c>
      <c r="C108" s="60">
        <f>IFERROR(__xludf.DUMMYFUNCTION("MAX(QUERY(SORT(GOOGLEFINANCE(A108,""high"",TODAY()-100,TODAY()),1,0),""select Col2 limit 55""))"),28.39)</f>
        <v>28.39</v>
      </c>
      <c r="D108" s="32">
        <f>IFERROR(__xludf.DUMMYFUNCTION("GOOGLEFINANCE(A108,""high52"")"),35.08)</f>
        <v>35.08</v>
      </c>
      <c r="E108" s="33">
        <f>IFERROR(__xludf.DUMMYFUNCTION("to_date(index(sort(GOOGLEFINANCE(A108, ""high"", today()-52*7, today(), ""DAILY""),2,0),2,1))"),45810.64583333333)</f>
        <v>45810.64583</v>
      </c>
      <c r="F108" s="32">
        <f>IFERROR(__xludf.DUMMYFUNCTION("GOOGLEFINANCE(A108,""low52"")"),22.22)</f>
        <v>22.22</v>
      </c>
      <c r="G108" s="33">
        <f>IFERROR(__xludf.DUMMYFUNCTION("to_date(index(sort(GOOGLEFINANCE(A108, ""low"", today()-52*7, today(), ""DAILY""),2,1),1,1))"),46111.64583333333)</f>
        <v>46111.64583</v>
      </c>
      <c r="H108" s="61">
        <f>IFERROR(__xludf.DUMMYFUNCTION("MIN(QUERY(SORT(GOOGLEFINANCE(A108,""low"",TODAY()-40,TODAY()),1,0),""select Col2 limit 20""))"),24.39)</f>
        <v>24.39</v>
      </c>
      <c r="I108" s="61">
        <f t="shared" si="1"/>
        <v>11.59591195</v>
      </c>
      <c r="J108" s="35" t="str">
        <f t="shared" si="2"/>
        <v>Start GTT Order</v>
      </c>
    </row>
    <row r="109">
      <c r="A109" s="7" t="s">
        <v>383</v>
      </c>
      <c r="B109" s="59">
        <f>IFERROR(__xludf.DUMMYFUNCTION("GOOGLEFINANCE(A109,""price"")"),18535.0)</f>
        <v>18535</v>
      </c>
      <c r="C109" s="60">
        <f>IFERROR(__xludf.DUMMYFUNCTION("MAX(QUERY(SORT(GOOGLEFINANCE(A109,""high"",TODAY()-100,TODAY()),1,0),""select Col2 limit 55""))"),18699.0)</f>
        <v>18699</v>
      </c>
      <c r="D109" s="32">
        <f>IFERROR(__xludf.DUMMYFUNCTION("GOOGLEFINANCE(A109,""high52"")"),18699.0)</f>
        <v>18699</v>
      </c>
      <c r="E109" s="33">
        <f>IFERROR(__xludf.DUMMYFUNCTION("to_date(index(sort(GOOGLEFINANCE(A109, ""high"", today()-52*7, today(), ""DAILY""),2,0),2,1))"),46163.64583333333)</f>
        <v>46163.64583</v>
      </c>
      <c r="F109" s="32">
        <f>IFERROR(__xludf.DUMMYFUNCTION("GOOGLEFINANCE(A109,""low52"")"),11646.0)</f>
        <v>11646</v>
      </c>
      <c r="G109" s="33">
        <f>IFERROR(__xludf.DUMMYFUNCTION("to_date(index(sort(GOOGLEFINANCE(A109, ""low"", today()-52*7, today(), ""DAILY""),2,1),1,1))"),46009.64583333333)</f>
        <v>46009.64583</v>
      </c>
      <c r="H109" s="61">
        <f>IFERROR(__xludf.DUMMYFUNCTION("MIN(QUERY(SORT(GOOGLEFINANCE(A109,""low"",TODAY()-40,TODAY()),1,0),""select Col2 limit 20""))"),15161.0)</f>
        <v>15161</v>
      </c>
      <c r="I109" s="61">
        <f t="shared" si="1"/>
        <v>0.8848125169</v>
      </c>
      <c r="J109" s="35" t="str">
        <f t="shared" si="2"/>
        <v>No need to fresh start</v>
      </c>
    </row>
    <row r="110">
      <c r="A110" s="7" t="s">
        <v>384</v>
      </c>
      <c r="B110" s="59">
        <f>IFERROR(__xludf.DUMMYFUNCTION("GOOGLEFINANCE(A110,""price"")"),224.5)</f>
        <v>224.5</v>
      </c>
      <c r="C110" s="60">
        <f>IFERROR(__xludf.DUMMYFUNCTION("MAX(QUERY(SORT(GOOGLEFINANCE(A110,""high"",TODAY()-100,TODAY()),1,0),""select Col2 limit 55""))"),268.5)</f>
        <v>268.5</v>
      </c>
      <c r="D110" s="32">
        <f>IFERROR(__xludf.DUMMYFUNCTION("GOOGLEFINANCE(A110,""high52"")"),334.8)</f>
        <v>334.8</v>
      </c>
      <c r="E110" s="33">
        <f>IFERROR(__xludf.DUMMYFUNCTION("to_date(index(sort(GOOGLEFINANCE(A110, ""high"", today()-52*7, today(), ""DAILY""),2,0),2,1))"),45838.64583333333)</f>
        <v>45838.64583</v>
      </c>
      <c r="F110" s="32">
        <f>IFERROR(__xludf.DUMMYFUNCTION("GOOGLEFINANCE(A110,""low52"")"),191.31)</f>
        <v>191.31</v>
      </c>
      <c r="G110" s="33">
        <f>IFERROR(__xludf.DUMMYFUNCTION("to_date(index(sort(GOOGLEFINANCE(A110, ""low"", today()-52*7, today(), ""DAILY""),2,1),1,1))"),46114.64583333333)</f>
        <v>46114.64583</v>
      </c>
      <c r="H110" s="61">
        <f>IFERROR(__xludf.DUMMYFUNCTION("MIN(QUERY(SORT(GOOGLEFINANCE(A110,""low"",TODAY()-40,TODAY()),1,0),""select Col2 limit 20""))"),208.1)</f>
        <v>208.1</v>
      </c>
      <c r="I110" s="61">
        <f t="shared" si="1"/>
        <v>19.59910913</v>
      </c>
      <c r="J110" s="35" t="str">
        <f t="shared" si="2"/>
        <v>Start GTT Order</v>
      </c>
    </row>
    <row r="111">
      <c r="A111" s="7" t="s">
        <v>385</v>
      </c>
      <c r="B111" s="59">
        <f>IFERROR(__xludf.DUMMYFUNCTION("GOOGLEFINANCE(A111,""price"")"),7319.0)</f>
        <v>7319</v>
      </c>
      <c r="C111" s="60">
        <f>IFERROR(__xludf.DUMMYFUNCTION("MAX(QUERY(SORT(GOOGLEFINANCE(A111,""high"",TODAY()-100,TODAY()),1,0),""select Col2 limit 55""))"),8049.0)</f>
        <v>8049</v>
      </c>
      <c r="D111" s="32">
        <f>IFERROR(__xludf.DUMMYFUNCTION("GOOGLEFINANCE(A111,""high52"")"),8049.0)</f>
        <v>8049</v>
      </c>
      <c r="E111" s="33">
        <f>IFERROR(__xludf.DUMMYFUNCTION("to_date(index(sort(GOOGLEFINANCE(A111, ""high"", today()-52*7, today(), ""DAILY""),2,0),2,1))"),46149.64583333333)</f>
        <v>46149.64583</v>
      </c>
      <c r="F111" s="32">
        <f>IFERROR(__xludf.DUMMYFUNCTION("GOOGLEFINANCE(A111,""low52"")"),5673.0)</f>
        <v>5673</v>
      </c>
      <c r="G111" s="33">
        <f>IFERROR(__xludf.DUMMYFUNCTION("to_date(index(sort(GOOGLEFINANCE(A111, ""low"", today()-52*7, today(), ""DAILY""),2,1),1,1))"),45979.64583333333)</f>
        <v>45979.64583</v>
      </c>
      <c r="H111" s="61">
        <f>IFERROR(__xludf.DUMMYFUNCTION("MIN(QUERY(SORT(GOOGLEFINANCE(A111,""low"",TODAY()-40,TODAY()),1,0),""select Col2 limit 20""))"),7125.0)</f>
        <v>7125</v>
      </c>
      <c r="I111" s="61">
        <f t="shared" si="1"/>
        <v>9.974040169</v>
      </c>
      <c r="J111" s="35" t="str">
        <f t="shared" si="2"/>
        <v>No need to fresh start</v>
      </c>
    </row>
    <row r="112">
      <c r="A112" s="7" t="s">
        <v>386</v>
      </c>
      <c r="B112" s="59">
        <f>IFERROR(__xludf.DUMMYFUNCTION("GOOGLEFINANCE(A112,""price"")"),351.9)</f>
        <v>351.9</v>
      </c>
      <c r="C112" s="60">
        <f>IFERROR(__xludf.DUMMYFUNCTION("MAX(QUERY(SORT(GOOGLEFINANCE(A112,""high"",TODAY()-100,TODAY()),1,0),""select Col2 limit 55""))"),450.0)</f>
        <v>450</v>
      </c>
      <c r="D112" s="32">
        <f>IFERROR(__xludf.DUMMYFUNCTION("GOOGLEFINANCE(A112,""high52"")"),450.0)</f>
        <v>450</v>
      </c>
      <c r="E112" s="33">
        <f>IFERROR(__xludf.DUMMYFUNCTION("to_date(index(sort(GOOGLEFINANCE(A112, ""high"", today()-52*7, today(), ""DAILY""),2,0),2,1))"),46136.64583333333)</f>
        <v>46136.64583</v>
      </c>
      <c r="F112" s="32">
        <f>IFERROR(__xludf.DUMMYFUNCTION("GOOGLEFINANCE(A112,""low52"")"),275.05)</f>
        <v>275.05</v>
      </c>
      <c r="G112" s="33">
        <f>IFERROR(__xludf.DUMMYFUNCTION("to_date(index(sort(GOOGLEFINANCE(A112, ""low"", today()-52*7, today(), ""DAILY""),2,1),1,1))"),46043.64583333333)</f>
        <v>46043.64583</v>
      </c>
      <c r="H112" s="61">
        <f>IFERROR(__xludf.DUMMYFUNCTION("MIN(QUERY(SORT(GOOGLEFINANCE(A112,""low"",TODAY()-40,TODAY()),1,0),""select Col2 limit 20""))"),347.0)</f>
        <v>347</v>
      </c>
      <c r="I112" s="61">
        <f t="shared" si="1"/>
        <v>27.87723785</v>
      </c>
      <c r="J112" s="35" t="str">
        <f t="shared" si="2"/>
        <v>No need to fresh start</v>
      </c>
    </row>
    <row r="113">
      <c r="A113" s="7" t="s">
        <v>387</v>
      </c>
      <c r="B113" s="59">
        <f>IFERROR(__xludf.DUMMYFUNCTION("GOOGLEFINANCE(A113,""price"")"),1377.6)</f>
        <v>1377.6</v>
      </c>
      <c r="C113" s="60">
        <f>IFERROR(__xludf.DUMMYFUNCTION("MAX(QUERY(SORT(GOOGLEFINANCE(A113,""high"",TODAY()-100,TODAY()),1,0),""select Col2 limit 55""))"),1710.0)</f>
        <v>1710</v>
      </c>
      <c r="D113" s="32">
        <f>IFERROR(__xludf.DUMMYFUNCTION("GOOGLEFINANCE(A113,""high52"")"),2431.6)</f>
        <v>2431.6</v>
      </c>
      <c r="E113" s="33">
        <f>IFERROR(__xludf.DUMMYFUNCTION("to_date(index(sort(GOOGLEFINANCE(A113, ""high"", today()-52*7, today(), ""DAILY""),2,0),2,1))"),45805.64583333333)</f>
        <v>45805.64583</v>
      </c>
      <c r="F113" s="32">
        <f>IFERROR(__xludf.DUMMYFUNCTION("GOOGLEFINANCE(A113,""low52"")"),1182.0)</f>
        <v>1182</v>
      </c>
      <c r="G113" s="33">
        <f>IFERROR(__xludf.DUMMYFUNCTION("to_date(index(sort(GOOGLEFINANCE(A113, ""low"", today()-52*7, today(), ""DAILY""),2,1),1,1))"),46111.64583333333)</f>
        <v>46111.64583</v>
      </c>
      <c r="H113" s="61">
        <f>IFERROR(__xludf.DUMMYFUNCTION("MIN(QUERY(SORT(GOOGLEFINANCE(A113,""low"",TODAY()-40,TODAY()),1,0),""select Col2 limit 20""))"),1426.1)</f>
        <v>1426.1</v>
      </c>
      <c r="I113" s="61">
        <f t="shared" si="1"/>
        <v>24.12891986</v>
      </c>
      <c r="J113" s="35" t="str">
        <f t="shared" si="2"/>
        <v>No need to fresh start</v>
      </c>
    </row>
    <row r="114">
      <c r="A114" s="7" t="s">
        <v>388</v>
      </c>
      <c r="B114" s="59">
        <f>IFERROR(__xludf.DUMMYFUNCTION("GOOGLEFINANCE(A114,""price"")"),111.69)</f>
        <v>111.69</v>
      </c>
      <c r="C114" s="60">
        <f>IFERROR(__xludf.DUMMYFUNCTION("MAX(QUERY(SORT(GOOGLEFINANCE(A114,""high"",TODAY()-100,TODAY()),1,0),""select Col2 limit 55""))"),129.98)</f>
        <v>129.98</v>
      </c>
      <c r="D114" s="32">
        <f>IFERROR(__xludf.DUMMYFUNCTION("GOOGLEFINANCE(A114,""high52"")"),182.6)</f>
        <v>182.6</v>
      </c>
      <c r="E114" s="33">
        <f>IFERROR(__xludf.DUMMYFUNCTION("to_date(index(sort(GOOGLEFINANCE(A114, ""high"", today()-52*7, today(), ""DAILY""),2,0),2,1))"),45833.64583333333)</f>
        <v>45833.64583</v>
      </c>
      <c r="F114" s="32">
        <f>IFERROR(__xludf.DUMMYFUNCTION("GOOGLEFINANCE(A114,""low52"")"),93.5)</f>
        <v>93.5</v>
      </c>
      <c r="G114" s="33">
        <f>IFERROR(__xludf.DUMMYFUNCTION("to_date(index(sort(GOOGLEFINANCE(A114, ""low"", today()-52*7, today(), ""DAILY""),2,1),1,1))"),46104.64583333333)</f>
        <v>46104.64583</v>
      </c>
      <c r="H114" s="61">
        <f>IFERROR(__xludf.DUMMYFUNCTION("MIN(QUERY(SORT(GOOGLEFINANCE(A114,""low"",TODAY()-40,TODAY()),1,0),""select Col2 limit 20""))"),106.7)</f>
        <v>106.7</v>
      </c>
      <c r="I114" s="61">
        <f t="shared" si="1"/>
        <v>16.37568269</v>
      </c>
      <c r="J114" s="35" t="str">
        <f t="shared" si="2"/>
        <v>Start GTT Order</v>
      </c>
    </row>
    <row r="115">
      <c r="A115" s="7" t="s">
        <v>389</v>
      </c>
      <c r="B115" s="59">
        <f>IFERROR(__xludf.DUMMYFUNCTION("GOOGLEFINANCE(A115,""price"")"),544.15)</f>
        <v>544.15</v>
      </c>
      <c r="C115" s="60">
        <f>IFERROR(__xludf.DUMMYFUNCTION("MAX(QUERY(SORT(GOOGLEFINANCE(A115,""high"",TODAY()-100,TODAY()),1,0),""select Col2 limit 55""))"),600.0)</f>
        <v>600</v>
      </c>
      <c r="D115" s="32">
        <f>IFERROR(__xludf.DUMMYFUNCTION("GOOGLEFINANCE(A115,""high52"")"),600.0)</f>
        <v>600</v>
      </c>
      <c r="E115" s="33">
        <f>IFERROR(__xludf.DUMMYFUNCTION("to_date(index(sort(GOOGLEFINANCE(A115, ""high"", today()-52*7, today(), ""DAILY""),2,0),2,1))"),46156.64583333333)</f>
        <v>46156.64583</v>
      </c>
      <c r="F115" s="32">
        <f>IFERROR(__xludf.DUMMYFUNCTION("GOOGLEFINANCE(A115,""low52"")"),411.25)</f>
        <v>411.25</v>
      </c>
      <c r="G115" s="33">
        <f>IFERROR(__xludf.DUMMYFUNCTION("to_date(index(sort(GOOGLEFINANCE(A115, ""low"", today()-52*7, today(), ""DAILY""),2,1),1,1))"),45814.64583333333)</f>
        <v>45814.64583</v>
      </c>
      <c r="H115" s="61">
        <f>IFERROR(__xludf.DUMMYFUNCTION("MIN(QUERY(SORT(GOOGLEFINANCE(A115,""low"",TODAY()-40,TODAY()),1,0),""select Col2 limit 20""))"),470.95)</f>
        <v>470.95</v>
      </c>
      <c r="I115" s="61">
        <f t="shared" si="1"/>
        <v>10.26371405</v>
      </c>
      <c r="J115" s="35" t="str">
        <f t="shared" si="2"/>
        <v>No need to fresh start</v>
      </c>
    </row>
    <row r="116">
      <c r="A116" s="7" t="s">
        <v>390</v>
      </c>
      <c r="B116" s="59">
        <f>IFERROR(__xludf.DUMMYFUNCTION("GOOGLEFINANCE(A116,""price"")"),7653.5)</f>
        <v>7653.5</v>
      </c>
      <c r="C116" s="60">
        <f>IFERROR(__xludf.DUMMYFUNCTION("MAX(QUERY(SORT(GOOGLEFINANCE(A116,""high"",TODAY()-100,TODAY()),1,0),""select Col2 limit 55""))"),8924.0)</f>
        <v>8924</v>
      </c>
      <c r="D116" s="32">
        <f>IFERROR(__xludf.DUMMYFUNCTION("GOOGLEFINANCE(A116,""high52"")"),11958.0)</f>
        <v>11958</v>
      </c>
      <c r="E116" s="33">
        <f>IFERROR(__xludf.DUMMYFUNCTION("to_date(index(sort(GOOGLEFINANCE(A116, ""high"", today()-52*7, today(), ""DAILY""),2,0),2,1))"),45876.64583333333)</f>
        <v>45876.64583</v>
      </c>
      <c r="F116" s="32">
        <f>IFERROR(__xludf.DUMMYFUNCTION("GOOGLEFINANCE(A116,""low52"")"),6430.0)</f>
        <v>6430</v>
      </c>
      <c r="G116" s="33">
        <f>IFERROR(__xludf.DUMMYFUNCTION("to_date(index(sort(GOOGLEFINANCE(A116, ""low"", today()-52*7, today(), ""DAILY""),2,1),1,1))"),46104.64583333333)</f>
        <v>46104.64583</v>
      </c>
      <c r="H116" s="61">
        <f>IFERROR(__xludf.DUMMYFUNCTION("MIN(QUERY(SORT(GOOGLEFINANCE(A116,""low"",TODAY()-40,TODAY()),1,0),""select Col2 limit 20""))"),6890.0)</f>
        <v>6890</v>
      </c>
      <c r="I116" s="61">
        <f t="shared" si="1"/>
        <v>16.60024825</v>
      </c>
      <c r="J116" s="35" t="str">
        <f t="shared" si="2"/>
        <v>Start GTT Order</v>
      </c>
    </row>
    <row r="117">
      <c r="A117" s="7" t="s">
        <v>391</v>
      </c>
      <c r="B117" s="59">
        <f>IFERROR(__xludf.DUMMYFUNCTION("GOOGLEFINANCE(A117,""price"")"),462.8)</f>
        <v>462.8</v>
      </c>
      <c r="C117" s="60">
        <f>IFERROR(__xludf.DUMMYFUNCTION("MAX(QUERY(SORT(GOOGLEFINANCE(A117,""high"",TODAY()-100,TODAY()),1,0),""select Col2 limit 55""))"),549.0)</f>
        <v>549</v>
      </c>
      <c r="D117" s="32">
        <f>IFERROR(__xludf.DUMMYFUNCTION("GOOGLEFINANCE(A117,""high52"")"),667.2)</f>
        <v>667.2</v>
      </c>
      <c r="E117" s="33">
        <f>IFERROR(__xludf.DUMMYFUNCTION("to_date(index(sort(GOOGLEFINANCE(A117, ""high"", today()-52*7, today(), ""DAILY""),2,0),2,1))"),45960.64583333333)</f>
        <v>45960.64583</v>
      </c>
      <c r="F117" s="32">
        <f>IFERROR(__xludf.DUMMYFUNCTION("GOOGLEFINANCE(A117,""low52"")"),419.0)</f>
        <v>419</v>
      </c>
      <c r="G117" s="33">
        <f>IFERROR(__xludf.DUMMYFUNCTION("to_date(index(sort(GOOGLEFINANCE(A117, ""low"", today()-52*7, today(), ""DAILY""),2,1),1,1))"),46104.64583333333)</f>
        <v>46104.64583</v>
      </c>
      <c r="H117" s="61">
        <f>IFERROR(__xludf.DUMMYFUNCTION("MIN(QUERY(SORT(GOOGLEFINANCE(A117,""low"",TODAY()-40,TODAY()),1,0),""select Col2 limit 20""))"),441.5)</f>
        <v>441.5</v>
      </c>
      <c r="I117" s="61">
        <f t="shared" si="1"/>
        <v>18.62575627</v>
      </c>
      <c r="J117" s="35" t="str">
        <f t="shared" si="2"/>
        <v>Start GTT Order</v>
      </c>
    </row>
    <row r="118">
      <c r="A118" s="7" t="s">
        <v>392</v>
      </c>
      <c r="B118" s="59">
        <f>IFERROR(__xludf.DUMMYFUNCTION("GOOGLEFINANCE(A118,""price"")"),1385.0)</f>
        <v>1385</v>
      </c>
      <c r="C118" s="60">
        <f>IFERROR(__xludf.DUMMYFUNCTION("MAX(QUERY(SORT(GOOGLEFINANCE(A118,""high"",TODAY()-100,TODAY()),1,0),""select Col2 limit 55""))"),1494.9)</f>
        <v>1494.9</v>
      </c>
      <c r="D118" s="32">
        <f>IFERROR(__xludf.DUMMYFUNCTION("GOOGLEFINANCE(A118,""high52"")"),2152.9)</f>
        <v>2152.9</v>
      </c>
      <c r="E118" s="33">
        <f>IFERROR(__xludf.DUMMYFUNCTION("to_date(index(sort(GOOGLEFINANCE(A118, ""high"", today()-52*7, today(), ""DAILY""),2,0),2,1))"),45838.64583333333)</f>
        <v>45838.64583</v>
      </c>
      <c r="F118" s="32">
        <f>IFERROR(__xludf.DUMMYFUNCTION("GOOGLEFINANCE(A118,""low52"")"),1060.4)</f>
        <v>1060.4</v>
      </c>
      <c r="G118" s="33">
        <f>IFERROR(__xludf.DUMMYFUNCTION("to_date(index(sort(GOOGLEFINANCE(A118, ""low"", today()-52*7, today(), ""DAILY""),2,1),1,1))"),46104.64583333333)</f>
        <v>46104.64583</v>
      </c>
      <c r="H118" s="61">
        <f>IFERROR(__xludf.DUMMYFUNCTION("MIN(QUERY(SORT(GOOGLEFINANCE(A118,""low"",TODAY()-40,TODAY()),1,0),""select Col2 limit 20""))"),1319.4)</f>
        <v>1319.4</v>
      </c>
      <c r="I118" s="61">
        <f t="shared" si="1"/>
        <v>7.935018051</v>
      </c>
      <c r="J118" s="35" t="str">
        <f t="shared" si="2"/>
        <v>No need to fresh start</v>
      </c>
    </row>
    <row r="119">
      <c r="A119" s="7" t="s">
        <v>67</v>
      </c>
      <c r="B119" s="59">
        <f>IFERROR(__xludf.DUMMYFUNCTION("GOOGLEFINANCE(A119,""price"")"),80.55)</f>
        <v>80.55</v>
      </c>
      <c r="C119" s="60">
        <f>IFERROR(__xludf.DUMMYFUNCTION("MAX(QUERY(SORT(GOOGLEFINANCE(A119,""high"",TODAY()-100,TODAY()),1,0),""select Col2 limit 55""))"),86.83)</f>
        <v>86.83</v>
      </c>
      <c r="D119" s="32">
        <f>IFERROR(__xludf.DUMMYFUNCTION("GOOGLEFINANCE(A119,""high52"")"),92.34)</f>
        <v>92.34</v>
      </c>
      <c r="E119" s="33">
        <f>IFERROR(__xludf.DUMMYFUNCTION("to_date(index(sort(GOOGLEFINANCE(A119, ""high"", today()-52*7, today(), ""DAILY""),2,0),2,1))"),45817.64583333333)</f>
        <v>45817.64583</v>
      </c>
      <c r="F119" s="32">
        <f>IFERROR(__xludf.DUMMYFUNCTION("GOOGLEFINANCE(A119,""low52"")"),71.62)</f>
        <v>71.62</v>
      </c>
      <c r="G119" s="33">
        <f>IFERROR(__xludf.DUMMYFUNCTION("to_date(index(sort(GOOGLEFINANCE(A119, ""low"", today()-52*7, today(), ""DAILY""),2,1),1,1))"),46085.64583333333)</f>
        <v>46085.64583</v>
      </c>
      <c r="H119" s="61">
        <f>IFERROR(__xludf.DUMMYFUNCTION("MIN(QUERY(SORT(GOOGLEFINANCE(A119,""low"",TODAY()-40,TODAY()),1,0),""select Col2 limit 20""))"),75.91)</f>
        <v>75.91</v>
      </c>
      <c r="I119" s="61">
        <f t="shared" si="1"/>
        <v>7.796399752</v>
      </c>
      <c r="J119" s="35" t="str">
        <f t="shared" si="2"/>
        <v>No need to fresh start</v>
      </c>
    </row>
    <row r="120">
      <c r="A120" s="7" t="s">
        <v>393</v>
      </c>
      <c r="B120" s="59">
        <f>IFERROR(__xludf.DUMMYFUNCTION("GOOGLEFINANCE(A120,""price"")"),1928.1)</f>
        <v>1928.1</v>
      </c>
      <c r="C120" s="60">
        <f>IFERROR(__xludf.DUMMYFUNCTION("MAX(QUERY(SORT(GOOGLEFINANCE(A120,""high"",TODAY()-100,TODAY()),1,0),""select Col2 limit 55""))"),2002.7)</f>
        <v>2002.7</v>
      </c>
      <c r="D120" s="32">
        <f>IFERROR(__xludf.DUMMYFUNCTION("GOOGLEFINANCE(A120,""high52"")"),2002.7)</f>
        <v>2002.7</v>
      </c>
      <c r="E120" s="33">
        <f>IFERROR(__xludf.DUMMYFUNCTION("to_date(index(sort(GOOGLEFINANCE(A120, ""high"", today()-52*7, today(), ""DAILY""),2,0),2,1))"),46162.64583333333)</f>
        <v>46162.64583</v>
      </c>
      <c r="F120" s="32">
        <f>IFERROR(__xludf.DUMMYFUNCTION("GOOGLEFINANCE(A120,""low52"")"),1329.0)</f>
        <v>1329</v>
      </c>
      <c r="G120" s="33">
        <f>IFERROR(__xludf.DUMMYFUNCTION("to_date(index(sort(GOOGLEFINANCE(A120, ""low"", today()-52*7, today(), ""DAILY""),2,1),1,1))"),46104.64583333333)</f>
        <v>46104.64583</v>
      </c>
      <c r="H120" s="61">
        <f>IFERROR(__xludf.DUMMYFUNCTION("MIN(QUERY(SORT(GOOGLEFINANCE(A120,""low"",TODAY()-40,TODAY()),1,0),""select Col2 limit 20""))"),1561.0)</f>
        <v>1561</v>
      </c>
      <c r="I120" s="61">
        <f t="shared" si="1"/>
        <v>3.869093927</v>
      </c>
      <c r="J120" s="35" t="str">
        <f t="shared" si="2"/>
        <v>No need to fresh start</v>
      </c>
    </row>
    <row r="121">
      <c r="A121" s="7" t="s">
        <v>294</v>
      </c>
      <c r="B121" s="59">
        <f>IFERROR(__xludf.DUMMYFUNCTION("GOOGLEFINANCE(A121,""price"")"),113.02)</f>
        <v>113.02</v>
      </c>
      <c r="C121" s="60">
        <f>IFERROR(__xludf.DUMMYFUNCTION("MAX(QUERY(SORT(GOOGLEFINANCE(A121,""high"",TODAY()-100,TODAY()),1,0),""select Col2 limit 55""))"),129.29)</f>
        <v>129.29</v>
      </c>
      <c r="D121" s="32">
        <f>IFERROR(__xludf.DUMMYFUNCTION("GOOGLEFINANCE(A121,""high52"")"),130.7)</f>
        <v>130.7</v>
      </c>
      <c r="E121" s="33">
        <f>IFERROR(__xludf.DUMMYFUNCTION("to_date(index(sort(GOOGLEFINANCE(A121, ""high"", today()-52*7, today(), ""DAILY""),2,0),2,1))"),46071.64583333333)</f>
        <v>46071.64583</v>
      </c>
      <c r="F121" s="32">
        <f>IFERROR(__xludf.DUMMYFUNCTION("GOOGLEFINANCE(A121,""low52"")"),91.78)</f>
        <v>91.78</v>
      </c>
      <c r="G121" s="33">
        <f>IFERROR(__xludf.DUMMYFUNCTION("to_date(index(sort(GOOGLEFINANCE(A121, ""low"", today()-52*7, today(), ""DAILY""),2,1),1,1))"),45880.64583333333)</f>
        <v>45880.64583</v>
      </c>
      <c r="H121" s="61">
        <f>IFERROR(__xludf.DUMMYFUNCTION("MIN(QUERY(SORT(GOOGLEFINANCE(A121,""low"",TODAY()-40,TODAY()),1,0),""select Col2 limit 20""))"),107.27)</f>
        <v>107.27</v>
      </c>
      <c r="I121" s="61">
        <f t="shared" si="1"/>
        <v>14.39568218</v>
      </c>
      <c r="J121" s="35" t="str">
        <f t="shared" si="2"/>
        <v>No need to fresh start</v>
      </c>
    </row>
    <row r="122">
      <c r="A122" s="7" t="s">
        <v>394</v>
      </c>
      <c r="B122" s="59">
        <f>IFERROR(__xludf.DUMMYFUNCTION("GOOGLEFINANCE(A122,""price"")"),4398.8)</f>
        <v>4398.8</v>
      </c>
      <c r="C122" s="60">
        <f>IFERROR(__xludf.DUMMYFUNCTION("MAX(QUERY(SORT(GOOGLEFINANCE(A122,""high"",TODAY()-100,TODAY()),1,0),""select Col2 limit 55""))"),4605.0)</f>
        <v>4605</v>
      </c>
      <c r="D122" s="32">
        <f>IFERROR(__xludf.DUMMYFUNCTION("GOOGLEFINANCE(A122,""high52"")"),4605.0)</f>
        <v>4605</v>
      </c>
      <c r="E122" s="33">
        <f>IFERROR(__xludf.DUMMYFUNCTION("to_date(index(sort(GOOGLEFINANCE(A122, ""high"", today()-52*7, today(), ""DAILY""),2,0),2,1))"),46150.64583333333)</f>
        <v>46150.64583</v>
      </c>
      <c r="F122" s="32">
        <f>IFERROR(__xludf.DUMMYFUNCTION("GOOGLEFINANCE(A122,""low52"")"),3063.3)</f>
        <v>3063.3</v>
      </c>
      <c r="G122" s="33">
        <f>IFERROR(__xludf.DUMMYFUNCTION("to_date(index(sort(GOOGLEFINANCE(A122, ""low"", today()-52*7, today(), ""DAILY""),2,1),1,1))"),46043.64583333333)</f>
        <v>46043.64583</v>
      </c>
      <c r="H122" s="61">
        <f>IFERROR(__xludf.DUMMYFUNCTION("MIN(QUERY(SORT(GOOGLEFINANCE(A122,""low"",TODAY()-40,TODAY()),1,0),""select Col2 limit 20""))"),4192.6)</f>
        <v>4192.6</v>
      </c>
      <c r="I122" s="61">
        <f t="shared" si="1"/>
        <v>4.687642084</v>
      </c>
      <c r="J122" s="35" t="str">
        <f t="shared" si="2"/>
        <v>No need to fresh start</v>
      </c>
    </row>
    <row r="123">
      <c r="A123" s="7" t="s">
        <v>45</v>
      </c>
      <c r="B123" s="59">
        <f>IFERROR(__xludf.DUMMYFUNCTION("GOOGLEFINANCE(A123,""price"")"),1535.0)</f>
        <v>1535</v>
      </c>
      <c r="C123" s="60">
        <f>IFERROR(__xludf.DUMMYFUNCTION("MAX(QUERY(SORT(GOOGLEFINANCE(A123,""high"",TODAY()-100,TODAY()),1,0),""select Col2 limit 55""))"),1842.8)</f>
        <v>1842.8</v>
      </c>
      <c r="D123" s="32">
        <f>IFERROR(__xludf.DUMMYFUNCTION("GOOGLEFINANCE(A123,""high52"")"),2545.0)</f>
        <v>2545</v>
      </c>
      <c r="E123" s="33">
        <f>IFERROR(__xludf.DUMMYFUNCTION("to_date(index(sort(GOOGLEFINANCE(A123, ""high"", today()-52*7, today(), ""DAILY""),2,0),2,1))"),45814.64583333333)</f>
        <v>45814.64583</v>
      </c>
      <c r="F123" s="32">
        <f>IFERROR(__xludf.DUMMYFUNCTION("GOOGLEFINANCE(A123,""low52"")"),1187.0)</f>
        <v>1187</v>
      </c>
      <c r="G123" s="33">
        <f>IFERROR(__xludf.DUMMYFUNCTION("to_date(index(sort(GOOGLEFINANCE(A123, ""low"", today()-52*7, today(), ""DAILY""),2,1),1,1))"),46111.64583333333)</f>
        <v>46111.64583</v>
      </c>
      <c r="H123" s="61">
        <f>IFERROR(__xludf.DUMMYFUNCTION("MIN(QUERY(SORT(GOOGLEFINANCE(A123,""low"",TODAY()-40,TODAY()),1,0),""select Col2 limit 20""))"),1463.1)</f>
        <v>1463.1</v>
      </c>
      <c r="I123" s="61">
        <f t="shared" si="1"/>
        <v>20.05211726</v>
      </c>
      <c r="J123" s="35" t="str">
        <f t="shared" si="2"/>
        <v>No need to fresh start</v>
      </c>
    </row>
    <row r="124">
      <c r="A124" s="7" t="s">
        <v>241</v>
      </c>
      <c r="B124" s="59">
        <f>IFERROR(__xludf.DUMMYFUNCTION("GOOGLEFINANCE(A124,""price"")"),1692.6)</f>
        <v>1692.6</v>
      </c>
      <c r="C124" s="60">
        <f>IFERROR(__xludf.DUMMYFUNCTION("MAX(QUERY(SORT(GOOGLEFINANCE(A124,""high"",TODAY()-100,TODAY()),1,0),""select Col2 limit 55""))"),1784.9)</f>
        <v>1784.9</v>
      </c>
      <c r="D124" s="32">
        <f>IFERROR(__xludf.DUMMYFUNCTION("GOOGLEFINANCE(A124,""high52"")"),1892.5)</f>
        <v>1892.5</v>
      </c>
      <c r="E124" s="33">
        <f>IFERROR(__xludf.DUMMYFUNCTION("to_date(index(sort(GOOGLEFINANCE(A124, ""high"", today()-52*7, today(), ""DAILY""),2,0),2,1))"),46076.64583333333)</f>
        <v>46076.64583</v>
      </c>
      <c r="F124" s="32">
        <f>IFERROR(__xludf.DUMMYFUNCTION("GOOGLEFINANCE(A124,""low52"")"),1433.6)</f>
        <v>1433.6</v>
      </c>
      <c r="G124" s="33">
        <f>IFERROR(__xludf.DUMMYFUNCTION("to_date(index(sort(GOOGLEFINANCE(A124, ""low"", today()-52*7, today(), ""DAILY""),2,1),1,1))"),46114.64583333333)</f>
        <v>46114.64583</v>
      </c>
      <c r="H124" s="61">
        <f>IFERROR(__xludf.DUMMYFUNCTION("MIN(QUERY(SORT(GOOGLEFINANCE(A124,""low"",TODAY()-40,TODAY()),1,0),""select Col2 limit 20""))"),1560.0)</f>
        <v>1560</v>
      </c>
      <c r="I124" s="61">
        <f t="shared" si="1"/>
        <v>5.453149002</v>
      </c>
      <c r="J124" s="35" t="str">
        <f t="shared" si="2"/>
        <v>No need to fresh start</v>
      </c>
    </row>
    <row r="125">
      <c r="A125" s="7" t="s">
        <v>55</v>
      </c>
      <c r="B125" s="59">
        <f>IFERROR(__xludf.DUMMYFUNCTION("GOOGLEFINANCE(A125,""price"")"),140.2)</f>
        <v>140.2</v>
      </c>
      <c r="C125" s="60">
        <f>IFERROR(__xludf.DUMMYFUNCTION("MAX(QUERY(SORT(GOOGLEFINANCE(A125,""high"",TODAY()-100,TODAY()),1,0),""select Col2 limit 55""))"),164.4)</f>
        <v>164.4</v>
      </c>
      <c r="D125" s="32">
        <f>IFERROR(__xludf.DUMMYFUNCTION("GOOGLEFINANCE(A125,""high52"")"),225.52)</f>
        <v>225.52</v>
      </c>
      <c r="E125" s="33">
        <f>IFERROR(__xludf.DUMMYFUNCTION("to_date(index(sort(GOOGLEFINANCE(A125, ""high"", today()-52*7, today(), ""DAILY""),2,0),2,1))"),45813.64583333333)</f>
        <v>45813.64583</v>
      </c>
      <c r="F125" s="32">
        <f>IFERROR(__xludf.DUMMYFUNCTION("GOOGLEFINANCE(A125,""low52"")"),114.5)</f>
        <v>114.5</v>
      </c>
      <c r="G125" s="33">
        <f>IFERROR(__xludf.DUMMYFUNCTION("to_date(index(sort(GOOGLEFINANCE(A125, ""low"", today()-52*7, today(), ""DAILY""),2,1),1,1))"),46104.64583333333)</f>
        <v>46104.64583</v>
      </c>
      <c r="H125" s="61">
        <f>IFERROR(__xludf.DUMMYFUNCTION("MIN(QUERY(SORT(GOOGLEFINANCE(A125,""low"",TODAY()-40,TODAY()),1,0),""select Col2 limit 20""))"),136.42)</f>
        <v>136.42</v>
      </c>
      <c r="I125" s="61">
        <f t="shared" si="1"/>
        <v>17.26105563</v>
      </c>
      <c r="J125" s="35" t="str">
        <f t="shared" si="2"/>
        <v>Start GTT Order</v>
      </c>
    </row>
    <row r="126">
      <c r="A126" s="7" t="s">
        <v>62</v>
      </c>
      <c r="B126" s="59">
        <f>IFERROR(__xludf.DUMMYFUNCTION("GOOGLEFINANCE(A126,""price"")"),1334.4)</f>
        <v>1334.4</v>
      </c>
      <c r="C126" s="60">
        <f>IFERROR(__xludf.DUMMYFUNCTION("MAX(QUERY(SORT(GOOGLEFINANCE(A126,""high"",TODAY()-100,TODAY()),1,0),""select Col2 limit 55""))"),1481.2)</f>
        <v>1481.2</v>
      </c>
      <c r="D126" s="32">
        <f>IFERROR(__xludf.DUMMYFUNCTION("GOOGLEFINANCE(A126,""high52"")"),2096.6)</f>
        <v>2096.6</v>
      </c>
      <c r="E126" s="33">
        <f>IFERROR(__xludf.DUMMYFUNCTION("to_date(index(sort(GOOGLEFINANCE(A126, ""high"", today()-52*7, today(), ""DAILY""),2,0),2,1))"),45807.64583333333)</f>
        <v>45807.64583</v>
      </c>
      <c r="F126" s="32">
        <f>IFERROR(__xludf.DUMMYFUNCTION("GOOGLEFINANCE(A126,""low52"")"),1086.0)</f>
        <v>1086</v>
      </c>
      <c r="G126" s="33">
        <f>IFERROR(__xludf.DUMMYFUNCTION("to_date(index(sort(GOOGLEFINANCE(A126, ""low"", today()-52*7, today(), ""DAILY""),2,1),1,1))"),46111.64583333333)</f>
        <v>46111.64583</v>
      </c>
      <c r="H126" s="61">
        <f>IFERROR(__xludf.DUMMYFUNCTION("MIN(QUERY(SORT(GOOGLEFINANCE(A126,""low"",TODAY()-40,TODAY()),1,0),""select Col2 limit 20""))"),1272.3)</f>
        <v>1272.3</v>
      </c>
      <c r="I126" s="61">
        <f t="shared" si="1"/>
        <v>11.00119904</v>
      </c>
      <c r="J126" s="35" t="str">
        <f t="shared" si="2"/>
        <v>Start GTT Order</v>
      </c>
    </row>
    <row r="127">
      <c r="A127" s="7" t="s">
        <v>395</v>
      </c>
      <c r="B127" s="59">
        <f>IFERROR(__xludf.DUMMYFUNCTION("GOOGLEFINANCE(A127,""price"")"),795.6)</f>
        <v>795.6</v>
      </c>
      <c r="C127" s="60">
        <f>IFERROR(__xludf.DUMMYFUNCTION("MAX(QUERY(SORT(GOOGLEFINANCE(A127,""high"",TODAY()-100,TODAY()),1,0),""select Col2 limit 55""))"),943.8)</f>
        <v>943.8</v>
      </c>
      <c r="D127" s="32">
        <f>IFERROR(__xludf.DUMMYFUNCTION("GOOGLEFINANCE(A127,""high52"")"),1418.0)</f>
        <v>1418</v>
      </c>
      <c r="E127" s="33">
        <f>IFERROR(__xludf.DUMMYFUNCTION("to_date(index(sort(GOOGLEFINANCE(A127, ""high"", today()-52*7, today(), ""DAILY""),2,0),2,1))"),45870.64583333333)</f>
        <v>45870.64583</v>
      </c>
      <c r="F127" s="32">
        <f>IFERROR(__xludf.DUMMYFUNCTION("GOOGLEFINANCE(A127,""low52"")"),784.0)</f>
        <v>784</v>
      </c>
      <c r="G127" s="33">
        <f>IFERROR(__xludf.DUMMYFUNCTION("to_date(index(sort(GOOGLEFINANCE(A127, ""low"", today()-52*7, today(), ""DAILY""),2,1),1,1))"),46129.64583333333)</f>
        <v>46129.64583</v>
      </c>
      <c r="H127" s="61">
        <f>IFERROR(__xludf.DUMMYFUNCTION("MIN(QUERY(SORT(GOOGLEFINANCE(A127,""low"",TODAY()-40,TODAY()),1,0),""select Col2 limit 20""))"),785.0)</f>
        <v>785</v>
      </c>
      <c r="I127" s="61">
        <f t="shared" si="1"/>
        <v>18.62745098</v>
      </c>
      <c r="J127" s="35" t="str">
        <f t="shared" si="2"/>
        <v>Start GTT Order</v>
      </c>
    </row>
    <row r="128">
      <c r="A128" s="7" t="s">
        <v>396</v>
      </c>
      <c r="B128" s="59">
        <f>IFERROR(__xludf.DUMMYFUNCTION("GOOGLEFINANCE(A128,""price"")"),712.1)</f>
        <v>712.1</v>
      </c>
      <c r="C128" s="60">
        <f>IFERROR(__xludf.DUMMYFUNCTION("MAX(QUERY(SORT(GOOGLEFINANCE(A128,""high"",TODAY()-100,TODAY()),1,0),""select Col2 limit 55""))"),894.25)</f>
        <v>894.25</v>
      </c>
      <c r="D128" s="32">
        <f>IFERROR(__xludf.DUMMYFUNCTION("GOOGLEFINANCE(A128,""high52"")"),1244.0)</f>
        <v>1244</v>
      </c>
      <c r="E128" s="33">
        <f>IFERROR(__xludf.DUMMYFUNCTION("to_date(index(sort(GOOGLEFINANCE(A128, ""high"", today()-52*7, today(), ""DAILY""),2,0),2,1))"),45807.64583333333)</f>
        <v>45807.64583</v>
      </c>
      <c r="F128" s="32">
        <f>IFERROR(__xludf.DUMMYFUNCTION("GOOGLEFINANCE(A128,""low52"")"),685.0)</f>
        <v>685</v>
      </c>
      <c r="G128" s="33">
        <f>IFERROR(__xludf.DUMMYFUNCTION("to_date(index(sort(GOOGLEFINANCE(A128, ""low"", today()-52*7, today(), ""DAILY""),2,1),1,1))"),46111.64583333333)</f>
        <v>46111.64583</v>
      </c>
      <c r="H128" s="61">
        <f>IFERROR(__xludf.DUMMYFUNCTION("MIN(QUERY(SORT(GOOGLEFINANCE(A128,""low"",TODAY()-40,TODAY()),1,0),""select Col2 limit 20""))"),709.0)</f>
        <v>709</v>
      </c>
      <c r="I128" s="61">
        <f t="shared" si="1"/>
        <v>25.57927257</v>
      </c>
      <c r="J128" s="35" t="str">
        <f t="shared" si="2"/>
        <v>No need to fresh start</v>
      </c>
    </row>
    <row r="129">
      <c r="A129" s="7" t="s">
        <v>397</v>
      </c>
      <c r="B129" s="59">
        <f>IFERROR(__xludf.DUMMYFUNCTION("GOOGLEFINANCE(A129,""price"")"),1081.5)</f>
        <v>1081.5</v>
      </c>
      <c r="C129" s="60">
        <f>IFERROR(__xludf.DUMMYFUNCTION("MAX(QUERY(SORT(GOOGLEFINANCE(A129,""high"",TODAY()-100,TODAY()),1,0),""select Col2 limit 55""))"),1098.8)</f>
        <v>1098.8</v>
      </c>
      <c r="D129" s="32">
        <f>IFERROR(__xludf.DUMMYFUNCTION("GOOGLEFINANCE(A129,""high52"")"),1141.9)</f>
        <v>1141.9</v>
      </c>
      <c r="E129" s="33">
        <f>IFERROR(__xludf.DUMMYFUNCTION("to_date(index(sort(GOOGLEFINANCE(A129, ""high"", today()-52*7, today(), ""DAILY""),2,0),2,1))"),45817.64583333333)</f>
        <v>45817.64583</v>
      </c>
      <c r="F129" s="32">
        <f>IFERROR(__xludf.DUMMYFUNCTION("GOOGLEFINANCE(A129,""low52"")"),729.6)</f>
        <v>729.6</v>
      </c>
      <c r="G129" s="33">
        <f>IFERROR(__xludf.DUMMYFUNCTION("to_date(index(sort(GOOGLEFINANCE(A129, ""low"", today()-52*7, today(), ""DAILY""),2,1),1,1))"),46090.64583333333)</f>
        <v>46090.64583</v>
      </c>
      <c r="H129" s="61">
        <f>IFERROR(__xludf.DUMMYFUNCTION("MIN(QUERY(SORT(GOOGLEFINANCE(A129,""low"",TODAY()-40,TODAY()),1,0),""select Col2 limit 20""))"),1027.5)</f>
        <v>1027.5</v>
      </c>
      <c r="I129" s="61">
        <f t="shared" si="1"/>
        <v>1.599630143</v>
      </c>
      <c r="J129" s="35" t="str">
        <f t="shared" si="2"/>
        <v>No need to fresh start</v>
      </c>
    </row>
    <row r="130">
      <c r="A130" s="7" t="s">
        <v>398</v>
      </c>
      <c r="B130" s="59">
        <f>IFERROR(__xludf.DUMMYFUNCTION("GOOGLEFINANCE(A130,""price"")"),6991.0)</f>
        <v>6991</v>
      </c>
      <c r="C130" s="60">
        <f>IFERROR(__xludf.DUMMYFUNCTION("MAX(QUERY(SORT(GOOGLEFINANCE(A130,""high"",TODAY()-100,TODAY()),1,0),""select Col2 limit 55""))"),7319.5)</f>
        <v>7319.5</v>
      </c>
      <c r="D130" s="32">
        <f>IFERROR(__xludf.DUMMYFUNCTION("GOOGLEFINANCE(A130,""high52"")"),7319.5)</f>
        <v>7319.5</v>
      </c>
      <c r="E130" s="33">
        <f>IFERROR(__xludf.DUMMYFUNCTION("to_date(index(sort(GOOGLEFINANCE(A130, ""high"", today()-52*7, today(), ""DAILY""),2,0),2,1))"),46149.64583333333)</f>
        <v>46149.64583</v>
      </c>
      <c r="F130" s="32">
        <f>IFERROR(__xludf.DUMMYFUNCTION("GOOGLEFINANCE(A130,""low52"")"),4710.0)</f>
        <v>4710</v>
      </c>
      <c r="G130" s="33">
        <f>IFERROR(__xludf.DUMMYFUNCTION("to_date(index(sort(GOOGLEFINANCE(A130, ""low"", today()-52*7, today(), ""DAILY""),2,1),1,1))"),45968.64583333333)</f>
        <v>45968.64583</v>
      </c>
      <c r="H130" s="61">
        <f>IFERROR(__xludf.DUMMYFUNCTION("MIN(QUERY(SORT(GOOGLEFINANCE(A130,""low"",TODAY()-40,TODAY()),1,0),""select Col2 limit 20""))"),6067.1)</f>
        <v>6067.1</v>
      </c>
      <c r="I130" s="61">
        <f t="shared" si="1"/>
        <v>4.698898584</v>
      </c>
      <c r="J130" s="35" t="str">
        <f t="shared" si="2"/>
        <v>No need to fresh start</v>
      </c>
    </row>
    <row r="131">
      <c r="A131" s="7" t="s">
        <v>399</v>
      </c>
      <c r="B131" s="59">
        <f>IFERROR(__xludf.DUMMYFUNCTION("GOOGLEFINANCE(A131,""price"")"),530.75)</f>
        <v>530.75</v>
      </c>
      <c r="C131" s="60">
        <f>IFERROR(__xludf.DUMMYFUNCTION("MAX(QUERY(SORT(GOOGLEFINANCE(A131,""high"",TODAY()-100,TODAY()),1,0),""select Col2 limit 55""))"),563.4)</f>
        <v>563.4</v>
      </c>
      <c r="D131" s="32">
        <f>IFERROR(__xludf.DUMMYFUNCTION("GOOGLEFINANCE(A131,""high52"")"),627.8)</f>
        <v>627.8</v>
      </c>
      <c r="E131" s="33">
        <f>IFERROR(__xludf.DUMMYFUNCTION("to_date(index(sort(GOOGLEFINANCE(A131, ""high"", today()-52*7, today(), ""DAILY""),2,0),2,1))"),45854.64583333333)</f>
        <v>45854.64583</v>
      </c>
      <c r="F131" s="32">
        <f>IFERROR(__xludf.DUMMYFUNCTION("GOOGLEFINANCE(A131,""low52"")"),393.55)</f>
        <v>393.55</v>
      </c>
      <c r="G131" s="33">
        <f>IFERROR(__xludf.DUMMYFUNCTION("to_date(index(sort(GOOGLEFINANCE(A131, ""low"", today()-52*7, today(), ""DAILY""),2,1),1,1))"),46043.64583333333)</f>
        <v>46043.64583</v>
      </c>
      <c r="H131" s="61">
        <f>IFERROR(__xludf.DUMMYFUNCTION("MIN(QUERY(SORT(GOOGLEFINANCE(A131,""low"",TODAY()-40,TODAY()),1,0),""select Col2 limit 20""))"),500.0)</f>
        <v>500</v>
      </c>
      <c r="I131" s="61">
        <f t="shared" si="1"/>
        <v>6.151672162</v>
      </c>
      <c r="J131" s="35" t="str">
        <f t="shared" si="2"/>
        <v>No need to fresh start</v>
      </c>
    </row>
    <row r="132">
      <c r="A132" s="7" t="s">
        <v>284</v>
      </c>
      <c r="B132" s="59">
        <f>IFERROR(__xludf.DUMMYFUNCTION("GOOGLEFINANCE(A132,""price"")"),9608.0)</f>
        <v>9608</v>
      </c>
      <c r="C132" s="60">
        <f>IFERROR(__xludf.DUMMYFUNCTION("MAX(QUERY(SORT(GOOGLEFINANCE(A132,""high"",TODAY()-100,TODAY()),1,0),""select Col2 limit 55""))"),9669.5)</f>
        <v>9669.5</v>
      </c>
      <c r="D132" s="32">
        <f>IFERROR(__xludf.DUMMYFUNCTION("GOOGLEFINANCE(A132,""high52"")"),9692.0)</f>
        <v>9692</v>
      </c>
      <c r="E132" s="33">
        <f>IFERROR(__xludf.DUMMYFUNCTION("to_date(index(sort(GOOGLEFINANCE(A132, ""high"", today()-52*7, today(), ""DAILY""),2,0),2,1))"),46168.64583333333)</f>
        <v>46168.64583</v>
      </c>
      <c r="F132" s="32">
        <f>IFERROR(__xludf.DUMMYFUNCTION("GOOGLEFINANCE(A132,""low52"")"),5760.0)</f>
        <v>5760</v>
      </c>
      <c r="G132" s="33">
        <f>IFERROR(__xludf.DUMMYFUNCTION("to_date(index(sort(GOOGLEFINANCE(A132, ""low"", today()-52*7, today(), ""DAILY""),2,1),1,1))"),45821.64583333333)</f>
        <v>45821.64583</v>
      </c>
      <c r="H132" s="61">
        <f>IFERROR(__xludf.DUMMYFUNCTION("MIN(QUERY(SORT(GOOGLEFINANCE(A132,""low"",TODAY()-40,TODAY()),1,0),""select Col2 limit 20""))"),7970.5)</f>
        <v>7970.5</v>
      </c>
      <c r="I132" s="61">
        <f t="shared" si="1"/>
        <v>0.6400915903</v>
      </c>
      <c r="J132" s="35" t="str">
        <f t="shared" si="2"/>
        <v>No need to fresh start</v>
      </c>
    </row>
    <row r="133">
      <c r="A133" s="7" t="s">
        <v>66</v>
      </c>
      <c r="B133" s="59">
        <f>IFERROR(__xludf.DUMMYFUNCTION("GOOGLEFINANCE(A133,""price"")"),416.65)</f>
        <v>416.65</v>
      </c>
      <c r="C133" s="60">
        <f>IFERROR(__xludf.DUMMYFUNCTION("MAX(QUERY(SORT(GOOGLEFINANCE(A133,""high"",TODAY()-100,TODAY()),1,0),""select Col2 limit 55""))"),438.7)</f>
        <v>438.7</v>
      </c>
      <c r="D133" s="32">
        <f>IFERROR(__xludf.DUMMYFUNCTION("GOOGLEFINANCE(A133,""high52"")"),469.0)</f>
        <v>469</v>
      </c>
      <c r="E133" s="33">
        <f>IFERROR(__xludf.DUMMYFUNCTION("to_date(index(sort(GOOGLEFINANCE(A133, ""high"", today()-52*7, today(), ""DAILY""),2,0),2,1))"),45832.64583333333)</f>
        <v>45832.64583</v>
      </c>
      <c r="F133" s="32">
        <f>IFERROR(__xludf.DUMMYFUNCTION("GOOGLEFINANCE(A133,""low52"")"),266.65)</f>
        <v>266.65</v>
      </c>
      <c r="G133" s="33">
        <f>IFERROR(__xludf.DUMMYFUNCTION("to_date(index(sort(GOOGLEFINANCE(A133, ""low"", today()-52*7, today(), ""DAILY""),2,1),1,1))"),46111.64583333333)</f>
        <v>46111.64583</v>
      </c>
      <c r="H133" s="61">
        <f>IFERROR(__xludf.DUMMYFUNCTION("MIN(QUERY(SORT(GOOGLEFINANCE(A133,""low"",TODAY()-40,TODAY()),1,0),""select Col2 limit 20""))"),378.0)</f>
        <v>378</v>
      </c>
      <c r="I133" s="61">
        <f t="shared" si="1"/>
        <v>5.292211688</v>
      </c>
      <c r="J133" s="35" t="str">
        <f t="shared" si="2"/>
        <v>No need to fresh start</v>
      </c>
    </row>
    <row r="134">
      <c r="A134" s="7" t="s">
        <v>77</v>
      </c>
      <c r="B134" s="59">
        <f>IFERROR(__xludf.DUMMYFUNCTION("GOOGLEFINANCE(A134,""price"")"),145.91)</f>
        <v>145.91</v>
      </c>
      <c r="C134" s="60">
        <f>IFERROR(__xludf.DUMMYFUNCTION("MAX(QUERY(SORT(GOOGLEFINANCE(A134,""high"",TODAY()-100,TODAY()),1,0),""select Col2 limit 55""))"),169.03)</f>
        <v>169.03</v>
      </c>
      <c r="D134" s="32">
        <f>IFERROR(__xludf.DUMMYFUNCTION("GOOGLEFINANCE(A134,""high52"")"),178.36)</f>
        <v>178.36</v>
      </c>
      <c r="E134" s="33">
        <f>IFERROR(__xludf.DUMMYFUNCTION("to_date(index(sort(GOOGLEFINANCE(A134, ""high"", today()-52*7, today(), ""DAILY""),2,0),2,1))"),46080.64583333333)</f>
        <v>46080.64583</v>
      </c>
      <c r="F134" s="32">
        <f>IFERROR(__xludf.DUMMYFUNCTION("GOOGLEFINANCE(A134,""low52"")"),108.81)</f>
        <v>108.81</v>
      </c>
      <c r="G134" s="33">
        <f>IFERROR(__xludf.DUMMYFUNCTION("to_date(index(sort(GOOGLEFINANCE(A134, ""low"", today()-52*7, today(), ""DAILY""),2,1),1,1))"),45870.64583333333)</f>
        <v>45870.64583</v>
      </c>
      <c r="H134" s="61">
        <f>IFERROR(__xludf.DUMMYFUNCTION("MIN(QUERY(SORT(GOOGLEFINANCE(A134,""low"",TODAY()-40,TODAY()),1,0),""select Col2 limit 20""))"),136.5)</f>
        <v>136.5</v>
      </c>
      <c r="I134" s="61">
        <f t="shared" si="1"/>
        <v>15.84538414</v>
      </c>
      <c r="J134" s="35" t="str">
        <f t="shared" si="2"/>
        <v>No need to fresh start</v>
      </c>
    </row>
    <row r="135">
      <c r="A135" s="7" t="s">
        <v>400</v>
      </c>
      <c r="B135" s="59">
        <f>IFERROR(__xludf.DUMMYFUNCTION("GOOGLEFINANCE(A135,""price"")"),1702.0)</f>
        <v>1702</v>
      </c>
      <c r="C135" s="60">
        <f>IFERROR(__xludf.DUMMYFUNCTION("MAX(QUERY(SORT(GOOGLEFINANCE(A135,""high"",TODAY()-100,TODAY()),1,0),""select Col2 limit 55""))"),1777.1)</f>
        <v>1777.1</v>
      </c>
      <c r="D135" s="32">
        <f>IFERROR(__xludf.DUMMYFUNCTION("GOOGLEFINANCE(A135,""high52"")"),2426.09)</f>
        <v>2426.09</v>
      </c>
      <c r="E135" s="33">
        <f>IFERROR(__xludf.DUMMYFUNCTION("to_date(index(sort(GOOGLEFINANCE(A135, ""high"", today()-52*7, today(), ""DAILY""),2,0),2,1))"),45944.64583333333)</f>
        <v>45944.64583</v>
      </c>
      <c r="F135" s="32">
        <f>IFERROR(__xludf.DUMMYFUNCTION("GOOGLEFINANCE(A135,""low52"")"),1404.0)</f>
        <v>1404</v>
      </c>
      <c r="G135" s="33">
        <f>IFERROR(__xludf.DUMMYFUNCTION("to_date(index(sort(GOOGLEFINANCE(A135, ""low"", today()-52*7, today(), ""DAILY""),2,1),1,1))"),46111.64583333333)</f>
        <v>46111.64583</v>
      </c>
      <c r="H135" s="61">
        <f>IFERROR(__xludf.DUMMYFUNCTION("MIN(QUERY(SORT(GOOGLEFINANCE(A135,""low"",TODAY()-40,TODAY()),1,0),""select Col2 limit 20""))"),1625.2)</f>
        <v>1625.2</v>
      </c>
      <c r="I135" s="61">
        <f t="shared" si="1"/>
        <v>4.412455934</v>
      </c>
      <c r="J135" s="35" t="str">
        <f t="shared" si="2"/>
        <v>No need to fresh start</v>
      </c>
    </row>
    <row r="136">
      <c r="A136" s="7" t="s">
        <v>401</v>
      </c>
      <c r="B136" s="59" t="str">
        <f>IFERROR(__xludf.DUMMYFUNCTION("GOOGLEFINANCE(A136,""price"")"),"#N/A")</f>
        <v>#N/A</v>
      </c>
      <c r="C136" s="60" t="str">
        <f>IFERROR(__xludf.DUMMYFUNCTION("MAX(QUERY(SORT(GOOGLEFINANCE(A136,""high"",TODAY()-100,TODAY()),1,0),""select Col2 limit 55""))"),"#N/A")</f>
        <v>#N/A</v>
      </c>
      <c r="D136" s="32" t="str">
        <f>IFERROR(__xludf.DUMMYFUNCTION("GOOGLEFINANCE(A136,""high52"")"),"#N/A")</f>
        <v>#N/A</v>
      </c>
      <c r="E136" s="33" t="str">
        <f>IFERROR(__xludf.DUMMYFUNCTION("to_date(index(sort(GOOGLEFINANCE(A136, ""high"", today()-52*7, today(), ""DAILY""),2,0),2,1))"),"#N/A")</f>
        <v>#N/A</v>
      </c>
      <c r="F136" s="32" t="str">
        <f>IFERROR(__xludf.DUMMYFUNCTION("GOOGLEFINANCE(A136,""low52"")"),"#N/A")</f>
        <v>#N/A</v>
      </c>
      <c r="G136" s="33" t="str">
        <f>IFERROR(__xludf.DUMMYFUNCTION("to_date(index(sort(GOOGLEFINANCE(A136, ""low"", today()-52*7, today(), ""DAILY""),2,1),1,1))"),"#N/A")</f>
        <v>#N/A</v>
      </c>
      <c r="H136" s="61" t="str">
        <f>IFERROR(__xludf.DUMMYFUNCTION("MIN(QUERY(SORT(GOOGLEFINANCE(A136,""low"",TODAY()-40,TODAY()),1,0),""select Col2 limit 20""))"),"#N/A")</f>
        <v>#N/A</v>
      </c>
      <c r="I136" s="61" t="str">
        <f t="shared" si="1"/>
        <v>#N/A</v>
      </c>
      <c r="J136" s="35" t="str">
        <f t="shared" si="2"/>
        <v>#N/A</v>
      </c>
    </row>
    <row r="137">
      <c r="A137" s="7" t="s">
        <v>402</v>
      </c>
      <c r="B137" s="59" t="str">
        <f>IFERROR(__xludf.DUMMYFUNCTION("GOOGLEFINANCE(A137,""price"")"),"#N/A")</f>
        <v>#N/A</v>
      </c>
      <c r="C137" s="60" t="str">
        <f>IFERROR(__xludf.DUMMYFUNCTION("MAX(QUERY(SORT(GOOGLEFINANCE(A137,""high"",TODAY()-100,TODAY()),1,0),""select Col2 limit 55""))"),"#N/A")</f>
        <v>#N/A</v>
      </c>
      <c r="D137" s="32" t="str">
        <f>IFERROR(__xludf.DUMMYFUNCTION("GOOGLEFINANCE(A137,""high52"")"),"#N/A")</f>
        <v>#N/A</v>
      </c>
      <c r="E137" s="33" t="str">
        <f>IFERROR(__xludf.DUMMYFUNCTION("to_date(index(sort(GOOGLEFINANCE(A137, ""high"", today()-52*7, today(), ""DAILY""),2,0),2,1))"),"#N/A")</f>
        <v>#N/A</v>
      </c>
      <c r="F137" s="32" t="str">
        <f>IFERROR(__xludf.DUMMYFUNCTION("GOOGLEFINANCE(A137,""low52"")"),"#N/A")</f>
        <v>#N/A</v>
      </c>
      <c r="G137" s="33" t="str">
        <f>IFERROR(__xludf.DUMMYFUNCTION("to_date(index(sort(GOOGLEFINANCE(A137, ""low"", today()-52*7, today(), ""DAILY""),2,1),1,1))"),"#N/A")</f>
        <v>#N/A</v>
      </c>
      <c r="H137" s="61" t="str">
        <f>IFERROR(__xludf.DUMMYFUNCTION("MIN(QUERY(SORT(GOOGLEFINANCE(A137,""low"",TODAY()-40,TODAY()),1,0),""select Col2 limit 20""))"),"#N/A")</f>
        <v>#N/A</v>
      </c>
      <c r="I137" s="61" t="str">
        <f t="shared" si="1"/>
        <v>#N/A</v>
      </c>
      <c r="J137" s="35" t="str">
        <f t="shared" si="2"/>
        <v>#N/A</v>
      </c>
    </row>
    <row r="138">
      <c r="A138" s="7" t="s">
        <v>220</v>
      </c>
      <c r="B138" s="59">
        <f>IFERROR(__xludf.DUMMYFUNCTION("GOOGLEFINANCE(A138,""price"")"),461.85)</f>
        <v>461.85</v>
      </c>
      <c r="C138" s="60">
        <f>IFERROR(__xludf.DUMMYFUNCTION("MAX(QUERY(SORT(GOOGLEFINANCE(A138,""high"",TODAY()-100,TODAY()),1,0),""select Col2 limit 55""))"),518.55)</f>
        <v>518.55</v>
      </c>
      <c r="D138" s="32">
        <f>IFERROR(__xludf.DUMMYFUNCTION("GOOGLEFINANCE(A138,""high52"")"),728.6)</f>
        <v>728.6</v>
      </c>
      <c r="E138" s="33">
        <f>IFERROR(__xludf.DUMMYFUNCTION("to_date(index(sort(GOOGLEFINANCE(A138, ""high"", today()-52*7, today(), ""DAILY""),2,0),2,1))"),45868.64583333333)</f>
        <v>45868.64583</v>
      </c>
      <c r="F138" s="32">
        <f>IFERROR(__xludf.DUMMYFUNCTION("GOOGLEFINANCE(A138,""low52"")"),380.0)</f>
        <v>380</v>
      </c>
      <c r="G138" s="33">
        <f>IFERROR(__xludf.DUMMYFUNCTION("to_date(index(sort(GOOGLEFINANCE(A138, ""low"", today()-52*7, today(), ""DAILY""),2,1),1,1))"),46118.64583333333)</f>
        <v>46118.64583</v>
      </c>
      <c r="H138" s="61">
        <f>IFERROR(__xludf.DUMMYFUNCTION("MIN(QUERY(SORT(GOOGLEFINANCE(A138,""low"",TODAY()-40,TODAY()),1,0),""select Col2 limit 20""))"),429.9)</f>
        <v>429.9</v>
      </c>
      <c r="I138" s="61">
        <f t="shared" si="1"/>
        <v>12.27671322</v>
      </c>
      <c r="J138" s="35" t="str">
        <f t="shared" si="2"/>
        <v>Start GTT Order</v>
      </c>
    </row>
    <row r="139">
      <c r="A139" s="7" t="s">
        <v>403</v>
      </c>
      <c r="B139" s="59">
        <f>IFERROR(__xludf.DUMMYFUNCTION("GOOGLEFINANCE(A139,""price"")"),184.56)</f>
        <v>184.56</v>
      </c>
      <c r="C139" s="60">
        <f>IFERROR(__xludf.DUMMYFUNCTION("MAX(QUERY(SORT(GOOGLEFINANCE(A139,""high"",TODAY()-100,TODAY()),1,0),""select Col2 limit 55""))"),183.49)</f>
        <v>183.49</v>
      </c>
      <c r="D139" s="32">
        <f>IFERROR(__xludf.DUMMYFUNCTION("GOOGLEFINANCE(A139,""high52"")"),244.3)</f>
        <v>244.3</v>
      </c>
      <c r="E139" s="33">
        <f>IFERROR(__xludf.DUMMYFUNCTION("to_date(index(sort(GOOGLEFINANCE(A139, ""high"", today()-52*7, today(), ""DAILY""),2,0),2,1))"),45869.64583333333)</f>
        <v>45869.64583</v>
      </c>
      <c r="F139" s="32">
        <f>IFERROR(__xludf.DUMMYFUNCTION("GOOGLEFINANCE(A139,""low52"")"),119.99)</f>
        <v>119.99</v>
      </c>
      <c r="G139" s="33">
        <f>IFERROR(__xludf.DUMMYFUNCTION("to_date(index(sort(GOOGLEFINANCE(A139, ""low"", today()-52*7, today(), ""DAILY""),2,1),1,1))"),46111.64583333333)</f>
        <v>46111.64583</v>
      </c>
      <c r="H139" s="61">
        <f>IFERROR(__xludf.DUMMYFUNCTION("MIN(QUERY(SORT(GOOGLEFINANCE(A139,""low"",TODAY()-40,TODAY()),1,0),""select Col2 limit 20""))"),157.57)</f>
        <v>157.57</v>
      </c>
      <c r="I139" s="61">
        <f t="shared" si="1"/>
        <v>-0.5797572605</v>
      </c>
      <c r="J139" s="35" t="str">
        <f t="shared" si="2"/>
        <v>No need to fresh start</v>
      </c>
    </row>
    <row r="140">
      <c r="A140" s="7" t="s">
        <v>404</v>
      </c>
      <c r="B140" s="59">
        <f>IFERROR(__xludf.DUMMYFUNCTION("GOOGLEFINANCE(A140,""price"")"),516.1)</f>
        <v>516.1</v>
      </c>
      <c r="C140" s="60">
        <f>IFERROR(__xludf.DUMMYFUNCTION("MAX(QUERY(SORT(GOOGLEFINANCE(A140,""high"",TODAY()-100,TODAY()),1,0),""select Col2 limit 55""))"),593.55)</f>
        <v>593.55</v>
      </c>
      <c r="D140" s="32">
        <f>IFERROR(__xludf.DUMMYFUNCTION("GOOGLEFINANCE(A140,""high52"")"),848.0)</f>
        <v>848</v>
      </c>
      <c r="E140" s="33">
        <f>IFERROR(__xludf.DUMMYFUNCTION("to_date(index(sort(GOOGLEFINANCE(A140, ""high"", today()-52*7, today(), ""DAILY""),2,0),2,1))"),45811.64583333333)</f>
        <v>45811.64583</v>
      </c>
      <c r="F140" s="32">
        <f>IFERROR(__xludf.DUMMYFUNCTION("GOOGLEFINANCE(A140,""low52"")"),447.55)</f>
        <v>447.55</v>
      </c>
      <c r="G140" s="33">
        <f>IFERROR(__xludf.DUMMYFUNCTION("to_date(index(sort(GOOGLEFINANCE(A140, ""low"", today()-52*7, today(), ""DAILY""),2,1),1,1))"),46108.64583333333)</f>
        <v>46108.64583</v>
      </c>
      <c r="H140" s="61">
        <f>IFERROR(__xludf.DUMMYFUNCTION("MIN(QUERY(SORT(GOOGLEFINANCE(A140,""low"",TODAY()-40,TODAY()),1,0),""select Col2 limit 20""))"),494.55)</f>
        <v>494.55</v>
      </c>
      <c r="I140" s="61">
        <f t="shared" si="1"/>
        <v>15.00678163</v>
      </c>
      <c r="J140" s="35" t="str">
        <f t="shared" si="2"/>
        <v>Start GTT Order</v>
      </c>
    </row>
    <row r="141">
      <c r="A141" s="7" t="s">
        <v>405</v>
      </c>
      <c r="B141" s="59">
        <f>IFERROR(__xludf.DUMMYFUNCTION("GOOGLEFINANCE(A141,""price"")"),384.35)</f>
        <v>384.35</v>
      </c>
      <c r="C141" s="60">
        <f>IFERROR(__xludf.DUMMYFUNCTION("MAX(QUERY(SORT(GOOGLEFINANCE(A141,""high"",TODAY()-100,TODAY()),1,0),""select Col2 limit 55""))"),408.0)</f>
        <v>408</v>
      </c>
      <c r="D141" s="32">
        <f>IFERROR(__xludf.DUMMYFUNCTION("GOOGLEFINANCE(A141,""high52"")"),497.55)</f>
        <v>497.55</v>
      </c>
      <c r="E141" s="33">
        <f>IFERROR(__xludf.DUMMYFUNCTION("to_date(index(sort(GOOGLEFINANCE(A141, ""high"", today()-52*7, today(), ""DAILY""),2,0),2,1))"),45840.64583333333)</f>
        <v>45840.64583</v>
      </c>
      <c r="F141" s="32">
        <f>IFERROR(__xludf.DUMMYFUNCTION("GOOGLEFINANCE(A141,""low52"")"),292.25)</f>
        <v>292.25</v>
      </c>
      <c r="G141" s="33">
        <f>IFERROR(__xludf.DUMMYFUNCTION("to_date(index(sort(GOOGLEFINANCE(A141, ""low"", today()-52*7, today(), ""DAILY""),2,1),1,1))"),46111.64583333333)</f>
        <v>46111.64583</v>
      </c>
      <c r="H141" s="61">
        <f>IFERROR(__xludf.DUMMYFUNCTION("MIN(QUERY(SORT(GOOGLEFINANCE(A141,""low"",TODAY()-40,TODAY()),1,0),""select Col2 limit 20""))"),351.0)</f>
        <v>351</v>
      </c>
      <c r="I141" s="61">
        <f t="shared" si="1"/>
        <v>6.15324574</v>
      </c>
      <c r="J141" s="35" t="str">
        <f t="shared" si="2"/>
        <v>No need to fresh start</v>
      </c>
    </row>
    <row r="142">
      <c r="A142" s="7" t="s">
        <v>44</v>
      </c>
      <c r="B142" s="59">
        <f>IFERROR(__xludf.DUMMYFUNCTION("GOOGLEFINANCE(A142,""price"")"),1047.0)</f>
        <v>1047</v>
      </c>
      <c r="C142" s="60">
        <f>IFERROR(__xludf.DUMMYFUNCTION("MAX(QUERY(SORT(GOOGLEFINANCE(A142,""high"",TODAY()-100,TODAY()),1,0),""select Col2 limit 55""))"),1159.7)</f>
        <v>1159.7</v>
      </c>
      <c r="D142" s="32">
        <f>IFERROR(__xludf.DUMMYFUNCTION("GOOGLEFINANCE(A142,""high52"")"),1159.7)</f>
        <v>1159.7</v>
      </c>
      <c r="E142" s="33">
        <f>IFERROR(__xludf.DUMMYFUNCTION("to_date(index(sort(GOOGLEFINANCE(A142, ""high"", today()-52*7, today(), ""DAILY""),2,0),2,1))"),46142.64583333333)</f>
        <v>46142.64583</v>
      </c>
      <c r="F142" s="32">
        <f>IFERROR(__xludf.DUMMYFUNCTION("GOOGLEFINANCE(A142,""low52"")"),603.1)</f>
        <v>603.1</v>
      </c>
      <c r="G142" s="33">
        <f>IFERROR(__xludf.DUMMYFUNCTION("to_date(index(sort(GOOGLEFINANCE(A142, ""low"", today()-52*7, today(), ""DAILY""),2,1),1,1))"),45827.64583333333)</f>
        <v>45827.64583</v>
      </c>
      <c r="H142" s="61">
        <f>IFERROR(__xludf.DUMMYFUNCTION("MIN(QUERY(SORT(GOOGLEFINANCE(A142,""low"",TODAY()-40,TODAY()),1,0),""select Col2 limit 20""))"),973.1)</f>
        <v>973.1</v>
      </c>
      <c r="I142" s="61">
        <f t="shared" si="1"/>
        <v>10.76408787</v>
      </c>
      <c r="J142" s="35" t="str">
        <f t="shared" si="2"/>
        <v>No need to fresh start</v>
      </c>
    </row>
    <row r="143">
      <c r="A143" s="7" t="s">
        <v>60</v>
      </c>
      <c r="B143" s="59">
        <f>IFERROR(__xludf.DUMMYFUNCTION("GOOGLEFINANCE(A143,""price"")"),255.4)</f>
        <v>255.4</v>
      </c>
      <c r="C143" s="60">
        <f>IFERROR(__xludf.DUMMYFUNCTION("MAX(QUERY(SORT(GOOGLEFINANCE(A143,""high"",TODAY()-100,TODAY()),1,0),""select Col2 limit 55""))"),311.85)</f>
        <v>311.85</v>
      </c>
      <c r="D143" s="32">
        <f>IFERROR(__xludf.DUMMYFUNCTION("GOOGLEFINANCE(A143,""high52"")"),442.8)</f>
        <v>442.8</v>
      </c>
      <c r="E143" s="33">
        <f>IFERROR(__xludf.DUMMYFUNCTION("to_date(index(sort(GOOGLEFINANCE(A143, ""high"", today()-52*7, today(), ""DAILY""),2,0),2,1))"),45817.64583333333)</f>
        <v>45817.64583</v>
      </c>
      <c r="F143" s="32">
        <f>IFERROR(__xludf.DUMMYFUNCTION("GOOGLEFINANCE(A143,""low52"")"),248.0)</f>
        <v>248</v>
      </c>
      <c r="G143" s="33">
        <f>IFERROR(__xludf.DUMMYFUNCTION("to_date(index(sort(GOOGLEFINANCE(A143, ""low"", today()-52*7, today(), ""DAILY""),2,1),1,1))"),46111.64583333333)</f>
        <v>46111.64583</v>
      </c>
      <c r="H143" s="61">
        <f>IFERROR(__xludf.DUMMYFUNCTION("MIN(QUERY(SORT(GOOGLEFINANCE(A143,""low"",TODAY()-40,TODAY()),1,0),""select Col2 limit 20""))"),259.0)</f>
        <v>259</v>
      </c>
      <c r="I143" s="61">
        <f t="shared" si="1"/>
        <v>22.10258418</v>
      </c>
      <c r="J143" s="35" t="str">
        <f t="shared" si="2"/>
        <v>No need to fresh start</v>
      </c>
    </row>
    <row r="144">
      <c r="A144" s="7" t="s">
        <v>406</v>
      </c>
      <c r="B144" s="59" t="str">
        <f>IFERROR(__xludf.DUMMYFUNCTION("GOOGLEFINANCE(A144,""price"")"),"#N/A")</f>
        <v>#N/A</v>
      </c>
      <c r="C144" s="60" t="str">
        <f>IFERROR(__xludf.DUMMYFUNCTION("MAX(QUERY(SORT(GOOGLEFINANCE(A144,""high"",TODAY()-100,TODAY()),1,0),""select Col2 limit 55""))"),"#N/A")</f>
        <v>#N/A</v>
      </c>
      <c r="D144" s="32" t="str">
        <f>IFERROR(__xludf.DUMMYFUNCTION("GOOGLEFINANCE(A144,""high52"")"),"#N/A")</f>
        <v>#N/A</v>
      </c>
      <c r="E144" s="33" t="str">
        <f>IFERROR(__xludf.DUMMYFUNCTION("to_date(index(sort(GOOGLEFINANCE(A144, ""high"", today()-52*7, today(), ""DAILY""),2,0),2,1))"),"#N/A")</f>
        <v>#N/A</v>
      </c>
      <c r="F144" s="32" t="str">
        <f>IFERROR(__xludf.DUMMYFUNCTION("GOOGLEFINANCE(A144,""low52"")"),"#N/A")</f>
        <v>#N/A</v>
      </c>
      <c r="G144" s="33" t="str">
        <f>IFERROR(__xludf.DUMMYFUNCTION("to_date(index(sort(GOOGLEFINANCE(A144, ""low"", today()-52*7, today(), ""DAILY""),2,1),1,1))"),"#N/A")</f>
        <v>#N/A</v>
      </c>
      <c r="H144" s="61" t="str">
        <f>IFERROR(__xludf.DUMMYFUNCTION("MIN(QUERY(SORT(GOOGLEFINANCE(A144,""low"",TODAY()-40,TODAY()),1,0),""select Col2 limit 20""))"),"#N/A")</f>
        <v>#N/A</v>
      </c>
      <c r="I144" s="61" t="str">
        <f t="shared" si="1"/>
        <v>#N/A</v>
      </c>
      <c r="J144" s="35" t="str">
        <f t="shared" si="2"/>
        <v>#N/A</v>
      </c>
    </row>
    <row r="145">
      <c r="A145" s="7" t="s">
        <v>407</v>
      </c>
      <c r="B145" s="59">
        <f>IFERROR(__xludf.DUMMYFUNCTION("GOOGLEFINANCE(A145,""price"")"),1515.9)</f>
        <v>1515.9</v>
      </c>
      <c r="C145" s="60">
        <f>IFERROR(__xludf.DUMMYFUNCTION("MAX(QUERY(SORT(GOOGLEFINANCE(A145,""high"",TODAY()-100,TODAY()),1,0),""select Col2 limit 55""))"),1618.7)</f>
        <v>1618.7</v>
      </c>
      <c r="D145" s="32">
        <f>IFERROR(__xludf.DUMMYFUNCTION("GOOGLEFINANCE(A145,""high52"")"),3000.0)</f>
        <v>3000</v>
      </c>
      <c r="E145" s="33">
        <f>IFERROR(__xludf.DUMMYFUNCTION("to_date(index(sort(GOOGLEFINANCE(A145, ""high"", today()-52*7, today(), ""DAILY""),2,0),2,1))"),45882.64583333333)</f>
        <v>45882.64583</v>
      </c>
      <c r="F145" s="32">
        <f>IFERROR(__xludf.DUMMYFUNCTION("GOOGLEFINANCE(A145,""low52"")"),1203.0)</f>
        <v>1203</v>
      </c>
      <c r="G145" s="33">
        <f>IFERROR(__xludf.DUMMYFUNCTION("to_date(index(sort(GOOGLEFINANCE(A145, ""low"", today()-52*7, today(), ""DAILY""),2,1),1,1))"),46111.64583333333)</f>
        <v>46111.64583</v>
      </c>
      <c r="H145" s="61">
        <f>IFERROR(__xludf.DUMMYFUNCTION("MIN(QUERY(SORT(GOOGLEFINANCE(A145,""low"",TODAY()-40,TODAY()),1,0),""select Col2 limit 20""))"),1347.5)</f>
        <v>1347.5</v>
      </c>
      <c r="I145" s="61">
        <f t="shared" si="1"/>
        <v>6.781449964</v>
      </c>
      <c r="J145" s="35" t="str">
        <f t="shared" si="2"/>
        <v>No need to fresh start</v>
      </c>
    </row>
    <row r="146">
      <c r="A146" s="7" t="s">
        <v>95</v>
      </c>
      <c r="B146" s="59">
        <f>IFERROR(__xludf.DUMMYFUNCTION("GOOGLEFINANCE(A146,""price"")"),33.67)</f>
        <v>33.67</v>
      </c>
      <c r="C146" s="60">
        <f>IFERROR(__xludf.DUMMYFUNCTION("MAX(QUERY(SORT(GOOGLEFINANCE(A146,""high"",TODAY()-100,TODAY()),1,0),""select Col2 limit 55""))"),36.39)</f>
        <v>36.39</v>
      </c>
      <c r="D146" s="32">
        <f>IFERROR(__xludf.DUMMYFUNCTION("GOOGLEFINANCE(A146,""high52"")"),42.8)</f>
        <v>42.8</v>
      </c>
      <c r="E146" s="33">
        <f>IFERROR(__xludf.DUMMYFUNCTION("to_date(index(sort(GOOGLEFINANCE(A146, ""high"", today()-52*7, today(), ""DAILY""),2,0),2,1))"),45811.64583333333)</f>
        <v>45811.64583</v>
      </c>
      <c r="F146" s="32">
        <f>IFERROR(__xludf.DUMMYFUNCTION("GOOGLEFINANCE(A146,""low52"")"),31.2)</f>
        <v>31.2</v>
      </c>
      <c r="G146" s="33">
        <f>IFERROR(__xludf.DUMMYFUNCTION("to_date(index(sort(GOOGLEFINANCE(A146, ""low"", today()-52*7, today(), ""DAILY""),2,1),1,1))"),46111.64583333333)</f>
        <v>46111.64583</v>
      </c>
      <c r="H146" s="61">
        <f>IFERROR(__xludf.DUMMYFUNCTION("MIN(QUERY(SORT(GOOGLEFINANCE(A146,""low"",TODAY()-40,TODAY()),1,0),""select Col2 limit 20""))"),32.94)</f>
        <v>32.94</v>
      </c>
      <c r="I146" s="61">
        <f t="shared" si="1"/>
        <v>8.078408078</v>
      </c>
      <c r="J146" s="35" t="str">
        <f t="shared" si="2"/>
        <v>No need to fresh start</v>
      </c>
    </row>
    <row r="147">
      <c r="A147" s="7" t="s">
        <v>88</v>
      </c>
      <c r="B147" s="59">
        <f>IFERROR(__xludf.DUMMYFUNCTION("GOOGLEFINANCE(A147,""price"")"),370.25)</f>
        <v>370.25</v>
      </c>
      <c r="C147" s="60">
        <f>IFERROR(__xludf.DUMMYFUNCTION("MAX(QUERY(SORT(GOOGLEFINANCE(A147,""high"",TODAY()-100,TODAY()),1,0),""select Col2 limit 55""))"),432.0)</f>
        <v>432</v>
      </c>
      <c r="D147" s="32">
        <f>IFERROR(__xludf.DUMMYFUNCTION("GOOGLEFINANCE(A147,""high52"")"),508.7)</f>
        <v>508.7</v>
      </c>
      <c r="E147" s="33">
        <f>IFERROR(__xludf.DUMMYFUNCTION("to_date(index(sort(GOOGLEFINANCE(A147, ""high"", today()-52*7, today(), ""DAILY""),2,0),2,1))"),45841.64583333333)</f>
        <v>45841.64583</v>
      </c>
      <c r="F147" s="32">
        <f>IFERROR(__xludf.DUMMYFUNCTION("GOOGLEFINANCE(A147,""low52"")"),301.5)</f>
        <v>301.5</v>
      </c>
      <c r="G147" s="33">
        <f>IFERROR(__xludf.DUMMYFUNCTION("to_date(index(sort(GOOGLEFINANCE(A147, ""low"", today()-52*7, today(), ""DAILY""),2,1),1,1))"),46114.64583333333)</f>
        <v>46114.64583</v>
      </c>
      <c r="H147" s="61">
        <f>IFERROR(__xludf.DUMMYFUNCTION("MIN(QUERY(SORT(GOOGLEFINANCE(A147,""low"",TODAY()-40,TODAY()),1,0),""select Col2 limit 20""))"),359.5)</f>
        <v>359.5</v>
      </c>
      <c r="I147" s="61">
        <f t="shared" si="1"/>
        <v>16.67792032</v>
      </c>
      <c r="J147" s="35" t="str">
        <f t="shared" si="2"/>
        <v>Start GTT Order</v>
      </c>
    </row>
    <row r="148">
      <c r="A148" s="7" t="s">
        <v>408</v>
      </c>
      <c r="B148" s="59">
        <f>IFERROR(__xludf.DUMMYFUNCTION("GOOGLEFINANCE(A148,""price"")"),2302.6)</f>
        <v>2302.6</v>
      </c>
      <c r="C148" s="60">
        <f>IFERROR(__xludf.DUMMYFUNCTION("MAX(QUERY(SORT(GOOGLEFINANCE(A148,""high"",TODAY()-100,TODAY()),1,0),""select Col2 limit 55""))"),2554.0)</f>
        <v>2554</v>
      </c>
      <c r="D148" s="32">
        <f>IFERROR(__xludf.DUMMYFUNCTION("GOOGLEFINANCE(A148,""high52"")"),3515.7)</f>
        <v>3515.7</v>
      </c>
      <c r="E148" s="33">
        <f>IFERROR(__xludf.DUMMYFUNCTION("to_date(index(sort(GOOGLEFINANCE(A148, ""high"", today()-52*7, today(), ""DAILY""),2,0),2,1))"),45813.64583333333)</f>
        <v>45813.64583</v>
      </c>
      <c r="F148" s="32">
        <f>IFERROR(__xludf.DUMMYFUNCTION("GOOGLEFINANCE(A148,""low52"")"),2217.6)</f>
        <v>2217.6</v>
      </c>
      <c r="G148" s="33">
        <f>IFERROR(__xludf.DUMMYFUNCTION("to_date(index(sort(GOOGLEFINANCE(A148, ""low"", today()-52*7, today(), ""DAILY""),2,1),1,1))"),46111.64583333333)</f>
        <v>46111.64583</v>
      </c>
      <c r="H148" s="61">
        <f>IFERROR(__xludf.DUMMYFUNCTION("MIN(QUERY(SORT(GOOGLEFINANCE(A148,""low"",TODAY()-40,TODAY()),1,0),""select Col2 limit 20""))"),2278.1)</f>
        <v>2278.1</v>
      </c>
      <c r="I148" s="61">
        <f t="shared" si="1"/>
        <v>10.91809259</v>
      </c>
      <c r="J148" s="35" t="str">
        <f t="shared" si="2"/>
        <v>Start GTT Order</v>
      </c>
    </row>
    <row r="149">
      <c r="A149" s="7" t="s">
        <v>409</v>
      </c>
      <c r="B149" s="59">
        <f>IFERROR(__xludf.DUMMYFUNCTION("GOOGLEFINANCE(A149,""price"")"),192.09)</f>
        <v>192.09</v>
      </c>
      <c r="C149" s="60">
        <f>IFERROR(__xludf.DUMMYFUNCTION("MAX(QUERY(SORT(GOOGLEFINANCE(A149,""high"",TODAY()-100,TODAY()),1,0),""select Col2 limit 55""))"),232.0)</f>
        <v>232</v>
      </c>
      <c r="D149" s="32">
        <f>IFERROR(__xludf.DUMMYFUNCTION("GOOGLEFINANCE(A149,""high52"")"),348.9)</f>
        <v>348.9</v>
      </c>
      <c r="E149" s="33">
        <f>IFERROR(__xludf.DUMMYFUNCTION("to_date(index(sort(GOOGLEFINANCE(A149, ""high"", today()-52*7, today(), ""DAILY""),2,0),2,1))"),45820.64583333333)</f>
        <v>45820.64583</v>
      </c>
      <c r="F149" s="32">
        <f>IFERROR(__xludf.DUMMYFUNCTION("GOOGLEFINANCE(A149,""low52"")"),148.0)</f>
        <v>148</v>
      </c>
      <c r="G149" s="33">
        <f>IFERROR(__xludf.DUMMYFUNCTION("to_date(index(sort(GOOGLEFINANCE(A149, ""low"", today()-52*7, today(), ""DAILY""),2,1),1,1))"),46111.64583333333)</f>
        <v>46111.64583</v>
      </c>
      <c r="H149" s="61">
        <f>IFERROR(__xludf.DUMMYFUNCTION("MIN(QUERY(SORT(GOOGLEFINANCE(A149,""low"",TODAY()-40,TODAY()),1,0),""select Col2 limit 20""))"),191.0)</f>
        <v>191</v>
      </c>
      <c r="I149" s="61">
        <f t="shared" si="1"/>
        <v>20.77671925</v>
      </c>
      <c r="J149" s="35" t="str">
        <f t="shared" si="2"/>
        <v>No need to fresh start</v>
      </c>
    </row>
    <row r="150">
      <c r="A150" s="7" t="s">
        <v>410</v>
      </c>
      <c r="B150" s="59" t="str">
        <f>IFERROR(__xludf.DUMMYFUNCTION("GOOGLEFINANCE(A150,""price"")"),"#N/A")</f>
        <v>#N/A</v>
      </c>
      <c r="C150" s="60" t="str">
        <f>IFERROR(__xludf.DUMMYFUNCTION("MAX(QUERY(SORT(GOOGLEFINANCE(A150,""high"",TODAY()-100,TODAY()),1,0),""select Col2 limit 55""))"),"#N/A")</f>
        <v>#N/A</v>
      </c>
      <c r="D150" s="32" t="str">
        <f>IFERROR(__xludf.DUMMYFUNCTION("GOOGLEFINANCE(A150,""high52"")"),"#N/A")</f>
        <v>#N/A</v>
      </c>
      <c r="E150" s="33" t="str">
        <f>IFERROR(__xludf.DUMMYFUNCTION("to_date(index(sort(GOOGLEFINANCE(A150, ""high"", today()-52*7, today(), ""DAILY""),2,0),2,1))"),"#N/A")</f>
        <v>#N/A</v>
      </c>
      <c r="F150" s="32" t="str">
        <f>IFERROR(__xludf.DUMMYFUNCTION("GOOGLEFINANCE(A150,""low52"")"),"#N/A")</f>
        <v>#N/A</v>
      </c>
      <c r="G150" s="33" t="str">
        <f>IFERROR(__xludf.DUMMYFUNCTION("to_date(index(sort(GOOGLEFINANCE(A150, ""low"", today()-52*7, today(), ""DAILY""),2,1),1,1))"),"#N/A")</f>
        <v>#N/A</v>
      </c>
      <c r="H150" s="61" t="str">
        <f>IFERROR(__xludf.DUMMYFUNCTION("MIN(QUERY(SORT(GOOGLEFINANCE(A150,""low"",TODAY()-40,TODAY()),1,0),""select Col2 limit 20""))"),"#N/A")</f>
        <v>#N/A</v>
      </c>
      <c r="I150" s="61" t="str">
        <f t="shared" si="1"/>
        <v>#N/A</v>
      </c>
      <c r="J150" s="35" t="str">
        <f t="shared" si="2"/>
        <v>#N/A</v>
      </c>
    </row>
    <row r="151">
      <c r="A151" s="7" t="s">
        <v>273</v>
      </c>
      <c r="B151" s="59" t="str">
        <f>IFERROR(__xludf.DUMMYFUNCTION("GOOGLEFINANCE(A151,""price"")"),"#N/A")</f>
        <v>#N/A</v>
      </c>
      <c r="C151" s="60" t="str">
        <f>IFERROR(__xludf.DUMMYFUNCTION("MAX(QUERY(SORT(GOOGLEFINANCE(A151,""high"",TODAY()-100,TODAY()),1,0),""select Col2 limit 55""))"),"#N/A")</f>
        <v>#N/A</v>
      </c>
      <c r="D151" s="32" t="str">
        <f>IFERROR(__xludf.DUMMYFUNCTION("GOOGLEFINANCE(A151,""high52"")"),"#N/A")</f>
        <v>#N/A</v>
      </c>
      <c r="E151" s="33" t="str">
        <f>IFERROR(__xludf.DUMMYFUNCTION("to_date(index(sort(GOOGLEFINANCE(A151, ""high"", today()-52*7, today(), ""DAILY""),2,0),2,1))"),"#N/A")</f>
        <v>#N/A</v>
      </c>
      <c r="F151" s="32" t="str">
        <f>IFERROR(__xludf.DUMMYFUNCTION("GOOGLEFINANCE(A151,""low52"")"),"#N/A")</f>
        <v>#N/A</v>
      </c>
      <c r="G151" s="33" t="str">
        <f>IFERROR(__xludf.DUMMYFUNCTION("to_date(index(sort(GOOGLEFINANCE(A151, ""low"", today()-52*7, today(), ""DAILY""),2,1),1,1))"),"#N/A")</f>
        <v>#N/A</v>
      </c>
      <c r="H151" s="61" t="str">
        <f>IFERROR(__xludf.DUMMYFUNCTION("MIN(QUERY(SORT(GOOGLEFINANCE(A151,""low"",TODAY()-40,TODAY()),1,0),""select Col2 limit 20""))"),"#N/A")</f>
        <v>#N/A</v>
      </c>
      <c r="I151" s="61" t="str">
        <f t="shared" si="1"/>
        <v>#N/A</v>
      </c>
      <c r="J151" s="35" t="str">
        <f t="shared" si="2"/>
        <v>#N/A</v>
      </c>
    </row>
    <row r="152">
      <c r="A152" s="7" t="s">
        <v>411</v>
      </c>
      <c r="B152" s="59">
        <f>IFERROR(__xludf.DUMMYFUNCTION("GOOGLEFINANCE(A152,""price"")"),270.9)</f>
        <v>270.9</v>
      </c>
      <c r="C152" s="60">
        <f>IFERROR(__xludf.DUMMYFUNCTION("MAX(QUERY(SORT(GOOGLEFINANCE(A152,""high"",TODAY()-100,TODAY()),1,0),""select Col2 limit 55""))"),278.0)</f>
        <v>278</v>
      </c>
      <c r="D152" s="32">
        <f>IFERROR(__xludf.DUMMYFUNCTION("GOOGLEFINANCE(A152,""high52"")"),275.3)</f>
        <v>275.3</v>
      </c>
      <c r="E152" s="33">
        <f>IFERROR(__xludf.DUMMYFUNCTION("to_date(index(sort(GOOGLEFINANCE(A152, ""high"", today()-52*7, today(), ""DAILY""),2,0),2,1))"),46168.64583333333)</f>
        <v>46168.64583</v>
      </c>
      <c r="F152" s="32">
        <f>IFERROR(__xludf.DUMMYFUNCTION("GOOGLEFINANCE(A152,""low52"")"),169.12)</f>
        <v>169.12</v>
      </c>
      <c r="G152" s="33">
        <f>IFERROR(__xludf.DUMMYFUNCTION("to_date(index(sort(GOOGLEFINANCE(A152, ""low"", today()-52*7, today(), ""DAILY""),2,1),1,1))"),45897.64583333333)</f>
        <v>45897.64583</v>
      </c>
      <c r="H152" s="61">
        <f>IFERROR(__xludf.DUMMYFUNCTION("MIN(QUERY(SORT(GOOGLEFINANCE(A152,""low"",TODAY()-40,TODAY()),1,0),""select Col2 limit 20""))"),238.7)</f>
        <v>238.7</v>
      </c>
      <c r="I152" s="61">
        <f t="shared" si="1"/>
        <v>2.620893319</v>
      </c>
      <c r="J152" s="35" t="str">
        <f t="shared" si="2"/>
        <v>No need to fresh start</v>
      </c>
    </row>
    <row r="153">
      <c r="A153" s="7" t="s">
        <v>80</v>
      </c>
      <c r="B153" s="59">
        <f>IFERROR(__xludf.DUMMYFUNCTION("GOOGLEFINANCE(A153,""price"")"),168.99)</f>
        <v>168.99</v>
      </c>
      <c r="C153" s="60">
        <f>IFERROR(__xludf.DUMMYFUNCTION("MAX(QUERY(SORT(GOOGLEFINANCE(A153,""high"",TODAY()-100,TODAY()),1,0),""select Col2 limit 55""))"),197.13)</f>
        <v>197.13</v>
      </c>
      <c r="D153" s="32">
        <f>IFERROR(__xludf.DUMMYFUNCTION("GOOGLEFINANCE(A153,""high52"")"),205.49)</f>
        <v>205.49</v>
      </c>
      <c r="E153" s="33">
        <f>IFERROR(__xludf.DUMMYFUNCTION("to_date(index(sort(GOOGLEFINANCE(A153, ""high"", today()-52*7, today(), ""DAILY""),2,0),2,1))"),46080.64583333333)</f>
        <v>46080.64583</v>
      </c>
      <c r="F153" s="32">
        <f>IFERROR(__xludf.DUMMYFUNCTION("GOOGLEFINANCE(A153,""low52"")"),124.64)</f>
        <v>124.64</v>
      </c>
      <c r="G153" s="33">
        <f>IFERROR(__xludf.DUMMYFUNCTION("to_date(index(sort(GOOGLEFINANCE(A153, ""low"", today()-52*7, today(), ""DAILY""),2,1),1,1))"),45898.64583333333)</f>
        <v>45898.64583</v>
      </c>
      <c r="H153" s="61">
        <f>IFERROR(__xludf.DUMMYFUNCTION("MIN(QUERY(SORT(GOOGLEFINANCE(A153,""low"",TODAY()-40,TODAY()),1,0),""select Col2 limit 20""))"),156.21)</f>
        <v>156.21</v>
      </c>
      <c r="I153" s="61">
        <f t="shared" si="1"/>
        <v>16.65187289</v>
      </c>
      <c r="J153" s="35" t="str">
        <f t="shared" si="2"/>
        <v>No need to fresh start</v>
      </c>
    </row>
    <row r="154">
      <c r="A154" s="7" t="s">
        <v>412</v>
      </c>
      <c r="B154" s="59">
        <f>IFERROR(__xludf.DUMMYFUNCTION("GOOGLEFINANCE(A154,""price"")"),517.5)</f>
        <v>517.5</v>
      </c>
      <c r="C154" s="60">
        <f>IFERROR(__xludf.DUMMYFUNCTION("MAX(QUERY(SORT(GOOGLEFINANCE(A154,""high"",TODAY()-100,TODAY()),1,0),""select Col2 limit 55""))"),526.0)</f>
        <v>526</v>
      </c>
      <c r="D154" s="32">
        <f>IFERROR(__xludf.DUMMYFUNCTION("GOOGLEFINANCE(A154,""high52"")"),536.67)</f>
        <v>536.67</v>
      </c>
      <c r="E154" s="33">
        <f>IFERROR(__xludf.DUMMYFUNCTION("to_date(index(sort(GOOGLEFINANCE(A154, ""high"", today()-52*7, today(), ""DAILY""),2,0),2,1))"),45979.64583333333)</f>
        <v>45979.64583</v>
      </c>
      <c r="F154" s="32">
        <f>IFERROR(__xludf.DUMMYFUNCTION("GOOGLEFINANCE(A154,""low52"")"),291.37)</f>
        <v>291.37</v>
      </c>
      <c r="G154" s="33">
        <f>IFERROR(__xludf.DUMMYFUNCTION("to_date(index(sort(GOOGLEFINANCE(A154, ""low"", today()-52*7, today(), ""DAILY""),2,1),1,1))"),45814.64583333333)</f>
        <v>45814.64583</v>
      </c>
      <c r="H154" s="61">
        <f>IFERROR(__xludf.DUMMYFUNCTION("MIN(QUERY(SORT(GOOGLEFINANCE(A154,""low"",TODAY()-40,TODAY()),1,0),""select Col2 limit 20""))"),398.0)</f>
        <v>398</v>
      </c>
      <c r="I154" s="61">
        <f t="shared" si="1"/>
        <v>1.642512077</v>
      </c>
      <c r="J154" s="35" t="str">
        <f t="shared" si="2"/>
        <v>No need to fresh start</v>
      </c>
    </row>
    <row r="155">
      <c r="A155" s="7" t="s">
        <v>82</v>
      </c>
      <c r="B155" s="59">
        <f>IFERROR(__xludf.DUMMYFUNCTION("GOOGLEFINANCE(A155,""price"")"),434.15)</f>
        <v>434.15</v>
      </c>
      <c r="C155" s="60">
        <f>IFERROR(__xludf.DUMMYFUNCTION("MAX(QUERY(SORT(GOOGLEFINANCE(A155,""high"",TODAY()-100,TODAY()),1,0),""select Col2 limit 55""))"),445.15)</f>
        <v>445.15</v>
      </c>
      <c r="D155" s="32">
        <f>IFERROR(__xludf.DUMMYFUNCTION("GOOGLEFINANCE(A155,""high52"")"),445.15)</f>
        <v>445.15</v>
      </c>
      <c r="E155" s="33">
        <f>IFERROR(__xludf.DUMMYFUNCTION("to_date(index(sort(GOOGLEFINANCE(A155, ""high"", today()-52*7, today(), ""DAILY""),2,0),2,1))"),46139.64583333333)</f>
        <v>46139.64583</v>
      </c>
      <c r="F155" s="32">
        <f>IFERROR(__xludf.DUMMYFUNCTION("GOOGLEFINANCE(A155,""low52"")"),176.34)</f>
        <v>176.34</v>
      </c>
      <c r="G155" s="33">
        <f>IFERROR(__xludf.DUMMYFUNCTION("to_date(index(sort(GOOGLEFINANCE(A155, ""low"", today()-52*7, today(), ""DAILY""),2,1),1,1))"),45810.64583333333)</f>
        <v>45810.64583</v>
      </c>
      <c r="H155" s="61">
        <f>IFERROR(__xludf.DUMMYFUNCTION("MIN(QUERY(SORT(GOOGLEFINANCE(A155,""low"",TODAY()-40,TODAY()),1,0),""select Col2 limit 20""))"),388.6)</f>
        <v>388.6</v>
      </c>
      <c r="I155" s="61">
        <f t="shared" si="1"/>
        <v>2.533686514</v>
      </c>
      <c r="J155" s="35" t="str">
        <f t="shared" si="2"/>
        <v>No need to fresh start</v>
      </c>
    </row>
    <row r="156">
      <c r="A156" s="7" t="s">
        <v>278</v>
      </c>
      <c r="B156" s="59">
        <f>IFERROR(__xludf.DUMMYFUNCTION("GOOGLEFINANCE(A156,""price"")"),427.9)</f>
        <v>427.9</v>
      </c>
      <c r="C156" s="60">
        <f>IFERROR(__xludf.DUMMYFUNCTION("MAX(QUERY(SORT(GOOGLEFINANCE(A156,""high"",TODAY()-100,TODAY()),1,0),""select Col2 limit 55""))"),464.9)</f>
        <v>464.9</v>
      </c>
      <c r="D156" s="32">
        <f>IFERROR(__xludf.DUMMYFUNCTION("GOOGLEFINANCE(A156,""high52"")"),464.9)</f>
        <v>464.9</v>
      </c>
      <c r="E156" s="33">
        <f>IFERROR(__xludf.DUMMYFUNCTION("to_date(index(sort(GOOGLEFINANCE(A156, ""high"", today()-52*7, today(), ""DAILY""),2,0),2,1))"),46140.64583333333)</f>
        <v>46140.64583</v>
      </c>
      <c r="F156" s="32">
        <f>IFERROR(__xludf.DUMMYFUNCTION("GOOGLEFINANCE(A156,""low52"")"),342.5)</f>
        <v>342.5</v>
      </c>
      <c r="G156" s="33">
        <f>IFERROR(__xludf.DUMMYFUNCTION("to_date(index(sort(GOOGLEFINANCE(A156, ""low"", today()-52*7, today(), ""DAILY""),2,1),1,1))"),46049.64583333333)</f>
        <v>46049.64583</v>
      </c>
      <c r="H156" s="61">
        <f>IFERROR(__xludf.DUMMYFUNCTION("MIN(QUERY(SORT(GOOGLEFINANCE(A156,""low"",TODAY()-40,TODAY()),1,0),""select Col2 limit 20""))"),390.8)</f>
        <v>390.8</v>
      </c>
      <c r="I156" s="61">
        <f t="shared" si="1"/>
        <v>8.646880112</v>
      </c>
      <c r="J156" s="35" t="str">
        <f t="shared" si="2"/>
        <v>No need to fresh start</v>
      </c>
    </row>
    <row r="157">
      <c r="A157" s="7" t="s">
        <v>413</v>
      </c>
      <c r="B157" s="59">
        <f>IFERROR(__xludf.DUMMYFUNCTION("GOOGLEFINANCE(A157,""price"")"),142.01)</f>
        <v>142.01</v>
      </c>
      <c r="C157" s="60">
        <f>IFERROR(__xludf.DUMMYFUNCTION("MAX(QUERY(SORT(GOOGLEFINANCE(A157,""high"",TODAY()-100,TODAY()),1,0),""select Col2 limit 55""))"),162.6)</f>
        <v>162.6</v>
      </c>
      <c r="D157" s="32">
        <f>IFERROR(__xludf.DUMMYFUNCTION("GOOGLEFINANCE(A157,""high52"")"),168.5)</f>
        <v>168.5</v>
      </c>
      <c r="E157" s="33">
        <f>IFERROR(__xludf.DUMMYFUNCTION("to_date(index(sort(GOOGLEFINANCE(A157, ""high"", today()-52*7, today(), ""DAILY""),2,0),2,1))"),45904.64583333333)</f>
        <v>45904.64583</v>
      </c>
      <c r="F157" s="32">
        <f>IFERROR(__xludf.DUMMYFUNCTION("GOOGLEFINANCE(A157,""low52"")"),121.5)</f>
        <v>121.5</v>
      </c>
      <c r="G157" s="33">
        <f>IFERROR(__xludf.DUMMYFUNCTION("to_date(index(sort(GOOGLEFINANCE(A157, ""low"", today()-52*7, today(), ""DAILY""),2,1),1,1))"),46111.64583333333)</f>
        <v>46111.64583</v>
      </c>
      <c r="H157" s="61">
        <f>IFERROR(__xludf.DUMMYFUNCTION("MIN(QUERY(SORT(GOOGLEFINANCE(A157,""low"",TODAY()-40,TODAY()),1,0),""select Col2 limit 20""))"),139.82)</f>
        <v>139.82</v>
      </c>
      <c r="I157" s="61">
        <f t="shared" si="1"/>
        <v>14.49897895</v>
      </c>
      <c r="J157" s="35" t="str">
        <f t="shared" si="2"/>
        <v>Start GTT Order</v>
      </c>
    </row>
    <row r="158">
      <c r="A158" s="7" t="s">
        <v>264</v>
      </c>
      <c r="B158" s="59">
        <f>IFERROR(__xludf.DUMMYFUNCTION("GOOGLEFINANCE(A158,""price"")"),752.0)</f>
        <v>752</v>
      </c>
      <c r="C158" s="60">
        <f>IFERROR(__xludf.DUMMYFUNCTION("MAX(QUERY(SORT(GOOGLEFINANCE(A158,""high"",TODAY()-100,TODAY()),1,0),""select Col2 limit 55""))"),809.0)</f>
        <v>809</v>
      </c>
      <c r="D158" s="32">
        <f>IFERROR(__xludf.DUMMYFUNCTION("GOOGLEFINANCE(A158,""high52"")"),1107.9)</f>
        <v>1107.9</v>
      </c>
      <c r="E158" s="33">
        <f>IFERROR(__xludf.DUMMYFUNCTION("to_date(index(sort(GOOGLEFINANCE(A158, ""high"", today()-52*7, today(), ""DAILY""),2,0),2,1))"),45838.64583333333)</f>
        <v>45838.64583</v>
      </c>
      <c r="F158" s="32">
        <f>IFERROR(__xludf.DUMMYFUNCTION("GOOGLEFINANCE(A158,""low52"")"),635.8)</f>
        <v>635.8</v>
      </c>
      <c r="G158" s="33">
        <f>IFERROR(__xludf.DUMMYFUNCTION("to_date(index(sort(GOOGLEFINANCE(A158, ""low"", today()-52*7, today(), ""DAILY""),2,1),1,1))"),46104.64583333333)</f>
        <v>46104.64583</v>
      </c>
      <c r="H158" s="61">
        <f>IFERROR(__xludf.DUMMYFUNCTION("MIN(QUERY(SORT(GOOGLEFINANCE(A158,""low"",TODAY()-40,TODAY()),1,0),""select Col2 limit 20""))"),710.7)</f>
        <v>710.7</v>
      </c>
      <c r="I158" s="61">
        <f t="shared" si="1"/>
        <v>7.579787234</v>
      </c>
      <c r="J158" s="35" t="str">
        <f t="shared" si="2"/>
        <v>No need to fresh start</v>
      </c>
    </row>
    <row r="159">
      <c r="A159" s="7" t="s">
        <v>98</v>
      </c>
      <c r="B159" s="59">
        <f>IFERROR(__xludf.DUMMYFUNCTION("GOOGLEFINANCE(A159,""price"")"),486.05)</f>
        <v>486.05</v>
      </c>
      <c r="C159" s="60">
        <f>IFERROR(__xludf.DUMMYFUNCTION("MAX(QUERY(SORT(GOOGLEFINANCE(A159,""high"",TODAY()-100,TODAY()),1,0),""select Col2 limit 55""))"),531.0)</f>
        <v>531</v>
      </c>
      <c r="D159" s="32">
        <f>IFERROR(__xludf.DUMMYFUNCTION("GOOGLEFINANCE(A159,""high52"")"),531.0)</f>
        <v>531</v>
      </c>
      <c r="E159" s="33">
        <f>IFERROR(__xludf.DUMMYFUNCTION("to_date(index(sort(GOOGLEFINANCE(A159, ""high"", today()-52*7, today(), ""DAILY""),2,0),2,1))"),46156.64583333333)</f>
        <v>46156.64583</v>
      </c>
      <c r="F159" s="32">
        <f>IFERROR(__xludf.DUMMYFUNCTION("GOOGLEFINANCE(A159,""low52"")"),384.6)</f>
        <v>384.6</v>
      </c>
      <c r="G159" s="33">
        <f>IFERROR(__xludf.DUMMYFUNCTION("to_date(index(sort(GOOGLEFINANCE(A159, ""low"", today()-52*7, today(), ""DAILY""),2,1),1,1))"),45898.64583333333)</f>
        <v>45898.64583</v>
      </c>
      <c r="H159" s="61">
        <f>IFERROR(__xludf.DUMMYFUNCTION("MIN(QUERY(SORT(GOOGLEFINANCE(A159,""low"",TODAY()-40,TODAY()),1,0),""select Col2 limit 20""))"),448.15)</f>
        <v>448.15</v>
      </c>
      <c r="I159" s="61">
        <f t="shared" si="1"/>
        <v>9.248019751</v>
      </c>
      <c r="J159" s="35" t="str">
        <f t="shared" si="2"/>
        <v>No need to fresh start</v>
      </c>
    </row>
    <row r="160">
      <c r="A160" s="7" t="s">
        <v>414</v>
      </c>
      <c r="B160" s="59" t="str">
        <f>IFERROR(__xludf.DUMMYFUNCTION("GOOGLEFINANCE(A160,""price"")"),"#N/A")</f>
        <v>#N/A</v>
      </c>
      <c r="C160" s="60" t="str">
        <f>IFERROR(__xludf.DUMMYFUNCTION("MAX(QUERY(SORT(GOOGLEFINANCE(A160,""high"",TODAY()-100,TODAY()),1,0),""select Col2 limit 55""))"),"#N/A")</f>
        <v>#N/A</v>
      </c>
      <c r="D160" s="32" t="str">
        <f>IFERROR(__xludf.DUMMYFUNCTION("GOOGLEFINANCE(A160,""high52"")"),"#N/A")</f>
        <v>#N/A</v>
      </c>
      <c r="E160" s="33" t="str">
        <f>IFERROR(__xludf.DUMMYFUNCTION("to_date(index(sort(GOOGLEFINANCE(A160, ""high"", today()-52*7, today(), ""DAILY""),2,0),2,1))"),"#N/A")</f>
        <v>#N/A</v>
      </c>
      <c r="F160" s="32" t="str">
        <f>IFERROR(__xludf.DUMMYFUNCTION("GOOGLEFINANCE(A160,""low52"")"),"#N/A")</f>
        <v>#N/A</v>
      </c>
      <c r="G160" s="33" t="str">
        <f>IFERROR(__xludf.DUMMYFUNCTION("to_date(index(sort(GOOGLEFINANCE(A160, ""low"", today()-52*7, today(), ""DAILY""),2,1),1,1))"),"#N/A")</f>
        <v>#N/A</v>
      </c>
      <c r="H160" s="61" t="str">
        <f>IFERROR(__xludf.DUMMYFUNCTION("MIN(QUERY(SORT(GOOGLEFINANCE(A160,""low"",TODAY()-40,TODAY()),1,0),""select Col2 limit 20""))"),"#N/A")</f>
        <v>#N/A</v>
      </c>
      <c r="I160" s="61" t="str">
        <f t="shared" si="1"/>
        <v>#N/A</v>
      </c>
      <c r="J160" s="35" t="str">
        <f t="shared" si="2"/>
        <v>#N/A</v>
      </c>
    </row>
    <row r="161">
      <c r="A161" s="7" t="s">
        <v>415</v>
      </c>
      <c r="B161" s="59">
        <f>IFERROR(__xludf.DUMMYFUNCTION("GOOGLEFINANCE(A161,""price"")"),697.0)</f>
        <v>697</v>
      </c>
      <c r="C161" s="60">
        <f>IFERROR(__xludf.DUMMYFUNCTION("MAX(QUERY(SORT(GOOGLEFINANCE(A161,""high"",TODAY()-100,TODAY()),1,0),""select Col2 limit 55""))"),815.0)</f>
        <v>815</v>
      </c>
      <c r="D161" s="32">
        <f>IFERROR(__xludf.DUMMYFUNCTION("GOOGLEFINANCE(A161,""high52"")"),815.0)</f>
        <v>815</v>
      </c>
      <c r="E161" s="33">
        <f>IFERROR(__xludf.DUMMYFUNCTION("to_date(index(sort(GOOGLEFINANCE(A161, ""high"", today()-52*7, today(), ""DAILY""),2,0),2,1))"),46147.64583333333)</f>
        <v>46147.64583</v>
      </c>
      <c r="F161" s="32">
        <f>IFERROR(__xludf.DUMMYFUNCTION("GOOGLEFINANCE(A161,""low52"")"),409.15)</f>
        <v>409.15</v>
      </c>
      <c r="G161" s="33">
        <f>IFERROR(__xludf.DUMMYFUNCTION("to_date(index(sort(GOOGLEFINANCE(A161, ""low"", today()-52*7, today(), ""DAILY""),2,1),1,1))"),46097.64583333333)</f>
        <v>46097.64583</v>
      </c>
      <c r="H161" s="61">
        <f>IFERROR(__xludf.DUMMYFUNCTION("MIN(QUERY(SORT(GOOGLEFINANCE(A161,""low"",TODAY()-40,TODAY()),1,0),""select Col2 limit 20""))"),672.0)</f>
        <v>672</v>
      </c>
      <c r="I161" s="61">
        <f t="shared" si="1"/>
        <v>16.92969871</v>
      </c>
      <c r="J161" s="35" t="str">
        <f t="shared" si="2"/>
        <v>No need to fresh start</v>
      </c>
    </row>
    <row r="162">
      <c r="A162" s="7" t="s">
        <v>416</v>
      </c>
      <c r="B162" s="59">
        <f>IFERROR(__xludf.DUMMYFUNCTION("GOOGLEFINANCE(A162,""price"")"),470.4)</f>
        <v>470.4</v>
      </c>
      <c r="C162" s="60">
        <f>IFERROR(__xludf.DUMMYFUNCTION("MAX(QUERY(SORT(GOOGLEFINANCE(A162,""high"",TODAY()-100,TODAY()),1,0),""select Col2 limit 55""))"),513.9)</f>
        <v>513.9</v>
      </c>
      <c r="D162" s="32">
        <f>IFERROR(__xludf.DUMMYFUNCTION("GOOGLEFINANCE(A162,""high52"")"),819.2)</f>
        <v>819.2</v>
      </c>
      <c r="E162" s="33">
        <f>IFERROR(__xludf.DUMMYFUNCTION("to_date(index(sort(GOOGLEFINANCE(A162, ""high"", today()-52*7, today(), ""DAILY""),2,0),2,1))"),45847.64583333333)</f>
        <v>45847.64583</v>
      </c>
      <c r="F162" s="32">
        <f>IFERROR(__xludf.DUMMYFUNCTION("GOOGLEFINANCE(A162,""low52"")"),398.4)</f>
        <v>398.4</v>
      </c>
      <c r="G162" s="33">
        <f>IFERROR(__xludf.DUMMYFUNCTION("to_date(index(sort(GOOGLEFINANCE(A162, ""low"", today()-52*7, today(), ""DAILY""),2,1),1,1))"),46104.64583333333)</f>
        <v>46104.64583</v>
      </c>
      <c r="H162" s="61">
        <f>IFERROR(__xludf.DUMMYFUNCTION("MIN(QUERY(SORT(GOOGLEFINANCE(A162,""low"",TODAY()-40,TODAY()),1,0),""select Col2 limit 20""))"),455.0)</f>
        <v>455</v>
      </c>
      <c r="I162" s="61">
        <f t="shared" si="1"/>
        <v>9.24744898</v>
      </c>
      <c r="J162" s="35" t="str">
        <f t="shared" si="2"/>
        <v>No need to fresh start</v>
      </c>
    </row>
    <row r="163">
      <c r="A163" s="7" t="s">
        <v>297</v>
      </c>
      <c r="B163" s="59">
        <f>IFERROR(__xludf.DUMMYFUNCTION("GOOGLEFINANCE(A163,""price"")"),315.2)</f>
        <v>315.2</v>
      </c>
      <c r="C163" s="60">
        <f>IFERROR(__xludf.DUMMYFUNCTION("MAX(QUERY(SORT(GOOGLEFINANCE(A163,""high"",TODAY()-100,TODAY()),1,0),""select Col2 limit 55""))"),341.95)</f>
        <v>341.95</v>
      </c>
      <c r="D163" s="32">
        <f>IFERROR(__xludf.DUMMYFUNCTION("GOOGLEFINANCE(A163,""high52"")"),409.75)</f>
        <v>409.75</v>
      </c>
      <c r="E163" s="33">
        <f>IFERROR(__xludf.DUMMYFUNCTION("to_date(index(sort(GOOGLEFINANCE(A163, ""high"", today()-52*7, today(), ""DAILY""),2,0),2,1))"),45862.64583333333)</f>
        <v>45862.64583</v>
      </c>
      <c r="F163" s="32">
        <f>IFERROR(__xludf.DUMMYFUNCTION("GOOGLEFINANCE(A163,""low52"")"),290.0)</f>
        <v>290</v>
      </c>
      <c r="G163" s="33">
        <f>IFERROR(__xludf.DUMMYFUNCTION("to_date(index(sort(GOOGLEFINANCE(A163, ""low"", today()-52*7, today(), ""DAILY""),2,1),1,1))"),46083.64583333333)</f>
        <v>46083.64583</v>
      </c>
      <c r="H163" s="61">
        <f>IFERROR(__xludf.DUMMYFUNCTION("MIN(QUERY(SORT(GOOGLEFINANCE(A163,""low"",TODAY()-40,TODAY()),1,0),""select Col2 limit 20""))"),303.3)</f>
        <v>303.3</v>
      </c>
      <c r="I163" s="61">
        <f t="shared" si="1"/>
        <v>8.486675127</v>
      </c>
      <c r="J163" s="35" t="str">
        <f t="shared" si="2"/>
        <v>No need to fresh start</v>
      </c>
    </row>
    <row r="164">
      <c r="A164" s="7" t="s">
        <v>417</v>
      </c>
      <c r="B164" s="59">
        <f>IFERROR(__xludf.DUMMYFUNCTION("GOOGLEFINANCE(A164,""price"")"),143.68)</f>
        <v>143.68</v>
      </c>
      <c r="C164" s="60">
        <f>IFERROR(__xludf.DUMMYFUNCTION("MAX(QUERY(SORT(GOOGLEFINANCE(A164,""high"",TODAY()-100,TODAY()),1,0),""select Col2 limit 55""))"),152.65)</f>
        <v>152.65</v>
      </c>
      <c r="D164" s="32">
        <f>IFERROR(__xludf.DUMMYFUNCTION("GOOGLEFINANCE(A164,""high52"")"),355.0)</f>
        <v>355</v>
      </c>
      <c r="E164" s="33">
        <f>IFERROR(__xludf.DUMMYFUNCTION("to_date(index(sort(GOOGLEFINANCE(A164, ""high"", today()-52*7, today(), ""DAILY""),2,0),2,1))"),45814.64583333333)</f>
        <v>45814.64583</v>
      </c>
      <c r="F164" s="32">
        <f>IFERROR(__xludf.DUMMYFUNCTION("GOOGLEFINANCE(A164,""low52"")"),122.32)</f>
        <v>122.32</v>
      </c>
      <c r="G164" s="33">
        <f>IFERROR(__xludf.DUMMYFUNCTION("to_date(index(sort(GOOGLEFINANCE(A164, ""low"", today()-52*7, today(), ""DAILY""),2,1),1,1))"),46111.64583333333)</f>
        <v>46111.64583</v>
      </c>
      <c r="H164" s="61">
        <f>IFERROR(__xludf.DUMMYFUNCTION("MIN(QUERY(SORT(GOOGLEFINANCE(A164,""low"",TODAY()-40,TODAY()),1,0),""select Col2 limit 20""))"),132.36)</f>
        <v>132.36</v>
      </c>
      <c r="I164" s="61">
        <f t="shared" si="1"/>
        <v>6.243040089</v>
      </c>
      <c r="J164" s="35" t="str">
        <f t="shared" si="2"/>
        <v>No need to fresh start</v>
      </c>
    </row>
    <row r="165">
      <c r="A165" s="7" t="s">
        <v>78</v>
      </c>
      <c r="B165" s="59">
        <f>IFERROR(__xludf.DUMMYFUNCTION("GOOGLEFINANCE(A165,""price"")"),306.45)</f>
        <v>306.45</v>
      </c>
      <c r="C165" s="60">
        <f>IFERROR(__xludf.DUMMYFUNCTION("MAX(QUERY(SORT(GOOGLEFINANCE(A165,""high"",TODAY()-100,TODAY()),1,0),""select Col2 limit 55""))"),368.75)</f>
        <v>368.75</v>
      </c>
      <c r="D165" s="32">
        <f>IFERROR(__xludf.DUMMYFUNCTION("GOOGLEFINANCE(A165,""high52"")"),368.75)</f>
        <v>368.75</v>
      </c>
      <c r="E165" s="33">
        <f>IFERROR(__xludf.DUMMYFUNCTION("to_date(index(sort(GOOGLEFINANCE(A165, ""high"", today()-52*7, today(), ""DAILY""),2,0),2,1))"),46153.64583333333)</f>
        <v>46153.64583</v>
      </c>
      <c r="F165" s="32">
        <f>IFERROR(__xludf.DUMMYFUNCTION("GOOGLEFINANCE(A165,""low52"")"),195.55)</f>
        <v>195.55</v>
      </c>
      <c r="G165" s="33">
        <f>IFERROR(__xludf.DUMMYFUNCTION("to_date(index(sort(GOOGLEFINANCE(A165, ""low"", today()-52*7, today(), ""DAILY""),2,1),1,1))"),46049.64583333333)</f>
        <v>46049.64583</v>
      </c>
      <c r="H165" s="61">
        <f>IFERROR(__xludf.DUMMYFUNCTION("MIN(QUERY(SORT(GOOGLEFINANCE(A165,""low"",TODAY()-40,TODAY()),1,0),""select Col2 limit 20""))"),288.65)</f>
        <v>288.65</v>
      </c>
      <c r="I165" s="61">
        <f t="shared" si="1"/>
        <v>20.32958068</v>
      </c>
      <c r="J165" s="35" t="str">
        <f t="shared" si="2"/>
        <v>No need to fresh start</v>
      </c>
    </row>
    <row r="166">
      <c r="A166" s="7" t="s">
        <v>418</v>
      </c>
      <c r="B166" s="59">
        <f>IFERROR(__xludf.DUMMYFUNCTION("GOOGLEFINANCE(A166,""price"")"),430.2)</f>
        <v>430.2</v>
      </c>
      <c r="C166" s="60">
        <f>IFERROR(__xludf.DUMMYFUNCTION("MAX(QUERY(SORT(GOOGLEFINANCE(A166,""high"",TODAY()-100,TODAY()),1,0),""select Col2 limit 55""))"),497.0)</f>
        <v>497</v>
      </c>
      <c r="D166" s="32">
        <f>IFERROR(__xludf.DUMMYFUNCTION("GOOGLEFINANCE(A166,""high52"")"),585.0)</f>
        <v>585</v>
      </c>
      <c r="E166" s="33">
        <f>IFERROR(__xludf.DUMMYFUNCTION("to_date(index(sort(GOOGLEFINANCE(A166, ""high"", today()-52*7, today(), ""DAILY""),2,0),2,1))"),45924.64583333333)</f>
        <v>45924.64583</v>
      </c>
      <c r="F166" s="32">
        <f>IFERROR(__xludf.DUMMYFUNCTION("GOOGLEFINANCE(A166,""low52"")"),382.05)</f>
        <v>382.05</v>
      </c>
      <c r="G166" s="33">
        <f>IFERROR(__xludf.DUMMYFUNCTION("to_date(index(sort(GOOGLEFINANCE(A166, ""low"", today()-52*7, today(), ""DAILY""),2,1),1,1))"),46108.64583333333)</f>
        <v>46108.64583</v>
      </c>
      <c r="H166" s="61">
        <f>IFERROR(__xludf.DUMMYFUNCTION("MIN(QUERY(SORT(GOOGLEFINANCE(A166,""low"",TODAY()-40,TODAY()),1,0),""select Col2 limit 20""))"),426.8)</f>
        <v>426.8</v>
      </c>
      <c r="I166" s="61">
        <f t="shared" si="1"/>
        <v>15.52766155</v>
      </c>
      <c r="J166" s="35" t="str">
        <f t="shared" si="2"/>
        <v>Start GTT Order</v>
      </c>
    </row>
    <row r="167">
      <c r="A167" s="7" t="s">
        <v>419</v>
      </c>
      <c r="B167" s="59">
        <f>IFERROR(__xludf.DUMMYFUNCTION("GOOGLEFINANCE(A167,""price"")"),73.95)</f>
        <v>73.95</v>
      </c>
      <c r="C167" s="60">
        <f>IFERROR(__xludf.DUMMYFUNCTION("MAX(QUERY(SORT(GOOGLEFINANCE(A167,""high"",TODAY()-100,TODAY()),1,0),""select Col2 limit 55""))"),113.49)</f>
        <v>113.49</v>
      </c>
      <c r="D167" s="32">
        <f>IFERROR(__xludf.DUMMYFUNCTION("GOOGLEFINANCE(A167,""high52"")"),118.38)</f>
        <v>118.38</v>
      </c>
      <c r="E167" s="33">
        <f>IFERROR(__xludf.DUMMYFUNCTION("to_date(index(sort(GOOGLEFINANCE(A167, ""high"", today()-52*7, today(), ""DAILY""),2,0),2,1))"),46027.64583333333)</f>
        <v>46027.64583</v>
      </c>
      <c r="F167" s="32">
        <f>IFERROR(__xludf.DUMMYFUNCTION("GOOGLEFINANCE(A167,""low52"")"),61.01)</f>
        <v>61.01</v>
      </c>
      <c r="G167" s="33">
        <f>IFERROR(__xludf.DUMMYFUNCTION("to_date(index(sort(GOOGLEFINANCE(A167, ""low"", today()-52*7, today(), ""DAILY""),2,1),1,1))"),46111.64583333333)</f>
        <v>46111.64583</v>
      </c>
      <c r="H167" s="61">
        <f>IFERROR(__xludf.DUMMYFUNCTION("MIN(QUERY(SORT(GOOGLEFINANCE(A167,""low"",TODAY()-40,TODAY()),1,0),""select Col2 limit 20""))"),68.2)</f>
        <v>68.2</v>
      </c>
      <c r="I167" s="61">
        <f t="shared" si="1"/>
        <v>53.46855984</v>
      </c>
      <c r="J167" s="35" t="str">
        <f t="shared" si="2"/>
        <v>No need to fresh start</v>
      </c>
    </row>
    <row r="168">
      <c r="A168" s="7" t="s">
        <v>420</v>
      </c>
      <c r="B168" s="59">
        <f>IFERROR(__xludf.DUMMYFUNCTION("GOOGLEFINANCE(A168,""price"")"),169.72)</f>
        <v>169.72</v>
      </c>
      <c r="C168" s="60">
        <f>IFERROR(__xludf.DUMMYFUNCTION("MAX(QUERY(SORT(GOOGLEFINANCE(A168,""high"",TODAY()-100,TODAY()),1,0),""select Col2 limit 55""))"),180.59)</f>
        <v>180.59</v>
      </c>
      <c r="D168" s="32">
        <f>IFERROR(__xludf.DUMMYFUNCTION("GOOGLEFINANCE(A168,""high52"")"),220.59)</f>
        <v>220.59</v>
      </c>
      <c r="E168" s="33">
        <f>IFERROR(__xludf.DUMMYFUNCTION("to_date(index(sort(GOOGLEFINANCE(A168, ""high"", today()-52*7, today(), ""DAILY""),2,0),2,1))"),45904.64583333333)</f>
        <v>45904.64583</v>
      </c>
      <c r="F168" s="32">
        <f>IFERROR(__xludf.DUMMYFUNCTION("GOOGLEFINANCE(A168,""low52"")"),138.83)</f>
        <v>138.83</v>
      </c>
      <c r="G168" s="33">
        <f>IFERROR(__xludf.DUMMYFUNCTION("to_date(index(sort(GOOGLEFINANCE(A168, ""low"", today()-52*7, today(), ""DAILY""),2,1),1,1))"),46111.64583333333)</f>
        <v>46111.64583</v>
      </c>
      <c r="H168" s="61">
        <f>IFERROR(__xludf.DUMMYFUNCTION("MIN(QUERY(SORT(GOOGLEFINANCE(A168,""low"",TODAY()-40,TODAY()),1,0),""select Col2 limit 20""))"),165.05)</f>
        <v>165.05</v>
      </c>
      <c r="I168" s="61">
        <f t="shared" si="1"/>
        <v>6.40466651</v>
      </c>
      <c r="J168" s="35" t="str">
        <f t="shared" si="2"/>
        <v>No need to fresh start</v>
      </c>
    </row>
    <row r="169">
      <c r="A169" s="7" t="s">
        <v>421</v>
      </c>
      <c r="B169" s="59">
        <f>IFERROR(__xludf.DUMMYFUNCTION("GOOGLEFINANCE(A169,""price"")"),161.1)</f>
        <v>161.1</v>
      </c>
      <c r="C169" s="60">
        <f>IFERROR(__xludf.DUMMYFUNCTION("MAX(QUERY(SORT(GOOGLEFINANCE(A169,""high"",TODAY()-100,TODAY()),1,0),""select Col2 limit 55""))"),177.92)</f>
        <v>177.92</v>
      </c>
      <c r="D169" s="32">
        <f>IFERROR(__xludf.DUMMYFUNCTION("GOOGLEFINANCE(A169,""high52"")"),177.92)</f>
        <v>177.92</v>
      </c>
      <c r="E169" s="33">
        <f>IFERROR(__xludf.DUMMYFUNCTION("to_date(index(sort(GOOGLEFINANCE(A169, ""high"", today()-52*7, today(), ""DAILY""),2,0),2,1))"),46153.64583333333)</f>
        <v>46153.64583</v>
      </c>
      <c r="F169" s="32">
        <f>IFERROR(__xludf.DUMMYFUNCTION("GOOGLEFINANCE(A169,""low52"")"),101.2)</f>
        <v>101.2</v>
      </c>
      <c r="G169" s="33">
        <f>IFERROR(__xludf.DUMMYFUNCTION("to_date(index(sort(GOOGLEFINANCE(A169, ""low"", today()-52*7, today(), ""DAILY""),2,1),1,1))"),45944.64583333333)</f>
        <v>45944.64583</v>
      </c>
      <c r="H169" s="61">
        <f>IFERROR(__xludf.DUMMYFUNCTION("MIN(QUERY(SORT(GOOGLEFINANCE(A169,""low"",TODAY()-40,TODAY()),1,0),""select Col2 limit 20""))"),149.2)</f>
        <v>149.2</v>
      </c>
      <c r="I169" s="61">
        <f t="shared" si="1"/>
        <v>10.44072005</v>
      </c>
      <c r="J169" s="35" t="str">
        <f t="shared" si="2"/>
        <v>No need to fresh start</v>
      </c>
    </row>
    <row r="170">
      <c r="A170" s="7" t="s">
        <v>221</v>
      </c>
      <c r="B170" s="59">
        <f>IFERROR(__xludf.DUMMYFUNCTION("GOOGLEFINANCE(A170,""price"")"),1011.3)</f>
        <v>1011.3</v>
      </c>
      <c r="C170" s="60">
        <f>IFERROR(__xludf.DUMMYFUNCTION("MAX(QUERY(SORT(GOOGLEFINANCE(A170,""high"",TODAY()-100,TODAY()),1,0),""select Col2 limit 55""))"),1079.55)</f>
        <v>1079.55</v>
      </c>
      <c r="D170" s="32">
        <f>IFERROR(__xludf.DUMMYFUNCTION("GOOGLEFINANCE(A170,""high52"")"),1079.55)</f>
        <v>1079.55</v>
      </c>
      <c r="E170" s="33">
        <f>IFERROR(__xludf.DUMMYFUNCTION("to_date(index(sort(GOOGLEFINANCE(A170, ""high"", today()-52*7, today(), ""DAILY""),2,0),2,1))"),46136.64583333333)</f>
        <v>46136.64583</v>
      </c>
      <c r="F170" s="32">
        <f>IFERROR(__xludf.DUMMYFUNCTION("GOOGLEFINANCE(A170,""low52"")"),682.15)</f>
        <v>682.15</v>
      </c>
      <c r="G170" s="33">
        <f>IFERROR(__xludf.DUMMYFUNCTION("to_date(index(sort(GOOGLEFINANCE(A170, ""low"", today()-52*7, today(), ""DAILY""),2,1),1,1))"),45905.64583333333)</f>
        <v>45905.64583</v>
      </c>
      <c r="H170" s="61">
        <f>IFERROR(__xludf.DUMMYFUNCTION("MIN(QUERY(SORT(GOOGLEFINANCE(A170,""low"",TODAY()-40,TODAY()),1,0),""select Col2 limit 20""))"),948.0)</f>
        <v>948</v>
      </c>
      <c r="I170" s="61">
        <f t="shared" si="1"/>
        <v>6.748739247</v>
      </c>
      <c r="J170" s="35" t="str">
        <f t="shared" si="2"/>
        <v>No need to fresh start</v>
      </c>
    </row>
    <row r="171">
      <c r="A171" s="7" t="s">
        <v>422</v>
      </c>
      <c r="B171" s="59" t="str">
        <f>IFERROR(__xludf.DUMMYFUNCTION("GOOGLEFINANCE(A171,""price"")"),"#N/A")</f>
        <v>#N/A</v>
      </c>
      <c r="C171" s="60" t="str">
        <f>IFERROR(__xludf.DUMMYFUNCTION("MAX(QUERY(SORT(GOOGLEFINANCE(A171,""high"",TODAY()-100,TODAY()),1,0),""select Col2 limit 55""))"),"#N/A")</f>
        <v>#N/A</v>
      </c>
      <c r="D171" s="32" t="str">
        <f>IFERROR(__xludf.DUMMYFUNCTION("GOOGLEFINANCE(A171,""high52"")"),"#N/A")</f>
        <v>#N/A</v>
      </c>
      <c r="E171" s="33" t="str">
        <f>IFERROR(__xludf.DUMMYFUNCTION("to_date(index(sort(GOOGLEFINANCE(A171, ""high"", today()-52*7, today(), ""DAILY""),2,0),2,1))"),"#N/A")</f>
        <v>#N/A</v>
      </c>
      <c r="F171" s="32" t="str">
        <f>IFERROR(__xludf.DUMMYFUNCTION("GOOGLEFINANCE(A171,""low52"")"),"#N/A")</f>
        <v>#N/A</v>
      </c>
      <c r="G171" s="33" t="str">
        <f>IFERROR(__xludf.DUMMYFUNCTION("to_date(index(sort(GOOGLEFINANCE(A171, ""low"", today()-52*7, today(), ""DAILY""),2,1),1,1))"),"#N/A")</f>
        <v>#N/A</v>
      </c>
      <c r="H171" s="61" t="str">
        <f>IFERROR(__xludf.DUMMYFUNCTION("MIN(QUERY(SORT(GOOGLEFINANCE(A171,""low"",TODAY()-40,TODAY()),1,0),""select Col2 limit 20""))"),"#N/A")</f>
        <v>#N/A</v>
      </c>
      <c r="I171" s="61" t="str">
        <f t="shared" si="1"/>
        <v>#N/A</v>
      </c>
      <c r="J171" s="35" t="str">
        <f t="shared" si="2"/>
        <v>#N/A</v>
      </c>
    </row>
    <row r="172">
      <c r="A172" s="7" t="s">
        <v>423</v>
      </c>
      <c r="B172" s="59">
        <f>IFERROR(__xludf.DUMMYFUNCTION("GOOGLEFINANCE(A172,""price"")"),328.5)</f>
        <v>328.5</v>
      </c>
      <c r="C172" s="60">
        <f>IFERROR(__xludf.DUMMYFUNCTION("MAX(QUERY(SORT(GOOGLEFINANCE(A172,""high"",TODAY()-100,TODAY()),1,0),""select Col2 limit 55""))"),381.2)</f>
        <v>381.2</v>
      </c>
      <c r="D172" s="32">
        <f>IFERROR(__xludf.DUMMYFUNCTION("GOOGLEFINANCE(A172,""high52"")"),540.0)</f>
        <v>540</v>
      </c>
      <c r="E172" s="33">
        <f>IFERROR(__xludf.DUMMYFUNCTION("to_date(index(sort(GOOGLEFINANCE(A172, ""high"", today()-52*7, today(), ""DAILY""),2,0),2,1))"),45918.64583333333)</f>
        <v>45918.64583</v>
      </c>
      <c r="F172" s="32">
        <f>IFERROR(__xludf.DUMMYFUNCTION("GOOGLEFINANCE(A172,""low52"")"),292.55)</f>
        <v>292.55</v>
      </c>
      <c r="G172" s="33">
        <f>IFERROR(__xludf.DUMMYFUNCTION("to_date(index(sort(GOOGLEFINANCE(A172, ""low"", today()-52*7, today(), ""DAILY""),2,1),1,1))"),46111.64583333333)</f>
        <v>46111.64583</v>
      </c>
      <c r="H172" s="61">
        <f>IFERROR(__xludf.DUMMYFUNCTION("MIN(QUERY(SORT(GOOGLEFINANCE(A172,""low"",TODAY()-40,TODAY()),1,0),""select Col2 limit 20""))"),320.05)</f>
        <v>320.05</v>
      </c>
      <c r="I172" s="61">
        <f t="shared" si="1"/>
        <v>16.04261796</v>
      </c>
      <c r="J172" s="35" t="str">
        <f t="shared" si="2"/>
        <v>Start GTT Order</v>
      </c>
    </row>
    <row r="173">
      <c r="A173" s="7" t="s">
        <v>424</v>
      </c>
      <c r="B173" s="59">
        <f>IFERROR(__xludf.DUMMYFUNCTION("GOOGLEFINANCE(A173,""price"")"),687.0)</f>
        <v>687</v>
      </c>
      <c r="C173" s="60">
        <f>IFERROR(__xludf.DUMMYFUNCTION("MAX(QUERY(SORT(GOOGLEFINANCE(A173,""high"",TODAY()-100,TODAY()),1,0),""select Col2 limit 55""))"),762.25)</f>
        <v>762.25</v>
      </c>
      <c r="D173" s="32">
        <f>IFERROR(__xludf.DUMMYFUNCTION("GOOGLEFINANCE(A173,""high52"")"),1184.7)</f>
        <v>1184.7</v>
      </c>
      <c r="E173" s="33">
        <f>IFERROR(__xludf.DUMMYFUNCTION("to_date(index(sort(GOOGLEFINANCE(A173, ""high"", today()-52*7, today(), ""DAILY""),2,0),2,1))"),45933.64583333333)</f>
        <v>45933.64583</v>
      </c>
      <c r="F173" s="32">
        <f>IFERROR(__xludf.DUMMYFUNCTION("GOOGLEFINANCE(A173,""low52"")"),538.85)</f>
        <v>538.85</v>
      </c>
      <c r="G173" s="33">
        <f>IFERROR(__xludf.DUMMYFUNCTION("to_date(index(sort(GOOGLEFINANCE(A173, ""low"", today()-52*7, today(), ""DAILY""),2,1),1,1))"),46111.64583333333)</f>
        <v>46111.64583</v>
      </c>
      <c r="H173" s="61">
        <f>IFERROR(__xludf.DUMMYFUNCTION("MIN(QUERY(SORT(GOOGLEFINANCE(A173,""low"",TODAY()-40,TODAY()),1,0),""select Col2 limit 20""))"),652.15)</f>
        <v>652.15</v>
      </c>
      <c r="I173" s="61">
        <f t="shared" si="1"/>
        <v>10.95342067</v>
      </c>
      <c r="J173" s="35" t="str">
        <f t="shared" si="2"/>
        <v>Start GTT Order</v>
      </c>
    </row>
    <row r="174">
      <c r="A174" s="7" t="s">
        <v>70</v>
      </c>
      <c r="B174" s="59">
        <f>IFERROR(__xludf.DUMMYFUNCTION("GOOGLEFINANCE(A174,""price"")"),2669.8)</f>
        <v>2669.8</v>
      </c>
      <c r="C174" s="60">
        <f>IFERROR(__xludf.DUMMYFUNCTION("MAX(QUERY(SORT(GOOGLEFINANCE(A174,""high"",TODAY()-100,TODAY()),1,0),""select Col2 limit 55""))"),3339.0)</f>
        <v>3339</v>
      </c>
      <c r="D174" s="32">
        <f>IFERROR(__xludf.DUMMYFUNCTION("GOOGLEFINANCE(A174,""high52"")"),3538.4)</f>
        <v>3538.4</v>
      </c>
      <c r="E174" s="33">
        <f>IFERROR(__xludf.DUMMYFUNCTION("to_date(index(sort(GOOGLEFINANCE(A174, ""high"", today()-52*7, today(), ""DAILY""),2,0),2,1))"),45831.64583333333)</f>
        <v>45831.64583</v>
      </c>
      <c r="F174" s="32">
        <f>IFERROR(__xludf.DUMMYFUNCTION("GOOGLEFINANCE(A174,""low52"")"),1963.7)</f>
        <v>1963.7</v>
      </c>
      <c r="G174" s="33">
        <f>IFERROR(__xludf.DUMMYFUNCTION("to_date(index(sort(GOOGLEFINANCE(A174, ""low"", today()-52*7, today(), ""DAILY""),2,1),1,1))"),46111.64583333333)</f>
        <v>46111.64583</v>
      </c>
      <c r="H174" s="61">
        <f>IFERROR(__xludf.DUMMYFUNCTION("MIN(QUERY(SORT(GOOGLEFINANCE(A174,""low"",TODAY()-40,TODAY()),1,0),""select Col2 limit 20""))"),2550.0)</f>
        <v>2550</v>
      </c>
      <c r="I174" s="61">
        <f t="shared" si="1"/>
        <v>25.06554798</v>
      </c>
      <c r="J174" s="35" t="str">
        <f t="shared" si="2"/>
        <v>No need to fresh start</v>
      </c>
    </row>
    <row r="175">
      <c r="A175" s="7" t="s">
        <v>425</v>
      </c>
      <c r="B175" s="59">
        <f>IFERROR(__xludf.DUMMYFUNCTION("GOOGLEFINANCE(A175,""price"")"),5348.0)</f>
        <v>5348</v>
      </c>
      <c r="C175" s="60">
        <f>IFERROR(__xludf.DUMMYFUNCTION("MAX(QUERY(SORT(GOOGLEFINANCE(A175,""high"",TODAY()-100,TODAY()),1,0),""select Col2 limit 55""))"),6020.0)</f>
        <v>6020</v>
      </c>
      <c r="D175" s="32">
        <f>IFERROR(__xludf.DUMMYFUNCTION("GOOGLEFINANCE(A175,""high52"")"),7565.5)</f>
        <v>7565.5</v>
      </c>
      <c r="E175" s="33">
        <f>IFERROR(__xludf.DUMMYFUNCTION("to_date(index(sort(GOOGLEFINANCE(A175, ""high"", today()-52*7, today(), ""DAILY""),2,0),2,1))"),45889.64583333333)</f>
        <v>45889.64583</v>
      </c>
      <c r="F175" s="32">
        <f>IFERROR(__xludf.DUMMYFUNCTION("GOOGLEFINANCE(A175,""low52"")"),4822.5)</f>
        <v>4822.5</v>
      </c>
      <c r="G175" s="33">
        <f>IFERROR(__xludf.DUMMYFUNCTION("to_date(index(sort(GOOGLEFINANCE(A175, ""low"", today()-52*7, today(), ""DAILY""),2,1),1,1))"),46104.64583333333)</f>
        <v>46104.64583</v>
      </c>
      <c r="H175" s="61">
        <f>IFERROR(__xludf.DUMMYFUNCTION("MIN(QUERY(SORT(GOOGLEFINANCE(A175,""low"",TODAY()-40,TODAY()),1,0),""select Col2 limit 20""))"),5216.0)</f>
        <v>5216</v>
      </c>
      <c r="I175" s="61">
        <f t="shared" si="1"/>
        <v>12.56544503</v>
      </c>
      <c r="J175" s="35" t="str">
        <f t="shared" si="2"/>
        <v>Start GTT Order</v>
      </c>
    </row>
    <row r="176">
      <c r="A176" s="7" t="s">
        <v>229</v>
      </c>
      <c r="B176" s="59">
        <f>IFERROR(__xludf.DUMMYFUNCTION("GOOGLEFINANCE(A176,""price"")"),3213.9)</f>
        <v>3213.9</v>
      </c>
      <c r="C176" s="60">
        <f>IFERROR(__xludf.DUMMYFUNCTION("MAX(QUERY(SORT(GOOGLEFINANCE(A176,""high"",TODAY()-100,TODAY()),1,0),""select Col2 limit 55""))"),3870.0)</f>
        <v>3870</v>
      </c>
      <c r="D176" s="32">
        <f>IFERROR(__xludf.DUMMYFUNCTION("GOOGLEFINANCE(A176,""high52"")"),6410.0)</f>
        <v>6410</v>
      </c>
      <c r="E176" s="33">
        <f>IFERROR(__xludf.DUMMYFUNCTION("to_date(index(sort(GOOGLEFINANCE(A176, ""high"", today()-52*7, today(), ""DAILY""),2,0),2,1))"),45838.64583333333)</f>
        <v>45838.64583</v>
      </c>
      <c r="F176" s="32">
        <f>IFERROR(__xludf.DUMMYFUNCTION("GOOGLEFINANCE(A176,""low52"")"),3151.6)</f>
        <v>3151.6</v>
      </c>
      <c r="G176" s="33">
        <f>IFERROR(__xludf.DUMMYFUNCTION("to_date(index(sort(GOOGLEFINANCE(A176, ""low"", today()-52*7, today(), ""DAILY""),2,1),1,1))"),46167.64583333333)</f>
        <v>46167.64583</v>
      </c>
      <c r="H176" s="61">
        <f>IFERROR(__xludf.DUMMYFUNCTION("MIN(QUERY(SORT(GOOGLEFINANCE(A176,""low"",TODAY()-40,TODAY()),1,0),""select Col2 limit 20""))"),3151.6)</f>
        <v>3151.6</v>
      </c>
      <c r="I176" s="61">
        <f t="shared" si="1"/>
        <v>20.41444973</v>
      </c>
      <c r="J176" s="35" t="str">
        <f t="shared" si="2"/>
        <v>No need to fresh start</v>
      </c>
    </row>
    <row r="177">
      <c r="A177" s="7" t="s">
        <v>426</v>
      </c>
      <c r="B177" s="59">
        <f>IFERROR(__xludf.DUMMYFUNCTION("GOOGLEFINANCE(A177,""price"")"),541.7)</f>
        <v>541.7</v>
      </c>
      <c r="C177" s="60">
        <f>IFERROR(__xludf.DUMMYFUNCTION("MAX(QUERY(SORT(GOOGLEFINANCE(A177,""high"",TODAY()-100,TODAY()),1,0),""select Col2 limit 55""))"),613.5)</f>
        <v>613.5</v>
      </c>
      <c r="D177" s="32">
        <f>IFERROR(__xludf.DUMMYFUNCTION("GOOGLEFINANCE(A177,""high52"")"),771.2)</f>
        <v>771.2</v>
      </c>
      <c r="E177" s="33">
        <f>IFERROR(__xludf.DUMMYFUNCTION("to_date(index(sort(GOOGLEFINANCE(A177, ""high"", today()-52*7, today(), ""DAILY""),2,0),2,1))"),45958.64583333333)</f>
        <v>45958.64583</v>
      </c>
      <c r="F177" s="32">
        <f>IFERROR(__xludf.DUMMYFUNCTION("GOOGLEFINANCE(A177,""low52"")"),423.0)</f>
        <v>423</v>
      </c>
      <c r="G177" s="33">
        <f>IFERROR(__xludf.DUMMYFUNCTION("to_date(index(sort(GOOGLEFINANCE(A177, ""low"", today()-52*7, today(), ""DAILY""),2,1),1,1))"),46111.64583333333)</f>
        <v>46111.64583</v>
      </c>
      <c r="H177" s="61">
        <f>IFERROR(__xludf.DUMMYFUNCTION("MIN(QUERY(SORT(GOOGLEFINANCE(A177,""low"",TODAY()-40,TODAY()),1,0),""select Col2 limit 20""))"),498.3)</f>
        <v>498.3</v>
      </c>
      <c r="I177" s="61">
        <f t="shared" si="1"/>
        <v>13.25456895</v>
      </c>
      <c r="J177" s="35" t="str">
        <f t="shared" si="2"/>
        <v>Start GTT Order</v>
      </c>
    </row>
    <row r="178">
      <c r="A178" s="7" t="s">
        <v>427</v>
      </c>
      <c r="B178" s="59">
        <f>IFERROR(__xludf.DUMMYFUNCTION("GOOGLEFINANCE(A178,""price"")"),920.55)</f>
        <v>920.55</v>
      </c>
      <c r="C178" s="60">
        <f>IFERROR(__xludf.DUMMYFUNCTION("MAX(QUERY(SORT(GOOGLEFINANCE(A178,""high"",TODAY()-100,TODAY()),1,0),""select Col2 limit 55""))"),1023.95)</f>
        <v>1023.95</v>
      </c>
      <c r="D178" s="32">
        <f>IFERROR(__xludf.DUMMYFUNCTION("GOOGLEFINANCE(A178,""high52"")"),1179.0)</f>
        <v>1179</v>
      </c>
      <c r="E178" s="33">
        <f>IFERROR(__xludf.DUMMYFUNCTION("to_date(index(sort(GOOGLEFINANCE(A178, ""high"", today()-52*7, today(), ""DAILY""),2,0),2,1))"),45958.64583333333)</f>
        <v>45958.64583</v>
      </c>
      <c r="F178" s="32">
        <f>IFERROR(__xludf.DUMMYFUNCTION("GOOGLEFINANCE(A178,""low52"")"),855.3)</f>
        <v>855.3</v>
      </c>
      <c r="G178" s="33">
        <f>IFERROR(__xludf.DUMMYFUNCTION("to_date(index(sort(GOOGLEFINANCE(A178, ""low"", today()-52*7, today(), ""DAILY""),2,1),1,1))"),46052.64583333333)</f>
        <v>46052.64583</v>
      </c>
      <c r="H178" s="61">
        <f>IFERROR(__xludf.DUMMYFUNCTION("MIN(QUERY(SORT(GOOGLEFINANCE(A178,""low"",TODAY()-40,TODAY()),1,0),""select Col2 limit 20""))"),911.45)</f>
        <v>911.45</v>
      </c>
      <c r="I178" s="61">
        <f t="shared" si="1"/>
        <v>11.2324154</v>
      </c>
      <c r="J178" s="35" t="str">
        <f t="shared" si="2"/>
        <v>Start GTT Order</v>
      </c>
    </row>
    <row r="179">
      <c r="A179" s="7" t="s">
        <v>54</v>
      </c>
      <c r="B179" s="59">
        <f>IFERROR(__xludf.DUMMYFUNCTION("GOOGLEFINANCE(A179,""price"")"),555.5)</f>
        <v>555.5</v>
      </c>
      <c r="C179" s="60">
        <f>IFERROR(__xludf.DUMMYFUNCTION("MAX(QUERY(SORT(GOOGLEFINANCE(A179,""high"",TODAY()-100,TODAY()),1,0),""select Col2 limit 55""))"),618.1)</f>
        <v>618.1</v>
      </c>
      <c r="D179" s="32">
        <f>IFERROR(__xludf.DUMMYFUNCTION("GOOGLEFINANCE(A179,""high52"")"),760.05)</f>
        <v>760.05</v>
      </c>
      <c r="E179" s="33">
        <f>IFERROR(__xludf.DUMMYFUNCTION("to_date(index(sort(GOOGLEFINANCE(A179, ""high"", today()-52*7, today(), ""DAILY""),2,0),2,1))"),46051.64583333333)</f>
        <v>46051.64583</v>
      </c>
      <c r="F179" s="32">
        <f>IFERROR(__xludf.DUMMYFUNCTION("GOOGLEFINANCE(A179,""low52"")"),226.7)</f>
        <v>226.7</v>
      </c>
      <c r="G179" s="33">
        <f>IFERROR(__xludf.DUMMYFUNCTION("to_date(index(sort(GOOGLEFINANCE(A179, ""low"", today()-52*7, today(), ""DAILY""),2,1),1,1))"),45897.64583333333)</f>
        <v>45897.64583</v>
      </c>
      <c r="H179" s="61">
        <f>IFERROR(__xludf.DUMMYFUNCTION("MIN(QUERY(SORT(GOOGLEFINANCE(A179,""low"",TODAY()-40,TODAY()),1,0),""select Col2 limit 20""))"),528.25)</f>
        <v>528.25</v>
      </c>
      <c r="I179" s="61">
        <f t="shared" si="1"/>
        <v>11.26912691</v>
      </c>
      <c r="J179" s="35" t="str">
        <f t="shared" si="2"/>
        <v>No need to fresh start</v>
      </c>
    </row>
    <row r="180">
      <c r="A180" s="7" t="s">
        <v>428</v>
      </c>
      <c r="B180" s="59">
        <f>IFERROR(__xludf.DUMMYFUNCTION("GOOGLEFINANCE(A180,""price"")"),5418.8)</f>
        <v>5418.8</v>
      </c>
      <c r="C180" s="60">
        <f>IFERROR(__xludf.DUMMYFUNCTION("MAX(QUERY(SORT(GOOGLEFINANCE(A180,""high"",TODAY()-100,TODAY()),1,0),""select Col2 limit 55""))"),5345.0)</f>
        <v>5345</v>
      </c>
      <c r="D180" s="32">
        <f>IFERROR(__xludf.DUMMYFUNCTION("GOOGLEFINANCE(A180,""high52"")"),5422.0)</f>
        <v>5422</v>
      </c>
      <c r="E180" s="33">
        <f>IFERROR(__xludf.DUMMYFUNCTION("to_date(index(sort(GOOGLEFINANCE(A180, ""high"", today()-52*7, today(), ""DAILY""),2,0),2,1))"),46167.64583333333)</f>
        <v>46167.64583</v>
      </c>
      <c r="F180" s="32">
        <f>IFERROR(__xludf.DUMMYFUNCTION("GOOGLEFINANCE(A180,""low52"")"),3484.0)</f>
        <v>3484</v>
      </c>
      <c r="G180" s="33">
        <f>IFERROR(__xludf.DUMMYFUNCTION("to_date(index(sort(GOOGLEFINANCE(A180, ""low"", today()-52*7, today(), ""DAILY""),2,1),1,1))"),45812.64583333333)</f>
        <v>45812.64583</v>
      </c>
      <c r="H180" s="61">
        <f>IFERROR(__xludf.DUMMYFUNCTION("MIN(QUERY(SORT(GOOGLEFINANCE(A180,""low"",TODAY()-40,TODAY()),1,0),""select Col2 limit 20""))"),4720.1)</f>
        <v>4720.1</v>
      </c>
      <c r="I180" s="61">
        <f t="shared" si="1"/>
        <v>-1.361925149</v>
      </c>
      <c r="J180" s="35" t="str">
        <f t="shared" si="2"/>
        <v>No need to fresh start</v>
      </c>
    </row>
    <row r="181">
      <c r="A181" s="7" t="s">
        <v>429</v>
      </c>
      <c r="B181" s="59">
        <f>IFERROR(__xludf.DUMMYFUNCTION("GOOGLEFINANCE(A181,""price"")"),315.5)</f>
        <v>315.5</v>
      </c>
      <c r="C181" s="60">
        <f>IFERROR(__xludf.DUMMYFUNCTION("MAX(QUERY(SORT(GOOGLEFINANCE(A181,""high"",TODAY()-100,TODAY()),1,0),""select Col2 limit 55""))"),374.55)</f>
        <v>374.55</v>
      </c>
      <c r="D181" s="32">
        <f>IFERROR(__xludf.DUMMYFUNCTION("GOOGLEFINANCE(A181,""high52"")"),434.8)</f>
        <v>434.8</v>
      </c>
      <c r="E181" s="33">
        <f>IFERROR(__xludf.DUMMYFUNCTION("to_date(index(sort(GOOGLEFINANCE(A181, ""high"", today()-52*7, today(), ""DAILY""),2,0),2,1))"),45909.64583333333)</f>
        <v>45909.64583</v>
      </c>
      <c r="F181" s="32">
        <f>IFERROR(__xludf.DUMMYFUNCTION("GOOGLEFINANCE(A181,""low52"")"),271.15)</f>
        <v>271.15</v>
      </c>
      <c r="G181" s="33">
        <f>IFERROR(__xludf.DUMMYFUNCTION("to_date(index(sort(GOOGLEFINANCE(A181, ""low"", today()-52*7, today(), ""DAILY""),2,1),1,1))"),46114.64583333333)</f>
        <v>46114.64583</v>
      </c>
      <c r="H181" s="61">
        <f>IFERROR(__xludf.DUMMYFUNCTION("MIN(QUERY(SORT(GOOGLEFINANCE(A181,""low"",TODAY()-40,TODAY()),1,0),""select Col2 limit 20""))"),310.0)</f>
        <v>310</v>
      </c>
      <c r="I181" s="61">
        <f t="shared" si="1"/>
        <v>18.7163233</v>
      </c>
      <c r="J181" s="35" t="str">
        <f t="shared" si="2"/>
        <v>Start GTT Order</v>
      </c>
    </row>
    <row r="182">
      <c r="A182" s="7" t="s">
        <v>248</v>
      </c>
      <c r="B182" s="59">
        <f>IFERROR(__xludf.DUMMYFUNCTION("GOOGLEFINANCE(A182,""price"")"),663.6)</f>
        <v>663.6</v>
      </c>
      <c r="C182" s="60">
        <f>IFERROR(__xludf.DUMMYFUNCTION("MAX(QUERY(SORT(GOOGLEFINANCE(A182,""high"",TODAY()-100,TODAY()),1,0),""select Col2 limit 55""))"),678.5)</f>
        <v>678.5</v>
      </c>
      <c r="D182" s="32">
        <f>IFERROR(__xludf.DUMMYFUNCTION("GOOGLEFINANCE(A182,""high52"")"),811.95)</f>
        <v>811.95</v>
      </c>
      <c r="E182" s="33">
        <f>IFERROR(__xludf.DUMMYFUNCTION("to_date(index(sort(GOOGLEFINANCE(A182, ""high"", today()-52*7, today(), ""DAILY""),2,0),2,1))"),45890.64583333333)</f>
        <v>45890.64583</v>
      </c>
      <c r="F182" s="32">
        <f>IFERROR(__xludf.DUMMYFUNCTION("GOOGLEFINANCE(A182,""low52"")"),565.0)</f>
        <v>565</v>
      </c>
      <c r="G182" s="33">
        <f>IFERROR(__xludf.DUMMYFUNCTION("to_date(index(sort(GOOGLEFINANCE(A182, ""low"", today()-52*7, today(), ""DAILY""),2,1),1,1))"),46114.64583333333)</f>
        <v>46114.64583</v>
      </c>
      <c r="H182" s="61">
        <f>IFERROR(__xludf.DUMMYFUNCTION("MIN(QUERY(SORT(GOOGLEFINANCE(A182,""low"",TODAY()-40,TODAY()),1,0),""select Col2 limit 20""))"),622.45)</f>
        <v>622.45</v>
      </c>
      <c r="I182" s="61">
        <f t="shared" si="1"/>
        <v>2.245328511</v>
      </c>
      <c r="J182" s="35" t="str">
        <f t="shared" si="2"/>
        <v>No need to fresh start</v>
      </c>
    </row>
    <row r="183">
      <c r="A183" s="7" t="s">
        <v>430</v>
      </c>
      <c r="B183" s="59">
        <f>IFERROR(__xludf.DUMMYFUNCTION("GOOGLEFINANCE(A183,""price"")"),130.01)</f>
        <v>130.01</v>
      </c>
      <c r="C183" s="60">
        <f>IFERROR(__xludf.DUMMYFUNCTION("MAX(QUERY(SORT(GOOGLEFINANCE(A183,""high"",TODAY()-100,TODAY()),1,0),""select Col2 limit 55""))"),139.49)</f>
        <v>139.49</v>
      </c>
      <c r="D183" s="32">
        <f>IFERROR(__xludf.DUMMYFUNCTION("GOOGLEFINANCE(A183,""high52"")"),196.75)</f>
        <v>196.75</v>
      </c>
      <c r="E183" s="33">
        <f>IFERROR(__xludf.DUMMYFUNCTION("to_date(index(sort(GOOGLEFINANCE(A183, ""high"", today()-52*7, today(), ""DAILY""),2,0),2,1))"),45862.64583333333)</f>
        <v>45862.64583</v>
      </c>
      <c r="F183" s="32">
        <f>IFERROR(__xludf.DUMMYFUNCTION("GOOGLEFINANCE(A183,""low52"")"),92.0)</f>
        <v>92</v>
      </c>
      <c r="G183" s="33">
        <f>IFERROR(__xludf.DUMMYFUNCTION("to_date(index(sort(GOOGLEFINANCE(A183, ""low"", today()-52*7, today(), ""DAILY""),2,1),1,1))"),46111.64583333333)</f>
        <v>46111.64583</v>
      </c>
      <c r="H183" s="61">
        <f>IFERROR(__xludf.DUMMYFUNCTION("MIN(QUERY(SORT(GOOGLEFINANCE(A183,""low"",TODAY()-40,TODAY()),1,0),""select Col2 limit 20""))"),111.51)</f>
        <v>111.51</v>
      </c>
      <c r="I183" s="61">
        <f t="shared" si="1"/>
        <v>7.291746789</v>
      </c>
      <c r="J183" s="35" t="str">
        <f t="shared" si="2"/>
        <v>No need to fresh start</v>
      </c>
    </row>
    <row r="184">
      <c r="A184" s="7" t="s">
        <v>290</v>
      </c>
      <c r="B184" s="59">
        <f>IFERROR(__xludf.DUMMYFUNCTION("GOOGLEFINANCE(A184,""price"")"),1607.1)</f>
        <v>1607.1</v>
      </c>
      <c r="C184" s="60">
        <f>IFERROR(__xludf.DUMMYFUNCTION("MAX(QUERY(SORT(GOOGLEFINANCE(A184,""high"",TODAY()-100,TODAY()),1,0),""select Col2 limit 55""))"),1719.9)</f>
        <v>1719.9</v>
      </c>
      <c r="D184" s="32">
        <f>IFERROR(__xludf.DUMMYFUNCTION("GOOGLEFINANCE(A184,""high52"")"),1770.0)</f>
        <v>1770</v>
      </c>
      <c r="E184" s="33">
        <f>IFERROR(__xludf.DUMMYFUNCTION("to_date(index(sort(GOOGLEFINANCE(A184, ""high"", today()-52*7, today(), ""DAILY""),2,0),2,1))"),45919.64583333333)</f>
        <v>45919.64583</v>
      </c>
      <c r="F184" s="32">
        <f>IFERROR(__xludf.DUMMYFUNCTION("GOOGLEFINANCE(A184,""low52"")"),1272.6)</f>
        <v>1272.6</v>
      </c>
      <c r="G184" s="33">
        <f>IFERROR(__xludf.DUMMYFUNCTION("to_date(index(sort(GOOGLEFINANCE(A184, ""low"", today()-52*7, today(), ""DAILY""),2,1),1,1))"),46104.64583333333)</f>
        <v>46104.64583</v>
      </c>
      <c r="H184" s="61">
        <f>IFERROR(__xludf.DUMMYFUNCTION("MIN(QUERY(SORT(GOOGLEFINANCE(A184,""low"",TODAY()-40,TODAY()),1,0),""select Col2 limit 20""))"),1363.0)</f>
        <v>1363</v>
      </c>
      <c r="I184" s="61">
        <f t="shared" si="1"/>
        <v>7.018853836</v>
      </c>
      <c r="J184" s="35" t="str">
        <f t="shared" si="2"/>
        <v>No need to fresh start</v>
      </c>
    </row>
    <row r="185">
      <c r="A185" s="7" t="s">
        <v>431</v>
      </c>
      <c r="B185" s="59">
        <f>IFERROR(__xludf.DUMMYFUNCTION("GOOGLEFINANCE(A185,""price"")"),404.6)</f>
        <v>404.6</v>
      </c>
      <c r="C185" s="60">
        <f>IFERROR(__xludf.DUMMYFUNCTION("MAX(QUERY(SORT(GOOGLEFINANCE(A185,""high"",TODAY()-100,TODAY()),1,0),""select Col2 limit 55""))"),469.9)</f>
        <v>469.9</v>
      </c>
      <c r="D185" s="32">
        <f>IFERROR(__xludf.DUMMYFUNCTION("GOOGLEFINANCE(A185,""high52"")"),485.8)</f>
        <v>485.8</v>
      </c>
      <c r="E185" s="33">
        <f>IFERROR(__xludf.DUMMYFUNCTION("to_date(index(sort(GOOGLEFINANCE(A185, ""high"", today()-52*7, today(), ""DAILY""),2,0),2,1))"),46030.64583333333)</f>
        <v>46030.64583</v>
      </c>
      <c r="F185" s="32">
        <f>IFERROR(__xludf.DUMMYFUNCTION("GOOGLEFINANCE(A185,""low52"")"),297.05)</f>
        <v>297.05</v>
      </c>
      <c r="G185" s="33">
        <f>IFERROR(__xludf.DUMMYFUNCTION("to_date(index(sort(GOOGLEFINANCE(A185, ""low"", today()-52*7, today(), ""DAILY""),2,1),1,1))"),45828.64583333333)</f>
        <v>45828.64583</v>
      </c>
      <c r="H185" s="61">
        <f>IFERROR(__xludf.DUMMYFUNCTION("MIN(QUERY(SORT(GOOGLEFINANCE(A185,""low"",TODAY()-40,TODAY()),1,0),""select Col2 limit 20""))"),385.0)</f>
        <v>385</v>
      </c>
      <c r="I185" s="61">
        <f t="shared" si="1"/>
        <v>16.13939694</v>
      </c>
      <c r="J185" s="35" t="str">
        <f t="shared" si="2"/>
        <v>No need to fresh start</v>
      </c>
    </row>
    <row r="186">
      <c r="A186" s="7" t="s">
        <v>432</v>
      </c>
      <c r="B186" s="59">
        <f>IFERROR(__xludf.DUMMYFUNCTION("GOOGLEFINANCE(A186,""price"")"),1036.15)</f>
        <v>1036.15</v>
      </c>
      <c r="C186" s="60">
        <f>IFERROR(__xludf.DUMMYFUNCTION("MAX(QUERY(SORT(GOOGLEFINANCE(A186,""high"",TODAY()-100,TODAY()),1,0),""select Col2 limit 55""))"),1166.4)</f>
        <v>1166.4</v>
      </c>
      <c r="D186" s="32">
        <f>IFERROR(__xludf.DUMMYFUNCTION("GOOGLEFINANCE(A186,""high52"")"),1166.4)</f>
        <v>1166.4</v>
      </c>
      <c r="E186" s="33">
        <f>IFERROR(__xludf.DUMMYFUNCTION("to_date(index(sort(GOOGLEFINANCE(A186, ""high"", today()-52*7, today(), ""DAILY""),2,0),2,1))"),46160.64583333333)</f>
        <v>46160.64583</v>
      </c>
      <c r="F186" s="32">
        <f>IFERROR(__xludf.DUMMYFUNCTION("GOOGLEFINANCE(A186,""low52"")"),735.2)</f>
        <v>735.2</v>
      </c>
      <c r="G186" s="33">
        <f>IFERROR(__xludf.DUMMYFUNCTION("to_date(index(sort(GOOGLEFINANCE(A186, ""low"", today()-52*7, today(), ""DAILY""),2,1),1,1))"),46104.64583333333)</f>
        <v>46104.64583</v>
      </c>
      <c r="H186" s="61">
        <f>IFERROR(__xludf.DUMMYFUNCTION("MIN(QUERY(SORT(GOOGLEFINANCE(A186,""low"",TODAY()-40,TODAY()),1,0),""select Col2 limit 20""))"),939.95)</f>
        <v>939.95</v>
      </c>
      <c r="I186" s="61">
        <f t="shared" si="1"/>
        <v>12.57057376</v>
      </c>
      <c r="J186" s="35" t="str">
        <f t="shared" si="2"/>
        <v>No need to fresh start</v>
      </c>
    </row>
    <row r="187">
      <c r="A187" s="7" t="s">
        <v>433</v>
      </c>
      <c r="B187" s="59">
        <f>IFERROR(__xludf.DUMMYFUNCTION("GOOGLEFINANCE(A187,""price"")"),906.0)</f>
        <v>906</v>
      </c>
      <c r="C187" s="60">
        <f>IFERROR(__xludf.DUMMYFUNCTION("MAX(QUERY(SORT(GOOGLEFINANCE(A187,""high"",TODAY()-100,TODAY()),1,0),""select Col2 limit 55""))"),1025.0)</f>
        <v>1025</v>
      </c>
      <c r="D187" s="32">
        <f>IFERROR(__xludf.DUMMYFUNCTION("GOOGLEFINANCE(A187,""high52"")"),1526.9)</f>
        <v>1526.9</v>
      </c>
      <c r="E187" s="33">
        <f>IFERROR(__xludf.DUMMYFUNCTION("to_date(index(sort(GOOGLEFINANCE(A187, ""high"", today()-52*7, today(), ""DAILY""),2,0),2,1))"),45806.64583333333)</f>
        <v>45806.64583</v>
      </c>
      <c r="F187" s="32">
        <f>IFERROR(__xludf.DUMMYFUNCTION("GOOGLEFINANCE(A187,""low52"")"),705.1)</f>
        <v>705.1</v>
      </c>
      <c r="G187" s="33">
        <f>IFERROR(__xludf.DUMMYFUNCTION("to_date(index(sort(GOOGLEFINANCE(A187, ""low"", today()-52*7, today(), ""DAILY""),2,1),1,1))"),46086.64583333333)</f>
        <v>46086.64583</v>
      </c>
      <c r="H187" s="61">
        <f>IFERROR(__xludf.DUMMYFUNCTION("MIN(QUERY(SORT(GOOGLEFINANCE(A187,""low"",TODAY()-40,TODAY()),1,0),""select Col2 limit 20""))"),892.45)</f>
        <v>892.45</v>
      </c>
      <c r="I187" s="61">
        <f t="shared" si="1"/>
        <v>13.13465784</v>
      </c>
      <c r="J187" s="35" t="str">
        <f t="shared" si="2"/>
        <v>Start GTT Order</v>
      </c>
    </row>
    <row r="188">
      <c r="A188" s="7" t="s">
        <v>252</v>
      </c>
      <c r="B188" s="59">
        <f>IFERROR(__xludf.DUMMYFUNCTION("GOOGLEFINANCE(A188,""price"")"),184.65)</f>
        <v>184.65</v>
      </c>
      <c r="C188" s="60">
        <f>IFERROR(__xludf.DUMMYFUNCTION("MAX(QUERY(SORT(GOOGLEFINANCE(A188,""high"",TODAY()-100,TODAY()),1,0),""select Col2 limit 55""))"),188.5)</f>
        <v>188.5</v>
      </c>
      <c r="D188" s="32">
        <f>IFERROR(__xludf.DUMMYFUNCTION("GOOGLEFINANCE(A188,""high52"")"),232.43)</f>
        <v>232.43</v>
      </c>
      <c r="E188" s="33">
        <f>IFERROR(__xludf.DUMMYFUNCTION("to_date(index(sort(GOOGLEFINANCE(A188, ""high"", today()-52*7, today(), ""DAILY""),2,0),2,1))"),45852.64583333333)</f>
        <v>45852.64583</v>
      </c>
      <c r="F188" s="32">
        <f>IFERROR(__xludf.DUMMYFUNCTION("GOOGLEFINANCE(A188,""low52"")"),170.1)</f>
        <v>170.1</v>
      </c>
      <c r="G188" s="33">
        <f>IFERROR(__xludf.DUMMYFUNCTION("to_date(index(sort(GOOGLEFINANCE(A188, ""low"", today()-52*7, today(), ""DAILY""),2,1),1,1))"),46105.64583333333)</f>
        <v>46105.64583</v>
      </c>
      <c r="H188" s="61">
        <f>IFERROR(__xludf.DUMMYFUNCTION("MIN(QUERY(SORT(GOOGLEFINANCE(A188,""low"",TODAY()-40,TODAY()),1,0),""select Col2 limit 20""))"),180.5)</f>
        <v>180.5</v>
      </c>
      <c r="I188" s="61">
        <f t="shared" si="1"/>
        <v>2.085025724</v>
      </c>
      <c r="J188" s="35" t="str">
        <f t="shared" si="2"/>
        <v>No need to fresh start</v>
      </c>
    </row>
    <row r="189">
      <c r="A189" s="7" t="s">
        <v>434</v>
      </c>
      <c r="B189" s="59">
        <f>IFERROR(__xludf.DUMMYFUNCTION("GOOGLEFINANCE(A189,""price"")"),920.8)</f>
        <v>920.8</v>
      </c>
      <c r="C189" s="60">
        <f>IFERROR(__xludf.DUMMYFUNCTION("MAX(QUERY(SORT(GOOGLEFINANCE(A189,""high"",TODAY()-100,TODAY()),1,0),""select Col2 limit 55""))"),989.5)</f>
        <v>989.5</v>
      </c>
      <c r="D189" s="32">
        <f>IFERROR(__xludf.DUMMYFUNCTION("GOOGLEFINANCE(A189,""high52"")"),1372.4)</f>
        <v>1372.4</v>
      </c>
      <c r="E189" s="33">
        <f>IFERROR(__xludf.DUMMYFUNCTION("to_date(index(sort(GOOGLEFINANCE(A189, ""high"", today()-52*7, today(), ""DAILY""),2,0),2,1))"),45806.64583333333)</f>
        <v>45806.64583</v>
      </c>
      <c r="F189" s="32">
        <f>IFERROR(__xludf.DUMMYFUNCTION("GOOGLEFINANCE(A189,""low52"")"),750.3)</f>
        <v>750.3</v>
      </c>
      <c r="G189" s="33">
        <f>IFERROR(__xludf.DUMMYFUNCTION("to_date(index(sort(GOOGLEFINANCE(A189, ""low"", today()-52*7, today(), ""DAILY""),2,1),1,1))"),46111.64583333333)</f>
        <v>46111.64583</v>
      </c>
      <c r="H189" s="61">
        <f>IFERROR(__xludf.DUMMYFUNCTION("MIN(QUERY(SORT(GOOGLEFINANCE(A189,""low"",TODAY()-40,TODAY()),1,0),""select Col2 limit 20""))"),841.0)</f>
        <v>841</v>
      </c>
      <c r="I189" s="61">
        <f t="shared" si="1"/>
        <v>7.460903562</v>
      </c>
      <c r="J189" s="35" t="str">
        <f t="shared" si="2"/>
        <v>No need to fresh start</v>
      </c>
    </row>
    <row r="190">
      <c r="A190" s="7" t="s">
        <v>435</v>
      </c>
      <c r="B190" s="59">
        <f>IFERROR(__xludf.DUMMYFUNCTION("GOOGLEFINANCE(A190,""price"")"),1831.3)</f>
        <v>1831.3</v>
      </c>
      <c r="C190" s="60">
        <f>IFERROR(__xludf.DUMMYFUNCTION("MAX(QUERY(SORT(GOOGLEFINANCE(A190,""high"",TODAY()-100,TODAY()),1,0),""select Col2 limit 55""))"),1992.0)</f>
        <v>1992</v>
      </c>
      <c r="D190" s="32">
        <f>IFERROR(__xludf.DUMMYFUNCTION("GOOGLEFINANCE(A190,""high52"")"),2750.1)</f>
        <v>2750.1</v>
      </c>
      <c r="E190" s="33">
        <f>IFERROR(__xludf.DUMMYFUNCTION("to_date(index(sort(GOOGLEFINANCE(A190, ""high"", today()-52*7, today(), ""DAILY""),2,0),2,1))"),45868.64583333333)</f>
        <v>45868.64583</v>
      </c>
      <c r="F190" s="32">
        <f>IFERROR(__xludf.DUMMYFUNCTION("GOOGLEFINANCE(A190,""low52"")"),1510.0)</f>
        <v>1510</v>
      </c>
      <c r="G190" s="33">
        <f>IFERROR(__xludf.DUMMYFUNCTION("to_date(index(sort(GOOGLEFINANCE(A190, ""low"", today()-52*7, today(), ""DAILY""),2,1),1,1))"),46111.64583333333)</f>
        <v>46111.64583</v>
      </c>
      <c r="H190" s="61">
        <f>IFERROR(__xludf.DUMMYFUNCTION("MIN(QUERY(SORT(GOOGLEFINANCE(A190,""low"",TODAY()-40,TODAY()),1,0),""select Col2 limit 20""))"),1753.2)</f>
        <v>1753.2</v>
      </c>
      <c r="I190" s="61">
        <f t="shared" si="1"/>
        <v>8.775187026</v>
      </c>
      <c r="J190" s="35" t="str">
        <f t="shared" si="2"/>
        <v>No need to fresh start</v>
      </c>
    </row>
    <row r="191">
      <c r="A191" s="7" t="s">
        <v>436</v>
      </c>
      <c r="B191" s="59">
        <f>IFERROR(__xludf.DUMMYFUNCTION("GOOGLEFINANCE(A191,""price"")"),1943.0)</f>
        <v>1943</v>
      </c>
      <c r="C191" s="60">
        <f>IFERROR(__xludf.DUMMYFUNCTION("MAX(QUERY(SORT(GOOGLEFINANCE(A191,""high"",TODAY()-100,TODAY()),1,0),""select Col2 limit 55""))"),2049.9)</f>
        <v>2049.9</v>
      </c>
      <c r="D191" s="32">
        <f>IFERROR(__xludf.DUMMYFUNCTION("GOOGLEFINANCE(A191,""high52"")"),2048.0)</f>
        <v>2048</v>
      </c>
      <c r="E191" s="33">
        <f>IFERROR(__xludf.DUMMYFUNCTION("to_date(index(sort(GOOGLEFINANCE(A191, ""high"", today()-52*7, today(), ""DAILY""),2,0),2,1))"),46168.64583333333)</f>
        <v>46168.64583</v>
      </c>
      <c r="F191" s="32">
        <f>IFERROR(__xludf.DUMMYFUNCTION("GOOGLEFINANCE(A191,""low52"")"),1322.5)</f>
        <v>1322.5</v>
      </c>
      <c r="G191" s="33">
        <f>IFERROR(__xludf.DUMMYFUNCTION("to_date(index(sort(GOOGLEFINANCE(A191, ""low"", today()-52*7, today(), ""DAILY""),2,1),1,1))"),46114.64583333333)</f>
        <v>46114.64583</v>
      </c>
      <c r="H191" s="61">
        <f>IFERROR(__xludf.DUMMYFUNCTION("MIN(QUERY(SORT(GOOGLEFINANCE(A191,""low"",TODAY()-40,TODAY()),1,0),""select Col2 limit 20""))"),1530.4)</f>
        <v>1530.4</v>
      </c>
      <c r="I191" s="61">
        <f t="shared" si="1"/>
        <v>5.501801338</v>
      </c>
      <c r="J191" s="35" t="str">
        <f t="shared" si="2"/>
        <v>No need to fresh start</v>
      </c>
    </row>
    <row r="192">
      <c r="A192" s="7" t="s">
        <v>437</v>
      </c>
      <c r="B192" s="59">
        <f>IFERROR(__xludf.DUMMYFUNCTION("GOOGLEFINANCE(A192,""price"")"),3635.6)</f>
        <v>3635.6</v>
      </c>
      <c r="C192" s="60">
        <f>IFERROR(__xludf.DUMMYFUNCTION("MAX(QUERY(SORT(GOOGLEFINANCE(A192,""high"",TODAY()-100,TODAY()),1,0),""select Col2 limit 55""))"),3775.0)</f>
        <v>3775</v>
      </c>
      <c r="D192" s="32">
        <f>IFERROR(__xludf.DUMMYFUNCTION("GOOGLEFINANCE(A192,""high52"")"),3775.0)</f>
        <v>3775</v>
      </c>
      <c r="E192" s="33">
        <f>IFERROR(__xludf.DUMMYFUNCTION("to_date(index(sort(GOOGLEFINANCE(A192, ""high"", today()-52*7, today(), ""DAILY""),2,0),2,1))"),46167.64583333333)</f>
        <v>46167.64583</v>
      </c>
      <c r="F192" s="32">
        <f>IFERROR(__xludf.DUMMYFUNCTION("GOOGLEFINANCE(A192,""low52"")"),2800.5)</f>
        <v>2800.5</v>
      </c>
      <c r="G192" s="33">
        <f>IFERROR(__xludf.DUMMYFUNCTION("to_date(index(sort(GOOGLEFINANCE(A192, ""low"", today()-52*7, today(), ""DAILY""),2,1),1,1))"),45989.64583333333)</f>
        <v>45989.64583</v>
      </c>
      <c r="H192" s="61">
        <f>IFERROR(__xludf.DUMMYFUNCTION("MIN(QUERY(SORT(GOOGLEFINANCE(A192,""low"",TODAY()-40,TODAY()),1,0),""select Col2 limit 20""))"),3384.9)</f>
        <v>3384.9</v>
      </c>
      <c r="I192" s="61">
        <f t="shared" si="1"/>
        <v>3.834305204</v>
      </c>
      <c r="J192" s="35" t="str">
        <f t="shared" si="2"/>
        <v>No need to fresh start</v>
      </c>
    </row>
    <row r="193">
      <c r="A193" s="7" t="s">
        <v>83</v>
      </c>
      <c r="B193" s="59">
        <f>IFERROR(__xludf.DUMMYFUNCTION("GOOGLEFINANCE(A193,""price"")"),705.3)</f>
        <v>705.3</v>
      </c>
      <c r="C193" s="60">
        <f>IFERROR(__xludf.DUMMYFUNCTION("MAX(QUERY(SORT(GOOGLEFINANCE(A193,""high"",TODAY()-100,TODAY()),1,0),""select Col2 limit 55""))"),771.9)</f>
        <v>771.9</v>
      </c>
      <c r="D193" s="32">
        <f>IFERROR(__xludf.DUMMYFUNCTION("GOOGLEFINANCE(A193,""high52"")"),771.9)</f>
        <v>771.9</v>
      </c>
      <c r="E193" s="33">
        <f>IFERROR(__xludf.DUMMYFUNCTION("to_date(index(sort(GOOGLEFINANCE(A193, ""high"", today()-52*7, today(), ""DAILY""),2,0),2,1))"),46129.64583333333)</f>
        <v>46129.64583</v>
      </c>
      <c r="F193" s="32">
        <f>IFERROR(__xludf.DUMMYFUNCTION("GOOGLEFINANCE(A193,""low52"")"),351.1)</f>
        <v>351.1</v>
      </c>
      <c r="G193" s="33">
        <f>IFERROR(__xludf.DUMMYFUNCTION("to_date(index(sort(GOOGLEFINANCE(A193, ""low"", today()-52*7, today(), ""DAILY""),2,1),1,1))"),45805.64583333333)</f>
        <v>45805.64583</v>
      </c>
      <c r="H193" s="61">
        <f>IFERROR(__xludf.DUMMYFUNCTION("MIN(QUERY(SORT(GOOGLEFINANCE(A193,""low"",TODAY()-40,TODAY()),1,0),""select Col2 limit 20""))"),625.0)</f>
        <v>625</v>
      </c>
      <c r="I193" s="61">
        <f t="shared" si="1"/>
        <v>9.442790302</v>
      </c>
      <c r="J193" s="35" t="str">
        <f t="shared" si="2"/>
        <v>No need to fresh start</v>
      </c>
    </row>
    <row r="194">
      <c r="A194" s="7" t="s">
        <v>257</v>
      </c>
      <c r="B194" s="59">
        <f>IFERROR(__xludf.DUMMYFUNCTION("GOOGLEFINANCE(A194,""price"")"),187.11)</f>
        <v>187.11</v>
      </c>
      <c r="C194" s="60">
        <f>IFERROR(__xludf.DUMMYFUNCTION("MAX(QUERY(SORT(GOOGLEFINANCE(A194,""high"",TODAY()-100,TODAY()),1,0),""select Col2 limit 55""))"),204.5)</f>
        <v>204.5</v>
      </c>
      <c r="D194" s="32">
        <f>IFERROR(__xludf.DUMMYFUNCTION("GOOGLEFINANCE(A194,""high52"")"),204.5)</f>
        <v>204.5</v>
      </c>
      <c r="E194" s="33">
        <f>IFERROR(__xludf.DUMMYFUNCTION("to_date(index(sort(GOOGLEFINANCE(A194, ""high"", today()-52*7, today(), ""DAILY""),2,0),2,1))"),46146.64583333333)</f>
        <v>46146.64583</v>
      </c>
      <c r="F194" s="32">
        <f>IFERROR(__xludf.DUMMYFUNCTION("GOOGLEFINANCE(A194,""low52"")"),138.12)</f>
        <v>138.12</v>
      </c>
      <c r="G194" s="33">
        <f>IFERROR(__xludf.DUMMYFUNCTION("to_date(index(sort(GOOGLEFINANCE(A194, ""low"", today()-52*7, today(), ""DAILY""),2,1),1,1))"),46049.64583333333)</f>
        <v>46049.64583</v>
      </c>
      <c r="H194" s="61">
        <f>IFERROR(__xludf.DUMMYFUNCTION("MIN(QUERY(SORT(GOOGLEFINANCE(A194,""low"",TODAY()-40,TODAY()),1,0),""select Col2 limit 20""))"),175.01)</f>
        <v>175.01</v>
      </c>
      <c r="I194" s="61">
        <f t="shared" si="1"/>
        <v>9.293998183</v>
      </c>
      <c r="J194" s="35" t="str">
        <f t="shared" si="2"/>
        <v>No need to fresh start</v>
      </c>
    </row>
    <row r="195">
      <c r="A195" s="7" t="s">
        <v>438</v>
      </c>
      <c r="B195" s="59">
        <f>IFERROR(__xludf.DUMMYFUNCTION("GOOGLEFINANCE(A195,""price"")"),69.76)</f>
        <v>69.76</v>
      </c>
      <c r="C195" s="60">
        <f>IFERROR(__xludf.DUMMYFUNCTION("MAX(QUERY(SORT(GOOGLEFINANCE(A195,""high"",TODAY()-100,TODAY()),1,0),""select Col2 limit 55""))"),70.45)</f>
        <v>70.45</v>
      </c>
      <c r="D195" s="32">
        <f>IFERROR(__xludf.DUMMYFUNCTION("GOOGLEFINANCE(A195,""high52"")"),83.8)</f>
        <v>83.8</v>
      </c>
      <c r="E195" s="33">
        <f>IFERROR(__xludf.DUMMYFUNCTION("to_date(index(sort(GOOGLEFINANCE(A195, ""high"", today()-52*7, today(), ""DAILY""),2,0),2,1))"),45806.64583333333)</f>
        <v>45806.64583</v>
      </c>
      <c r="F195" s="32">
        <f>IFERROR(__xludf.DUMMYFUNCTION("GOOGLEFINANCE(A195,""low52"")"),59.5)</f>
        <v>59.5</v>
      </c>
      <c r="G195" s="33">
        <f>IFERROR(__xludf.DUMMYFUNCTION("to_date(index(sort(GOOGLEFINANCE(A195, ""low"", today()-52*7, today(), ""DAILY""),2,1),1,1))"),46108.64583333333)</f>
        <v>46108.64583</v>
      </c>
      <c r="H195" s="61">
        <f>IFERROR(__xludf.DUMMYFUNCTION("MIN(QUERY(SORT(GOOGLEFINANCE(A195,""low"",TODAY()-40,TODAY()),1,0),""select Col2 limit 20""))"),65.26)</f>
        <v>65.26</v>
      </c>
      <c r="I195" s="61">
        <f t="shared" si="1"/>
        <v>0.9891055046</v>
      </c>
      <c r="J195" s="35" t="str">
        <f t="shared" si="2"/>
        <v>No need to fresh start</v>
      </c>
    </row>
    <row r="196">
      <c r="A196" s="7" t="s">
        <v>439</v>
      </c>
      <c r="B196" s="59">
        <f>IFERROR(__xludf.DUMMYFUNCTION("GOOGLEFINANCE(A196,""price"")"),584.5)</f>
        <v>584.5</v>
      </c>
      <c r="C196" s="60">
        <f>IFERROR(__xludf.DUMMYFUNCTION("MAX(QUERY(SORT(GOOGLEFINANCE(A196,""high"",TODAY()-100,TODAY()),1,0),""select Col2 limit 55""))"),589.0)</f>
        <v>589</v>
      </c>
      <c r="D196" s="32">
        <f>IFERROR(__xludf.DUMMYFUNCTION("GOOGLEFINANCE(A196,""high52"")"),694.7)</f>
        <v>694.7</v>
      </c>
      <c r="E196" s="33">
        <f>IFERROR(__xludf.DUMMYFUNCTION("to_date(index(sort(GOOGLEFINANCE(A196, ""high"", today()-52*7, today(), ""DAILY""),2,0),2,1))"),45992.64583333333)</f>
        <v>45992.64583</v>
      </c>
      <c r="F196" s="32">
        <f>IFERROR(__xludf.DUMMYFUNCTION("GOOGLEFINANCE(A196,""low52"")"),462.0)</f>
        <v>462</v>
      </c>
      <c r="G196" s="33">
        <f>IFERROR(__xludf.DUMMYFUNCTION("to_date(index(sort(GOOGLEFINANCE(A196, ""low"", today()-52*7, today(), ""DAILY""),2,1),1,1))"),46111.64583333333)</f>
        <v>46111.64583</v>
      </c>
      <c r="H196" s="61">
        <f>IFERROR(__xludf.DUMMYFUNCTION("MIN(QUERY(SORT(GOOGLEFINANCE(A196,""low"",TODAY()-40,TODAY()),1,0),""select Col2 limit 20""))"),513.0)</f>
        <v>513</v>
      </c>
      <c r="I196" s="61">
        <f t="shared" si="1"/>
        <v>0.7698887938</v>
      </c>
      <c r="J196" s="35" t="str">
        <f t="shared" si="2"/>
        <v>No need to fresh start</v>
      </c>
    </row>
    <row r="197">
      <c r="A197" s="7" t="s">
        <v>440</v>
      </c>
      <c r="B197" s="59">
        <f>IFERROR(__xludf.DUMMYFUNCTION("GOOGLEFINANCE(A197,""price"")"),8139.5)</f>
        <v>8139.5</v>
      </c>
      <c r="C197" s="60">
        <f>IFERROR(__xludf.DUMMYFUNCTION("MAX(QUERY(SORT(GOOGLEFINANCE(A197,""high"",TODAY()-100,TODAY()),1,0),""select Col2 limit 55""))"),8447.5)</f>
        <v>8447.5</v>
      </c>
      <c r="D197" s="32">
        <f>IFERROR(__xludf.DUMMYFUNCTION("GOOGLEFINANCE(A197,""high52"")"),11500.0)</f>
        <v>11500</v>
      </c>
      <c r="E197" s="33">
        <f>IFERROR(__xludf.DUMMYFUNCTION("to_date(index(sort(GOOGLEFINANCE(A197, ""high"", today()-52*7, today(), ""DAILY""),2,0),2,1))"),45853.64583333333)</f>
        <v>45853.64583</v>
      </c>
      <c r="F197" s="32">
        <f>IFERROR(__xludf.DUMMYFUNCTION("GOOGLEFINANCE(A197,""low52"")"),7206.0)</f>
        <v>7206</v>
      </c>
      <c r="G197" s="33">
        <f>IFERROR(__xludf.DUMMYFUNCTION("to_date(index(sort(GOOGLEFINANCE(A197, ""low"", today()-52*7, today(), ""DAILY""),2,1),1,1))"),46111.64583333333)</f>
        <v>46111.64583</v>
      </c>
      <c r="H197" s="61">
        <f>IFERROR(__xludf.DUMMYFUNCTION("MIN(QUERY(SORT(GOOGLEFINANCE(A197,""low"",TODAY()-40,TODAY()),1,0),""select Col2 limit 20""))"),7601.5)</f>
        <v>7601.5</v>
      </c>
      <c r="I197" s="61">
        <f t="shared" si="1"/>
        <v>3.784016217</v>
      </c>
      <c r="J197" s="35" t="str">
        <f t="shared" si="2"/>
        <v>No need to fresh start</v>
      </c>
    </row>
    <row r="198">
      <c r="A198" s="7" t="s">
        <v>233</v>
      </c>
      <c r="B198" s="59">
        <f>IFERROR(__xludf.DUMMYFUNCTION("GOOGLEFINANCE(A198,""price"")"),120.2)</f>
        <v>120.2</v>
      </c>
      <c r="C198" s="60">
        <f>IFERROR(__xludf.DUMMYFUNCTION("MAX(QUERY(SORT(GOOGLEFINANCE(A198,""high"",TODAY()-100,TODAY()),1,0),""select Col2 limit 55""))"),137.23)</f>
        <v>137.23</v>
      </c>
      <c r="D198" s="32">
        <f>IFERROR(__xludf.DUMMYFUNCTION("GOOGLEFINANCE(A198,""high52"")"),237.88)</f>
        <v>237.88</v>
      </c>
      <c r="E198" s="33">
        <f>IFERROR(__xludf.DUMMYFUNCTION("to_date(index(sort(GOOGLEFINANCE(A198, ""high"", today()-52*7, today(), ""DAILY""),2,0),2,1))"),46013.64583333333)</f>
        <v>46013.64583</v>
      </c>
      <c r="F198" s="32">
        <f>IFERROR(__xludf.DUMMYFUNCTION("GOOGLEFINANCE(A198,""low52"")"),80.38)</f>
        <v>80.38</v>
      </c>
      <c r="G198" s="33">
        <f>IFERROR(__xludf.DUMMYFUNCTION("to_date(index(sort(GOOGLEFINANCE(A198, ""low"", today()-52*7, today(), ""DAILY""),2,1),1,1))"),46111.64583333333)</f>
        <v>46111.64583</v>
      </c>
      <c r="H198" s="61">
        <f>IFERROR(__xludf.DUMMYFUNCTION("MIN(QUERY(SORT(GOOGLEFINANCE(A198,""low"",TODAY()-40,TODAY()),1,0),""select Col2 limit 20""))"),104.32)</f>
        <v>104.32</v>
      </c>
      <c r="I198" s="61">
        <f t="shared" si="1"/>
        <v>14.16805324</v>
      </c>
      <c r="J198" s="35" t="str">
        <f t="shared" si="2"/>
        <v>Start GTT Order</v>
      </c>
    </row>
    <row r="199">
      <c r="A199" s="7" t="s">
        <v>288</v>
      </c>
      <c r="B199" s="59">
        <f>IFERROR(__xludf.DUMMYFUNCTION("GOOGLEFINANCE(A199,""price"")"),1576.6)</f>
        <v>1576.6</v>
      </c>
      <c r="C199" s="60">
        <f>IFERROR(__xludf.DUMMYFUNCTION("MAX(QUERY(SORT(GOOGLEFINANCE(A199,""high"",TODAY()-100,TODAY()),1,0),""select Col2 limit 55""))"),1678.3)</f>
        <v>1678.3</v>
      </c>
      <c r="D199" s="32">
        <f>IFERROR(__xludf.DUMMYFUNCTION("GOOGLEFINANCE(A199,""high52"")"),1678.3)</f>
        <v>1678.3</v>
      </c>
      <c r="E199" s="33">
        <f>IFERROR(__xludf.DUMMYFUNCTION("to_date(index(sort(GOOGLEFINANCE(A199, ""high"", today()-52*7, today(), ""DAILY""),2,0),2,1))"),46162.64583333333)</f>
        <v>46162.64583</v>
      </c>
      <c r="F199" s="32">
        <f>IFERROR(__xludf.DUMMYFUNCTION("GOOGLEFINANCE(A199,""low52"")"),1251.6)</f>
        <v>1251.6</v>
      </c>
      <c r="G199" s="33">
        <f>IFERROR(__xludf.DUMMYFUNCTION("to_date(index(sort(GOOGLEFINANCE(A199, ""low"", today()-52*7, today(), ""DAILY""),2,1),1,1))"),45954.64583333333)</f>
        <v>45954.64583</v>
      </c>
      <c r="H199" s="61">
        <f>IFERROR(__xludf.DUMMYFUNCTION("MIN(QUERY(SORT(GOOGLEFINANCE(A199,""low"",TODAY()-40,TODAY()),1,0),""select Col2 limit 20""))"),1494.0)</f>
        <v>1494</v>
      </c>
      <c r="I199" s="61">
        <f t="shared" si="1"/>
        <v>6.450589877</v>
      </c>
      <c r="J199" s="35" t="str">
        <f t="shared" si="2"/>
        <v>No need to fresh start</v>
      </c>
    </row>
    <row r="200">
      <c r="A200" s="7" t="s">
        <v>441</v>
      </c>
      <c r="B200" s="59" t="str">
        <f>IFERROR(__xludf.DUMMYFUNCTION("GOOGLEFINANCE(A200,""price"")"),"#N/A")</f>
        <v>#N/A</v>
      </c>
      <c r="C200" s="60" t="str">
        <f>IFERROR(__xludf.DUMMYFUNCTION("MAX(QUERY(SORT(GOOGLEFINANCE(A200,""high"",TODAY()-100,TODAY()),1,0),""select Col2 limit 55""))"),"#N/A")</f>
        <v>#N/A</v>
      </c>
      <c r="D200" s="32" t="str">
        <f>IFERROR(__xludf.DUMMYFUNCTION("GOOGLEFINANCE(A200,""high52"")"),"#N/A")</f>
        <v>#N/A</v>
      </c>
      <c r="E200" s="33" t="str">
        <f>IFERROR(__xludf.DUMMYFUNCTION("to_date(index(sort(GOOGLEFINANCE(A200, ""high"", today()-52*7, today(), ""DAILY""),2,0),2,1))"),"#N/A")</f>
        <v>#N/A</v>
      </c>
      <c r="F200" s="32" t="str">
        <f>IFERROR(__xludf.DUMMYFUNCTION("GOOGLEFINANCE(A200,""low52"")"),"#N/A")</f>
        <v>#N/A</v>
      </c>
      <c r="G200" s="33" t="str">
        <f>IFERROR(__xludf.DUMMYFUNCTION("to_date(index(sort(GOOGLEFINANCE(A200, ""low"", today()-52*7, today(), ""DAILY""),2,1),1,1))"),"#N/A")</f>
        <v>#N/A</v>
      </c>
      <c r="H200" s="61" t="str">
        <f>IFERROR(__xludf.DUMMYFUNCTION("MIN(QUERY(SORT(GOOGLEFINANCE(A200,""low"",TODAY()-40,TODAY()),1,0),""select Col2 limit 20""))"),"#N/A")</f>
        <v>#N/A</v>
      </c>
      <c r="I200" s="61" t="str">
        <f t="shared" si="1"/>
        <v>#N/A</v>
      </c>
      <c r="J200" s="35" t="str">
        <f t="shared" si="2"/>
        <v>#N/A</v>
      </c>
    </row>
    <row r="201">
      <c r="A201" s="7" t="s">
        <v>48</v>
      </c>
      <c r="B201" s="59">
        <f>IFERROR(__xludf.DUMMYFUNCTION("GOOGLEFINANCE(A201,""price"")"),234.35)</f>
        <v>234.35</v>
      </c>
      <c r="C201" s="60">
        <f>IFERROR(__xludf.DUMMYFUNCTION("MAX(QUERY(SORT(GOOGLEFINANCE(A201,""high"",TODAY()-100,TODAY()),1,0),""select Col2 limit 55""))"),267.0)</f>
        <v>267</v>
      </c>
      <c r="D201" s="32">
        <f>IFERROR(__xludf.DUMMYFUNCTION("GOOGLEFINANCE(A201,""high52"")"),267.0)</f>
        <v>267</v>
      </c>
      <c r="E201" s="33">
        <f>IFERROR(__xludf.DUMMYFUNCTION("to_date(index(sort(GOOGLEFINANCE(A201, ""high"", today()-52*7, today(), ""DAILY""),2,0),2,1))"),46149.64583333333)</f>
        <v>46149.64583</v>
      </c>
      <c r="F201" s="32">
        <f>IFERROR(__xludf.DUMMYFUNCTION("GOOGLEFINANCE(A201,""low52"")"),163.55)</f>
        <v>163.55</v>
      </c>
      <c r="G201" s="33">
        <f>IFERROR(__xludf.DUMMYFUNCTION("to_date(index(sort(GOOGLEFINANCE(A201, ""low"", today()-52*7, today(), ""DAILY""),2,1),1,1))"),46049.64583333333)</f>
        <v>46049.64583</v>
      </c>
      <c r="H201" s="61">
        <f>IFERROR(__xludf.DUMMYFUNCTION("MIN(QUERY(SORT(GOOGLEFINANCE(A201,""low"",TODAY()-40,TODAY()),1,0),""select Col2 limit 20""))"),213.0)</f>
        <v>213</v>
      </c>
      <c r="I201" s="61">
        <f t="shared" si="1"/>
        <v>13.93215276</v>
      </c>
      <c r="J201" s="35" t="str">
        <f t="shared" si="2"/>
        <v>No need to fresh start</v>
      </c>
    </row>
    <row r="202">
      <c r="A202" s="7" t="s">
        <v>43</v>
      </c>
      <c r="B202" s="59">
        <f>IFERROR(__xludf.DUMMYFUNCTION("GOOGLEFINANCE(A202,""price"")"),207.33)</f>
        <v>207.33</v>
      </c>
      <c r="C202" s="60">
        <f>IFERROR(__xludf.DUMMYFUNCTION("MAX(QUERY(SORT(GOOGLEFINANCE(A202,""high"",TODAY()-100,TODAY()),1,0),""select Col2 limit 55""))"),235.5)</f>
        <v>235.5</v>
      </c>
      <c r="D202" s="32">
        <f>IFERROR(__xludf.DUMMYFUNCTION("GOOGLEFINANCE(A202,""high52"")"),253.73)</f>
        <v>253.73</v>
      </c>
      <c r="E202" s="33">
        <f>IFERROR(__xludf.DUMMYFUNCTION("to_date(index(sort(GOOGLEFINANCE(A202, ""high"", today()-52*7, today(), ""DAILY""),2,0),2,1))"),45811.64583333333)</f>
        <v>45811.64583</v>
      </c>
      <c r="F202" s="32">
        <f>IFERROR(__xludf.DUMMYFUNCTION("GOOGLEFINANCE(A202,""low52"")"),159.0)</f>
        <v>159</v>
      </c>
      <c r="G202" s="33">
        <f>IFERROR(__xludf.DUMMYFUNCTION("to_date(index(sort(GOOGLEFINANCE(A202, ""low"", today()-52*7, today(), ""DAILY""),2,1),1,1))"),46111.64583333333)</f>
        <v>46111.64583</v>
      </c>
      <c r="H202" s="61">
        <f>IFERROR(__xludf.DUMMYFUNCTION("MIN(QUERY(SORT(GOOGLEFINANCE(A202,""low"",TODAY()-40,TODAY()),1,0),""select Col2 limit 20""))"),197.11)</f>
        <v>197.11</v>
      </c>
      <c r="I202" s="61">
        <f t="shared" si="1"/>
        <v>13.58703516</v>
      </c>
      <c r="J202" s="35" t="str">
        <f t="shared" si="2"/>
        <v>Start GTT Order</v>
      </c>
    </row>
    <row r="203">
      <c r="A203" s="7" t="s">
        <v>442</v>
      </c>
      <c r="B203" s="59">
        <f>IFERROR(__xludf.DUMMYFUNCTION("GOOGLEFINANCE(A203,""price"")"),664.95)</f>
        <v>664.95</v>
      </c>
      <c r="C203" s="60">
        <f>IFERROR(__xludf.DUMMYFUNCTION("MAX(QUERY(SORT(GOOGLEFINANCE(A203,""high"",TODAY()-100,TODAY()),1,0),""select Col2 limit 55""))"),689.9)</f>
        <v>689.9</v>
      </c>
      <c r="D203" s="32">
        <f>IFERROR(__xludf.DUMMYFUNCTION("GOOGLEFINANCE(A203,""high52"")"),945.0)</f>
        <v>945</v>
      </c>
      <c r="E203" s="33">
        <f>IFERROR(__xludf.DUMMYFUNCTION("to_date(index(sort(GOOGLEFINANCE(A203, ""high"", today()-52*7, today(), ""DAILY""),2,0),2,1))"),45831.64583333333)</f>
        <v>45831.64583</v>
      </c>
      <c r="F203" s="32">
        <f>IFERROR(__xludf.DUMMYFUNCTION("GOOGLEFINANCE(A203,""low52"")"),457.9)</f>
        <v>457.9</v>
      </c>
      <c r="G203" s="33">
        <f>IFERROR(__xludf.DUMMYFUNCTION("to_date(index(sort(GOOGLEFINANCE(A203, ""low"", today()-52*7, today(), ""DAILY""),2,1),1,1))"),46111.64583333333)</f>
        <v>46111.64583</v>
      </c>
      <c r="H203" s="61">
        <f>IFERROR(__xludf.DUMMYFUNCTION("MIN(QUERY(SORT(GOOGLEFINANCE(A203,""low"",TODAY()-40,TODAY()),1,0),""select Col2 limit 20""))"),611.2)</f>
        <v>611.2</v>
      </c>
      <c r="I203" s="61">
        <f t="shared" si="1"/>
        <v>3.752161817</v>
      </c>
      <c r="J203" s="35" t="str">
        <f t="shared" si="2"/>
        <v>No need to fresh start</v>
      </c>
    </row>
    <row r="204">
      <c r="A204" s="7" t="s">
        <v>443</v>
      </c>
      <c r="B204" s="59">
        <f>IFERROR(__xludf.DUMMYFUNCTION("GOOGLEFINANCE(A204,""price"")"),3615.0)</f>
        <v>3615</v>
      </c>
      <c r="C204" s="60">
        <f>IFERROR(__xludf.DUMMYFUNCTION("MAX(QUERY(SORT(GOOGLEFINANCE(A204,""high"",TODAY()-100,TODAY()),1,0),""select Col2 limit 55""))"),3878.0)</f>
        <v>3878</v>
      </c>
      <c r="D204" s="32">
        <f>IFERROR(__xludf.DUMMYFUNCTION("GOOGLEFINANCE(A204,""high52"")"),4050.0)</f>
        <v>4050</v>
      </c>
      <c r="E204" s="33">
        <f>IFERROR(__xludf.DUMMYFUNCTION("to_date(index(sort(GOOGLEFINANCE(A204, ""high"", today()-52*7, today(), ""DAILY""),2,0),2,1))"),45805.64583333333)</f>
        <v>45805.64583</v>
      </c>
      <c r="F204" s="32">
        <f>IFERROR(__xludf.DUMMYFUNCTION("GOOGLEFINANCE(A204,""low52"")"),2916.6)</f>
        <v>2916.6</v>
      </c>
      <c r="G204" s="33">
        <f>IFERROR(__xludf.DUMMYFUNCTION("to_date(index(sort(GOOGLEFINANCE(A204, ""low"", today()-52*7, today(), ""DAILY""),2,1),1,1))"),46050.64583333333)</f>
        <v>46050.64583</v>
      </c>
      <c r="H204" s="61">
        <f>IFERROR(__xludf.DUMMYFUNCTION("MIN(QUERY(SORT(GOOGLEFINANCE(A204,""low"",TODAY()-40,TODAY()),1,0),""select Col2 limit 20""))"),3341.0)</f>
        <v>3341</v>
      </c>
      <c r="I204" s="61">
        <f t="shared" si="1"/>
        <v>7.275242047</v>
      </c>
      <c r="J204" s="35" t="str">
        <f t="shared" si="2"/>
        <v>No need to fresh start</v>
      </c>
    </row>
    <row r="205">
      <c r="A205" s="7" t="s">
        <v>444</v>
      </c>
      <c r="B205" s="59">
        <f>IFERROR(__xludf.DUMMYFUNCTION("GOOGLEFINANCE(A205,""price"")"),214.9)</f>
        <v>214.9</v>
      </c>
      <c r="C205" s="60">
        <f>IFERROR(__xludf.DUMMYFUNCTION("MAX(QUERY(SORT(GOOGLEFINANCE(A205,""high"",TODAY()-100,TODAY()),1,0),""select Col2 limit 55""))"),238.0)</f>
        <v>238</v>
      </c>
      <c r="D205" s="32">
        <f>IFERROR(__xludf.DUMMYFUNCTION("GOOGLEFINANCE(A205,""high52"")"),335.15)</f>
        <v>335.15</v>
      </c>
      <c r="E205" s="33">
        <f>IFERROR(__xludf.DUMMYFUNCTION("to_date(index(sort(GOOGLEFINANCE(A205, ""high"", today()-52*7, today(), ""DAILY""),2,0),2,1))"),45805.64583333333)</f>
        <v>45805.64583</v>
      </c>
      <c r="F205" s="32">
        <f>IFERROR(__xludf.DUMMYFUNCTION("GOOGLEFINANCE(A205,""low52"")"),166.3)</f>
        <v>166.3</v>
      </c>
      <c r="G205" s="33">
        <f>IFERROR(__xludf.DUMMYFUNCTION("to_date(index(sort(GOOGLEFINANCE(A205, ""low"", today()-52*7, today(), ""DAILY""),2,1),1,1))"),46111.64583333333)</f>
        <v>46111.64583</v>
      </c>
      <c r="H205" s="61">
        <f>IFERROR(__xludf.DUMMYFUNCTION("MIN(QUERY(SORT(GOOGLEFINANCE(A205,""low"",TODAY()-40,TODAY()),1,0),""select Col2 limit 20""))"),196.61)</f>
        <v>196.61</v>
      </c>
      <c r="I205" s="61">
        <f t="shared" si="1"/>
        <v>10.74918567</v>
      </c>
      <c r="J205" s="35" t="str">
        <f t="shared" si="2"/>
        <v>Start GTT Order</v>
      </c>
    </row>
    <row r="206">
      <c r="A206" s="7" t="s">
        <v>445</v>
      </c>
      <c r="B206" s="59">
        <f>IFERROR(__xludf.DUMMYFUNCTION("GOOGLEFINANCE(A206,""price"")"),3470.5)</f>
        <v>3470.5</v>
      </c>
      <c r="C206" s="60">
        <f>IFERROR(__xludf.DUMMYFUNCTION("MAX(QUERY(SORT(GOOGLEFINANCE(A206,""high"",TODAY()-100,TODAY()),1,0),""select Col2 limit 55""))"),4090.0)</f>
        <v>4090</v>
      </c>
      <c r="D206" s="32">
        <f>IFERROR(__xludf.DUMMYFUNCTION("GOOGLEFINANCE(A206,""high52"")"),5400.0)</f>
        <v>5400</v>
      </c>
      <c r="E206" s="33">
        <f>IFERROR(__xludf.DUMMYFUNCTION("to_date(index(sort(GOOGLEFINANCE(A206, ""high"", today()-52*7, today(), ""DAILY""),2,0),2,1))"),45806.64583333333)</f>
        <v>45806.64583</v>
      </c>
      <c r="F206" s="32">
        <f>IFERROR(__xludf.DUMMYFUNCTION("GOOGLEFINANCE(A206,""low52"")"),3122.2)</f>
        <v>3122.2</v>
      </c>
      <c r="G206" s="33">
        <f>IFERROR(__xludf.DUMMYFUNCTION("to_date(index(sort(GOOGLEFINANCE(A206, ""low"", today()-52*7, today(), ""DAILY""),2,1),1,1))"),46104.64583333333)</f>
        <v>46104.64583</v>
      </c>
      <c r="H206" s="61">
        <f>IFERROR(__xludf.DUMMYFUNCTION("MIN(QUERY(SORT(GOOGLEFINANCE(A206,""low"",TODAY()-40,TODAY()),1,0),""select Col2 limit 20""))"),3480.0)</f>
        <v>3480</v>
      </c>
      <c r="I206" s="61">
        <f t="shared" si="1"/>
        <v>17.85045383</v>
      </c>
      <c r="J206" s="35" t="str">
        <f t="shared" si="2"/>
        <v>Start GTT Order</v>
      </c>
    </row>
    <row r="207">
      <c r="A207" s="7" t="s">
        <v>446</v>
      </c>
      <c r="B207" s="59">
        <f>IFERROR(__xludf.DUMMYFUNCTION("GOOGLEFINANCE(A207,""price"")"),217.74)</f>
        <v>217.74</v>
      </c>
      <c r="C207" s="60">
        <f>IFERROR(__xludf.DUMMYFUNCTION("MAX(QUERY(SORT(GOOGLEFINANCE(A207,""high"",TODAY()-100,TODAY()),1,0),""select Col2 limit 55""))"),242.98)</f>
        <v>242.98</v>
      </c>
      <c r="D207" s="32">
        <f>IFERROR(__xludf.DUMMYFUNCTION("GOOGLEFINANCE(A207,""high52"")"),308.95)</f>
        <v>308.95</v>
      </c>
      <c r="E207" s="33">
        <f>IFERROR(__xludf.DUMMYFUNCTION("to_date(index(sort(GOOGLEFINANCE(A207, ""high"", today()-52*7, today(), ""DAILY""),2,0),2,1))"),45902.64583333333)</f>
        <v>45902.64583</v>
      </c>
      <c r="F207" s="32">
        <f>IFERROR(__xludf.DUMMYFUNCTION("GOOGLEFINANCE(A207,""low52"")"),196.53)</f>
        <v>196.53</v>
      </c>
      <c r="G207" s="33">
        <f>IFERROR(__xludf.DUMMYFUNCTION("to_date(index(sort(GOOGLEFINANCE(A207, ""low"", today()-52*7, today(), ""DAILY""),2,1),1,1))"),46090.64583333333)</f>
        <v>46090.64583</v>
      </c>
      <c r="H207" s="61">
        <f>IFERROR(__xludf.DUMMYFUNCTION("MIN(QUERY(SORT(GOOGLEFINANCE(A207,""low"",TODAY()-40,TODAY()),1,0),""select Col2 limit 20""))"),208.26)</f>
        <v>208.26</v>
      </c>
      <c r="I207" s="61">
        <f t="shared" si="1"/>
        <v>11.59180674</v>
      </c>
      <c r="J207" s="35" t="str">
        <f t="shared" si="2"/>
        <v>Start GTT Order</v>
      </c>
    </row>
    <row r="208">
      <c r="A208" s="7" t="s">
        <v>447</v>
      </c>
      <c r="B208" s="59">
        <f>IFERROR(__xludf.DUMMYFUNCTION("GOOGLEFINANCE(A208,""price"")"),191.75)</f>
        <v>191.75</v>
      </c>
      <c r="C208" s="60">
        <f>IFERROR(__xludf.DUMMYFUNCTION("MAX(QUERY(SORT(GOOGLEFINANCE(A208,""high"",TODAY()-100,TODAY()),1,0),""select Col2 limit 55""))"),229.51)</f>
        <v>229.51</v>
      </c>
      <c r="D208" s="32">
        <f>IFERROR(__xludf.DUMMYFUNCTION("GOOGLEFINANCE(A208,""high52"")"),229.51)</f>
        <v>229.51</v>
      </c>
      <c r="E208" s="33">
        <f>IFERROR(__xludf.DUMMYFUNCTION("to_date(index(sort(GOOGLEFINANCE(A208, ""high"", today()-52*7, today(), ""DAILY""),2,0),2,1))"),46149.64583333333)</f>
        <v>46149.64583</v>
      </c>
      <c r="F208" s="32">
        <f>IFERROR(__xludf.DUMMYFUNCTION("GOOGLEFINANCE(A208,""low52"")"),149.59)</f>
        <v>149.59</v>
      </c>
      <c r="G208" s="33">
        <f>IFERROR(__xludf.DUMMYFUNCTION("to_date(index(sort(GOOGLEFINANCE(A208, ""low"", today()-52*7, today(), ""DAILY""),2,1),1,1))"),46043.64583333333)</f>
        <v>46043.64583</v>
      </c>
      <c r="H208" s="61">
        <f>IFERROR(__xludf.DUMMYFUNCTION("MIN(QUERY(SORT(GOOGLEFINANCE(A208,""low"",TODAY()-40,TODAY()),1,0),""select Col2 limit 20""))"),187.74)</f>
        <v>187.74</v>
      </c>
      <c r="I208" s="61">
        <f t="shared" si="1"/>
        <v>19.69230769</v>
      </c>
      <c r="J208" s="35" t="str">
        <f t="shared" si="2"/>
        <v>No need to fresh start</v>
      </c>
    </row>
    <row r="209">
      <c r="A209" s="7" t="s">
        <v>448</v>
      </c>
      <c r="B209" s="59">
        <f>IFERROR(__xludf.DUMMYFUNCTION("GOOGLEFINANCE(A209,""price"")"),6.57)</f>
        <v>6.57</v>
      </c>
      <c r="C209" s="60">
        <f>IFERROR(__xludf.DUMMYFUNCTION("MAX(QUERY(SORT(GOOGLEFINANCE(A209,""high"",TODAY()-100,TODAY()),1,0),""select Col2 limit 55""))"),7.56)</f>
        <v>7.56</v>
      </c>
      <c r="D209" s="32">
        <f>IFERROR(__xludf.DUMMYFUNCTION("GOOGLEFINANCE(A209,""high52"")"),10.6)</f>
        <v>10.6</v>
      </c>
      <c r="E209" s="33">
        <f>IFERROR(__xludf.DUMMYFUNCTION("to_date(index(sort(GOOGLEFINANCE(A209, ""high"", today()-52*7, today(), ""DAILY""),2,0),2,1))"),45839.64583333333)</f>
        <v>45839.64583</v>
      </c>
      <c r="F209" s="32">
        <f>IFERROR(__xludf.DUMMYFUNCTION("GOOGLEFINANCE(A209,""low52"")"),4.61)</f>
        <v>4.61</v>
      </c>
      <c r="G209" s="33">
        <f>IFERROR(__xludf.DUMMYFUNCTION("to_date(index(sort(GOOGLEFINANCE(A209, ""low"", today()-52*7, today(), ""DAILY""),2,1),1,1))"),46111.64583333333)</f>
        <v>46111.64583</v>
      </c>
      <c r="H209" s="61">
        <f>IFERROR(__xludf.DUMMYFUNCTION("MIN(QUERY(SORT(GOOGLEFINANCE(A209,""low"",TODAY()-40,TODAY()),1,0),""select Col2 limit 20""))"),6.17)</f>
        <v>6.17</v>
      </c>
      <c r="I209" s="61">
        <f t="shared" si="1"/>
        <v>15.06849315</v>
      </c>
      <c r="J209" s="35" t="str">
        <f t="shared" si="2"/>
        <v>Start GTT Order</v>
      </c>
    </row>
    <row r="210">
      <c r="A210" s="7" t="s">
        <v>449</v>
      </c>
      <c r="B210" s="59">
        <f>IFERROR(__xludf.DUMMYFUNCTION("GOOGLEFINANCE(A210,""price"")"),784.1)</f>
        <v>784.1</v>
      </c>
      <c r="C210" s="60">
        <f>IFERROR(__xludf.DUMMYFUNCTION("MAX(QUERY(SORT(GOOGLEFINANCE(A210,""high"",TODAY()-100,TODAY()),1,0),""select Col2 limit 55""))"),778.75)</f>
        <v>778.75</v>
      </c>
      <c r="D210" s="32">
        <f>IFERROR(__xludf.DUMMYFUNCTION("GOOGLEFINANCE(A210,""high52"")"),800.0)</f>
        <v>800</v>
      </c>
      <c r="E210" s="33">
        <f>IFERROR(__xludf.DUMMYFUNCTION("to_date(index(sort(GOOGLEFINANCE(A210, ""high"", today()-52*7, today(), ""DAILY""),2,0),2,1))"),46168.64583333333)</f>
        <v>46168.64583</v>
      </c>
      <c r="F210" s="32">
        <f>IFERROR(__xludf.DUMMYFUNCTION("GOOGLEFINANCE(A210,""low52"")"),432.6)</f>
        <v>432.6</v>
      </c>
      <c r="G210" s="33">
        <f>IFERROR(__xludf.DUMMYFUNCTION("to_date(index(sort(GOOGLEFINANCE(A210, ""low"", today()-52*7, today(), ""DAILY""),2,1),1,1))"),45875.64583333333)</f>
        <v>45875.64583</v>
      </c>
      <c r="H210" s="61">
        <f>IFERROR(__xludf.DUMMYFUNCTION("MIN(QUERY(SORT(GOOGLEFINANCE(A210,""low"",TODAY()-40,TODAY()),1,0),""select Col2 limit 20""))"),690.0)</f>
        <v>690</v>
      </c>
      <c r="I210" s="61">
        <f t="shared" si="1"/>
        <v>-0.6823109297</v>
      </c>
      <c r="J210" s="35" t="str">
        <f t="shared" si="2"/>
        <v>No need to fresh start</v>
      </c>
    </row>
    <row r="211">
      <c r="A211" s="7" t="s">
        <v>450</v>
      </c>
      <c r="B211" s="59">
        <f>IFERROR(__xludf.DUMMYFUNCTION("GOOGLEFINANCE(A211,""price"")"),1355.1)</f>
        <v>1355.1</v>
      </c>
      <c r="C211" s="60">
        <f>IFERROR(__xludf.DUMMYFUNCTION("MAX(QUERY(SORT(GOOGLEFINANCE(A211,""high"",TODAY()-100,TODAY()),1,0),""select Col2 limit 55""))"),1377.4)</f>
        <v>1377.4</v>
      </c>
      <c r="D211" s="32">
        <f>IFERROR(__xludf.DUMMYFUNCTION("GOOGLEFINANCE(A211,""high52"")"),1380.0)</f>
        <v>1380</v>
      </c>
      <c r="E211" s="33">
        <f>IFERROR(__xludf.DUMMYFUNCTION("to_date(index(sort(GOOGLEFINANCE(A211, ""high"", today()-52*7, today(), ""DAILY""),2,0),2,1))"),46157.64583333333)</f>
        <v>46157.64583</v>
      </c>
      <c r="F211" s="32">
        <f>IFERROR(__xludf.DUMMYFUNCTION("GOOGLEFINANCE(A211,""low52"")"),710.0)</f>
        <v>710</v>
      </c>
      <c r="G211" s="33">
        <f>IFERROR(__xludf.DUMMYFUNCTION("to_date(index(sort(GOOGLEFINANCE(A211, ""low"", today()-52*7, today(), ""DAILY""),2,1),1,1))"),46055.64583333333)</f>
        <v>46055.64583</v>
      </c>
      <c r="H211" s="61">
        <f>IFERROR(__xludf.DUMMYFUNCTION("MIN(QUERY(SORT(GOOGLEFINANCE(A211,""low"",TODAY()-40,TODAY()),1,0),""select Col2 limit 20""))"),1204.35)</f>
        <v>1204.35</v>
      </c>
      <c r="I211" s="61">
        <f t="shared" si="1"/>
        <v>1.645635008</v>
      </c>
      <c r="J211" s="35" t="str">
        <f t="shared" si="2"/>
        <v>No need to fresh start</v>
      </c>
    </row>
    <row r="212">
      <c r="A212" s="7" t="s">
        <v>281</v>
      </c>
      <c r="B212" s="59">
        <f>IFERROR(__xludf.DUMMYFUNCTION("GOOGLEFINANCE(A212,""price"")"),1569.2)</f>
        <v>1569.2</v>
      </c>
      <c r="C212" s="60">
        <f>IFERROR(__xludf.DUMMYFUNCTION("MAX(QUERY(SORT(GOOGLEFINANCE(A212,""high"",TODAY()-100,TODAY()),1,0),""select Col2 limit 55""))"),1734.8)</f>
        <v>1734.8</v>
      </c>
      <c r="D212" s="32">
        <f>IFERROR(__xludf.DUMMYFUNCTION("GOOGLEFINANCE(A212,""high52"")"),1831.5)</f>
        <v>1831.5</v>
      </c>
      <c r="E212" s="33">
        <f>IFERROR(__xludf.DUMMYFUNCTION("to_date(index(sort(GOOGLEFINANCE(A212, ""high"", today()-52*7, today(), ""DAILY""),2,0),2,1))"),46028.64583333333)</f>
        <v>46028.64583</v>
      </c>
      <c r="F212" s="32">
        <f>IFERROR(__xludf.DUMMYFUNCTION("GOOGLEFINANCE(A212,""low52"")"),1299.4)</f>
        <v>1299.4</v>
      </c>
      <c r="G212" s="33">
        <f>IFERROR(__xludf.DUMMYFUNCTION("to_date(index(sort(GOOGLEFINANCE(A212, ""low"", today()-52*7, today(), ""DAILY""),2,1),1,1))"),46114.64583333333)</f>
        <v>46114.64583</v>
      </c>
      <c r="H212" s="61">
        <f>IFERROR(__xludf.DUMMYFUNCTION("MIN(QUERY(SORT(GOOGLEFINANCE(A212,""low"",TODAY()-40,TODAY()),1,0),""select Col2 limit 20""))"),1472.3)</f>
        <v>1472.3</v>
      </c>
      <c r="I212" s="61">
        <f t="shared" si="1"/>
        <v>10.5531481</v>
      </c>
      <c r="J212" s="35" t="str">
        <f t="shared" si="2"/>
        <v>Start GTT Order</v>
      </c>
    </row>
    <row r="213">
      <c r="A213" s="7" t="s">
        <v>250</v>
      </c>
      <c r="B213" s="59">
        <f>IFERROR(__xludf.DUMMYFUNCTION("GOOGLEFINANCE(A213,""price"")"),1458.4)</f>
        <v>1458.4</v>
      </c>
      <c r="C213" s="60">
        <f>IFERROR(__xludf.DUMMYFUNCTION("MAX(QUERY(SORT(GOOGLEFINANCE(A213,""high"",TODAY()-100,TODAY()),1,0),""select Col2 limit 55""))"),1824.1)</f>
        <v>1824.1</v>
      </c>
      <c r="D213" s="32">
        <f>IFERROR(__xludf.DUMMYFUNCTION("GOOGLEFINANCE(A213,""high52"")"),1824.1)</f>
        <v>1824.1</v>
      </c>
      <c r="E213" s="33">
        <f>IFERROR(__xludf.DUMMYFUNCTION("to_date(index(sort(GOOGLEFINANCE(A213, ""high"", today()-52*7, today(), ""DAILY""),2,0),2,1))"),46139.64583333333)</f>
        <v>46139.64583</v>
      </c>
      <c r="F213" s="32">
        <f>IFERROR(__xludf.DUMMYFUNCTION("GOOGLEFINANCE(A213,""low52"")"),1188.0)</f>
        <v>1188</v>
      </c>
      <c r="G213" s="33">
        <f>IFERROR(__xludf.DUMMYFUNCTION("to_date(index(sort(GOOGLEFINANCE(A213, ""low"", today()-52*7, today(), ""DAILY""),2,1),1,1))"),45936.64583333333)</f>
        <v>45936.64583</v>
      </c>
      <c r="H213" s="61">
        <f>IFERROR(__xludf.DUMMYFUNCTION("MIN(QUERY(SORT(GOOGLEFINANCE(A213,""low"",TODAY()-40,TODAY()),1,0),""select Col2 limit 20""))"),1434.1)</f>
        <v>1434.1</v>
      </c>
      <c r="I213" s="61">
        <f t="shared" si="1"/>
        <v>25.07542512</v>
      </c>
      <c r="J213" s="35" t="str">
        <f t="shared" si="2"/>
        <v>No need to fresh start</v>
      </c>
    </row>
    <row r="214">
      <c r="A214" s="7" t="s">
        <v>451</v>
      </c>
      <c r="B214" s="59">
        <f>IFERROR(__xludf.DUMMYFUNCTION("GOOGLEFINANCE(A214,""price"")"),4005.0)</f>
        <v>4005</v>
      </c>
      <c r="C214" s="60">
        <f>IFERROR(__xludf.DUMMYFUNCTION("MAX(QUERY(SORT(GOOGLEFINANCE(A214,""high"",TODAY()-100,TODAY()),1,0),""select Col2 limit 55""))"),4463.9)</f>
        <v>4463.9</v>
      </c>
      <c r="D214" s="32">
        <f>IFERROR(__xludf.DUMMYFUNCTION("GOOGLEFINANCE(A214,""high52"")"),6139.0)</f>
        <v>6139</v>
      </c>
      <c r="E214" s="33">
        <f>IFERROR(__xludf.DUMMYFUNCTION("to_date(index(sort(GOOGLEFINANCE(A214, ""high"", today()-52*7, today(), ""DAILY""),2,0),2,1))"),45835.64583333333)</f>
        <v>45835.64583</v>
      </c>
      <c r="F214" s="32">
        <f>IFERROR(__xludf.DUMMYFUNCTION("GOOGLEFINANCE(A214,""low52"")"),3686.0)</f>
        <v>3686</v>
      </c>
      <c r="G214" s="33">
        <f>IFERROR(__xludf.DUMMYFUNCTION("to_date(index(sort(GOOGLEFINANCE(A214, ""low"", today()-52*7, today(), ""DAILY""),2,1),1,1))"),46114.64583333333)</f>
        <v>46114.64583</v>
      </c>
      <c r="H214" s="61">
        <f>IFERROR(__xludf.DUMMYFUNCTION("MIN(QUERY(SORT(GOOGLEFINANCE(A214,""low"",TODAY()-40,TODAY()),1,0),""select Col2 limit 20""))"),3990.2)</f>
        <v>3990.2</v>
      </c>
      <c r="I214" s="61">
        <f t="shared" si="1"/>
        <v>11.45817728</v>
      </c>
      <c r="J214" s="35" t="str">
        <f t="shared" si="2"/>
        <v>Start GTT Order</v>
      </c>
    </row>
    <row r="215">
      <c r="A215" s="7" t="s">
        <v>452</v>
      </c>
      <c r="B215" s="59">
        <f>IFERROR(__xludf.DUMMYFUNCTION("GOOGLEFINANCE(A215,""price"")"),554.1)</f>
        <v>554.1</v>
      </c>
      <c r="C215" s="60">
        <f>IFERROR(__xludf.DUMMYFUNCTION("MAX(QUERY(SORT(GOOGLEFINANCE(A215,""high"",TODAY()-100,TODAY()),1,0),""select Col2 limit 55""))"),606.4)</f>
        <v>606.4</v>
      </c>
      <c r="D215" s="32">
        <f>IFERROR(__xludf.DUMMYFUNCTION("GOOGLEFINANCE(A215,""high52"")"),734.4)</f>
        <v>734.4</v>
      </c>
      <c r="E215" s="33">
        <f>IFERROR(__xludf.DUMMYFUNCTION("to_date(index(sort(GOOGLEFINANCE(A215, ""high"", today()-52*7, today(), ""DAILY""),2,0),2,1))"),45863.64583333333)</f>
        <v>45863.64583</v>
      </c>
      <c r="F215" s="32">
        <f>IFERROR(__xludf.DUMMYFUNCTION("GOOGLEFINANCE(A215,""low52"")"),422.0)</f>
        <v>422</v>
      </c>
      <c r="G215" s="33">
        <f>IFERROR(__xludf.DUMMYFUNCTION("to_date(index(sort(GOOGLEFINANCE(A215, ""low"", today()-52*7, today(), ""DAILY""),2,1),1,1))"),46111.64583333333)</f>
        <v>46111.64583</v>
      </c>
      <c r="H215" s="61">
        <f>IFERROR(__xludf.DUMMYFUNCTION("MIN(QUERY(SORT(GOOGLEFINANCE(A215,""low"",TODAY()-40,TODAY()),1,0),""select Col2 limit 20""))"),475.35)</f>
        <v>475.35</v>
      </c>
      <c r="I215" s="61">
        <f t="shared" si="1"/>
        <v>9.438729471</v>
      </c>
      <c r="J215" s="35" t="str">
        <f t="shared" si="2"/>
        <v>No need to fresh start</v>
      </c>
    </row>
    <row r="216">
      <c r="A216" s="7" t="s">
        <v>453</v>
      </c>
      <c r="B216" s="59">
        <f>IFERROR(__xludf.DUMMYFUNCTION("GOOGLEFINANCE(A216,""price"")"),233.6)</f>
        <v>233.6</v>
      </c>
      <c r="C216" s="60">
        <f>IFERROR(__xludf.DUMMYFUNCTION("MAX(QUERY(SORT(GOOGLEFINANCE(A216,""high"",TODAY()-100,TODAY()),1,0),""select Col2 limit 55""))"),249.79)</f>
        <v>249.79</v>
      </c>
      <c r="D216" s="32">
        <f>IFERROR(__xludf.DUMMYFUNCTION("GOOGLEFINANCE(A216,""high52"")"),260.4)</f>
        <v>260.4</v>
      </c>
      <c r="E216" s="33">
        <f>IFERROR(__xludf.DUMMYFUNCTION("to_date(index(sort(GOOGLEFINANCE(A216, ""high"", today()-52*7, today(), ""DAILY""),2,0),2,1))"),45820.64583333333)</f>
        <v>45820.64583</v>
      </c>
      <c r="F216" s="32">
        <f>IFERROR(__xludf.DUMMYFUNCTION("GOOGLEFINANCE(A216,""low52"")"),153.0)</f>
        <v>153</v>
      </c>
      <c r="G216" s="33">
        <f>IFERROR(__xludf.DUMMYFUNCTION("to_date(index(sort(GOOGLEFINANCE(A216, ""low"", today()-52*7, today(), ""DAILY""),2,1),1,1))"),46000.64583333333)</f>
        <v>46000.64583</v>
      </c>
      <c r="H216" s="61">
        <f>IFERROR(__xludf.DUMMYFUNCTION("MIN(QUERY(SORT(GOOGLEFINANCE(A216,""low"",TODAY()-40,TODAY()),1,0),""select Col2 limit 20""))"),214.01)</f>
        <v>214.01</v>
      </c>
      <c r="I216" s="61">
        <f t="shared" si="1"/>
        <v>6.930650685</v>
      </c>
      <c r="J216" s="35" t="str">
        <f t="shared" si="2"/>
        <v>No need to fresh start</v>
      </c>
    </row>
    <row r="217">
      <c r="A217" s="7" t="s">
        <v>454</v>
      </c>
      <c r="B217" s="59">
        <f>IFERROR(__xludf.DUMMYFUNCTION("GOOGLEFINANCE(A217,""price"")"),504.85)</f>
        <v>504.85</v>
      </c>
      <c r="C217" s="60">
        <f>IFERROR(__xludf.DUMMYFUNCTION("MAX(QUERY(SORT(GOOGLEFINANCE(A217,""high"",TODAY()-100,TODAY()),1,0),""select Col2 limit 55""))"),617.0)</f>
        <v>617</v>
      </c>
      <c r="D217" s="32">
        <f>IFERROR(__xludf.DUMMYFUNCTION("GOOGLEFINANCE(A217,""high52"")"),947.0)</f>
        <v>947</v>
      </c>
      <c r="E217" s="33">
        <f>IFERROR(__xludf.DUMMYFUNCTION("to_date(index(sort(GOOGLEFINANCE(A217, ""high"", today()-52*7, today(), ""DAILY""),2,0),2,1))"),45834.64583333333)</f>
        <v>45834.64583</v>
      </c>
      <c r="F217" s="32">
        <f>IFERROR(__xludf.DUMMYFUNCTION("GOOGLEFINANCE(A217,""low52"")"),466.0)</f>
        <v>466</v>
      </c>
      <c r="G217" s="33">
        <f>IFERROR(__xludf.DUMMYFUNCTION("to_date(index(sort(GOOGLEFINANCE(A217, ""low"", today()-52*7, today(), ""DAILY""),2,1),1,1))"),46161.64583333333)</f>
        <v>46161.64583</v>
      </c>
      <c r="H217" s="61">
        <f>IFERROR(__xludf.DUMMYFUNCTION("MIN(QUERY(SORT(GOOGLEFINANCE(A217,""low"",TODAY()-40,TODAY()),1,0),""select Col2 limit 20""))"),466.0)</f>
        <v>466</v>
      </c>
      <c r="I217" s="61">
        <f t="shared" si="1"/>
        <v>22.21451916</v>
      </c>
      <c r="J217" s="35" t="str">
        <f t="shared" si="2"/>
        <v>No need to fresh start</v>
      </c>
    </row>
    <row r="218">
      <c r="A218" s="7" t="s">
        <v>42</v>
      </c>
      <c r="B218" s="59">
        <f>IFERROR(__xludf.DUMMYFUNCTION("GOOGLEFINANCE(A218,""price"")"),525.9)</f>
        <v>525.9</v>
      </c>
      <c r="C218" s="60">
        <f>IFERROR(__xludf.DUMMYFUNCTION("MAX(QUERY(SORT(GOOGLEFINANCE(A218,""high"",TODAY()-100,TODAY()),1,0),""select Col2 limit 55""))"),581.3)</f>
        <v>581.3</v>
      </c>
      <c r="D218" s="32">
        <f>IFERROR(__xludf.DUMMYFUNCTION("GOOGLEFINANCE(A218,""high52"")"),800.0)</f>
        <v>800</v>
      </c>
      <c r="E218" s="33">
        <f>IFERROR(__xludf.DUMMYFUNCTION("to_date(index(sort(GOOGLEFINANCE(A218, ""high"", today()-52*7, today(), ""DAILY""),2,0),2,1))"),45806.64583333333)</f>
        <v>45806.64583</v>
      </c>
      <c r="F218" s="32">
        <f>IFERROR(__xludf.DUMMYFUNCTION("GOOGLEFINANCE(A218,""low52"")"),492.65)</f>
        <v>492.65</v>
      </c>
      <c r="G218" s="33">
        <f>IFERROR(__xludf.DUMMYFUNCTION("to_date(index(sort(GOOGLEFINANCE(A218, ""low"", today()-52*7, today(), ""DAILY""),2,1),1,1))"),46111.64583333333)</f>
        <v>46111.64583</v>
      </c>
      <c r="H218" s="61">
        <f>IFERROR(__xludf.DUMMYFUNCTION("MIN(QUERY(SORT(GOOGLEFINANCE(A218,""low"",TODAY()-40,TODAY()),1,0),""select Col2 limit 20""))"),523.0)</f>
        <v>523</v>
      </c>
      <c r="I218" s="61">
        <f t="shared" si="1"/>
        <v>10.53432211</v>
      </c>
      <c r="J218" s="35" t="str">
        <f t="shared" si="2"/>
        <v>Start GTT Order</v>
      </c>
    </row>
    <row r="219">
      <c r="A219" s="7" t="s">
        <v>455</v>
      </c>
      <c r="B219" s="59" t="str">
        <f>IFERROR(__xludf.DUMMYFUNCTION("GOOGLEFINANCE(A219,""price"")"),"#N/A")</f>
        <v>#N/A</v>
      </c>
      <c r="C219" s="60" t="str">
        <f>IFERROR(__xludf.DUMMYFUNCTION("MAX(QUERY(SORT(GOOGLEFINANCE(A219,""high"",TODAY()-100,TODAY()),1,0),""select Col2 limit 55""))"),"#N/A")</f>
        <v>#N/A</v>
      </c>
      <c r="D219" s="32" t="str">
        <f>IFERROR(__xludf.DUMMYFUNCTION("GOOGLEFINANCE(A219,""high52"")"),"#N/A")</f>
        <v>#N/A</v>
      </c>
      <c r="E219" s="33" t="str">
        <f>IFERROR(__xludf.DUMMYFUNCTION("to_date(index(sort(GOOGLEFINANCE(A219, ""high"", today()-52*7, today(), ""DAILY""),2,0),2,1))"),"#N/A")</f>
        <v>#N/A</v>
      </c>
      <c r="F219" s="32" t="str">
        <f>IFERROR(__xludf.DUMMYFUNCTION("GOOGLEFINANCE(A219,""low52"")"),"#N/A")</f>
        <v>#N/A</v>
      </c>
      <c r="G219" s="33" t="str">
        <f>IFERROR(__xludf.DUMMYFUNCTION("to_date(index(sort(GOOGLEFINANCE(A219, ""low"", today()-52*7, today(), ""DAILY""),2,1),1,1))"),"#N/A")</f>
        <v>#N/A</v>
      </c>
      <c r="H219" s="61" t="str">
        <f>IFERROR(__xludf.DUMMYFUNCTION("MIN(QUERY(SORT(GOOGLEFINANCE(A219,""low"",TODAY()-40,TODAY()),1,0),""select Col2 limit 20""))"),"#N/A")</f>
        <v>#N/A</v>
      </c>
      <c r="I219" s="61" t="str">
        <f t="shared" si="1"/>
        <v>#N/A</v>
      </c>
      <c r="J219" s="35" t="str">
        <f t="shared" si="2"/>
        <v>#N/A</v>
      </c>
    </row>
    <row r="220">
      <c r="A220" s="7" t="s">
        <v>260</v>
      </c>
      <c r="B220" s="59">
        <f>IFERROR(__xludf.DUMMYFUNCTION("GOOGLEFINANCE(A220,""price"")"),2254.0)</f>
        <v>2254</v>
      </c>
      <c r="C220" s="60">
        <f>IFERROR(__xludf.DUMMYFUNCTION("MAX(QUERY(SORT(GOOGLEFINANCE(A220,""high"",TODAY()-100,TODAY()),1,0),""select Col2 limit 55""))"),2479.0)</f>
        <v>2479</v>
      </c>
      <c r="D220" s="32">
        <f>IFERROR(__xludf.DUMMYFUNCTION("GOOGLEFINANCE(A220,""high52"")"),3037.2)</f>
        <v>3037.2</v>
      </c>
      <c r="E220" s="33">
        <f>IFERROR(__xludf.DUMMYFUNCTION("to_date(index(sort(GOOGLEFINANCE(A220, ""high"", today()-52*7, today(), ""DAILY""),2,0),2,1))"),45918.64583333333)</f>
        <v>45918.64583</v>
      </c>
      <c r="F220" s="32">
        <f>IFERROR(__xludf.DUMMYFUNCTION("GOOGLEFINANCE(A220,""low52"")"),2013.0)</f>
        <v>2013</v>
      </c>
      <c r="G220" s="33">
        <f>IFERROR(__xludf.DUMMYFUNCTION("to_date(index(sort(GOOGLEFINANCE(A220, ""low"", today()-52*7, today(), ""DAILY""),2,1),1,1))"),46111.64583333333)</f>
        <v>46111.64583</v>
      </c>
      <c r="H220" s="61">
        <f>IFERROR(__xludf.DUMMYFUNCTION("MIN(QUERY(SORT(GOOGLEFINANCE(A220,""low"",TODAY()-40,TODAY()),1,0),""select Col2 limit 20""))"),2063.6)</f>
        <v>2063.6</v>
      </c>
      <c r="I220" s="61">
        <f t="shared" si="1"/>
        <v>9.982253771</v>
      </c>
      <c r="J220" s="35" t="str">
        <f t="shared" si="2"/>
        <v>No need to fresh start</v>
      </c>
    </row>
    <row r="221">
      <c r="A221" s="7" t="s">
        <v>456</v>
      </c>
      <c r="B221" s="59">
        <f>IFERROR(__xludf.DUMMYFUNCTION("GOOGLEFINANCE(A221,""price"")"),1592.5)</f>
        <v>1592.5</v>
      </c>
      <c r="C221" s="60">
        <f>IFERROR(__xludf.DUMMYFUNCTION("MAX(QUERY(SORT(GOOGLEFINANCE(A221,""high"",TODAY()-100,TODAY()),1,0),""select Col2 limit 55""))"),1768.7)</f>
        <v>1768.7</v>
      </c>
      <c r="D221" s="32">
        <f>IFERROR(__xludf.DUMMYFUNCTION("GOOGLEFINANCE(A221,""high52"")"),1768.7)</f>
        <v>1768.7</v>
      </c>
      <c r="E221" s="33">
        <f>IFERROR(__xludf.DUMMYFUNCTION("to_date(index(sort(GOOGLEFINANCE(A221, ""high"", today()-52*7, today(), ""DAILY""),2,0),2,1))"),46092.64583333333)</f>
        <v>46092.64583</v>
      </c>
      <c r="F221" s="32">
        <f>IFERROR(__xludf.DUMMYFUNCTION("GOOGLEFINANCE(A221,""low52"")"),1263.7)</f>
        <v>1263.7</v>
      </c>
      <c r="G221" s="33">
        <f>IFERROR(__xludf.DUMMYFUNCTION("to_date(index(sort(GOOGLEFINANCE(A221, ""low"", today()-52*7, today(), ""DAILY""),2,1),1,1))"),45881.64583333333)</f>
        <v>45881.64583</v>
      </c>
      <c r="H221" s="61">
        <f>IFERROR(__xludf.DUMMYFUNCTION("MIN(QUERY(SORT(GOOGLEFINANCE(A221,""low"",TODAY()-40,TODAY()),1,0),""select Col2 limit 20""))"),1431.6)</f>
        <v>1431.6</v>
      </c>
      <c r="I221" s="61">
        <f t="shared" si="1"/>
        <v>11.06436421</v>
      </c>
      <c r="J221" s="35" t="str">
        <f t="shared" si="2"/>
        <v>No need to fresh start</v>
      </c>
    </row>
    <row r="222">
      <c r="A222" s="7" t="s">
        <v>259</v>
      </c>
      <c r="B222" s="59">
        <f>IFERROR(__xludf.DUMMYFUNCTION("GOOGLEFINANCE(A222,""price"")"),289.9)</f>
        <v>289.9</v>
      </c>
      <c r="C222" s="60">
        <f>IFERROR(__xludf.DUMMYFUNCTION("MAX(QUERY(SORT(GOOGLEFINANCE(A222,""high"",TODAY()-100,TODAY()),1,0),""select Col2 limit 55""))"),310.5)</f>
        <v>310.5</v>
      </c>
      <c r="D222" s="32">
        <f>IFERROR(__xludf.DUMMYFUNCTION("GOOGLEFINANCE(A222,""high52"")"),362.0)</f>
        <v>362</v>
      </c>
      <c r="E222" s="33">
        <f>IFERROR(__xludf.DUMMYFUNCTION("to_date(index(sort(GOOGLEFINANCE(A222, ""high"", today()-52*7, today(), ""DAILY""),2,0),2,1))"),45835.64583333333)</f>
        <v>45835.64583</v>
      </c>
      <c r="F222" s="32">
        <f>IFERROR(__xludf.DUMMYFUNCTION("GOOGLEFINANCE(A222,""low52"")"),217.4)</f>
        <v>217.4</v>
      </c>
      <c r="G222" s="33">
        <f>IFERROR(__xludf.DUMMYFUNCTION("to_date(index(sort(GOOGLEFINANCE(A222, ""low"", today()-52*7, today(), ""DAILY""),2,1),1,1))"),46052.64583333333)</f>
        <v>46052.64583</v>
      </c>
      <c r="H222" s="61">
        <f>IFERROR(__xludf.DUMMYFUNCTION("MIN(QUERY(SORT(GOOGLEFINANCE(A222,""low"",TODAY()-40,TODAY()),1,0),""select Col2 limit 20""))"),256.5)</f>
        <v>256.5</v>
      </c>
      <c r="I222" s="61">
        <f t="shared" si="1"/>
        <v>7.105898586</v>
      </c>
      <c r="J222" s="35" t="str">
        <f t="shared" si="2"/>
        <v>No need to fresh start</v>
      </c>
    </row>
    <row r="223">
      <c r="A223" s="7" t="s">
        <v>457</v>
      </c>
      <c r="B223" s="59">
        <f>IFERROR(__xludf.DUMMYFUNCTION("GOOGLEFINANCE(A223,""price"")"),24.76)</f>
        <v>24.76</v>
      </c>
      <c r="C223" s="60">
        <f>IFERROR(__xludf.DUMMYFUNCTION("MAX(QUERY(SORT(GOOGLEFINANCE(A223,""high"",TODAY()-100,TODAY()),1,0),""select Col2 limit 55""))"),27.19)</f>
        <v>27.19</v>
      </c>
      <c r="D223" s="32">
        <f>IFERROR(__xludf.DUMMYFUNCTION("GOOGLEFINANCE(A223,""high52"")"),33.66)</f>
        <v>33.66</v>
      </c>
      <c r="E223" s="33">
        <f>IFERROR(__xludf.DUMMYFUNCTION("to_date(index(sort(GOOGLEFINANCE(A223, ""high"", today()-52*7, today(), ""DAILY""),2,0),2,1))"),45863.64583333333)</f>
        <v>45863.64583</v>
      </c>
      <c r="F223" s="32">
        <f>IFERROR(__xludf.DUMMYFUNCTION("GOOGLEFINANCE(A223,""low52"")"),21.98)</f>
        <v>21.98</v>
      </c>
      <c r="G223" s="33">
        <f>IFERROR(__xludf.DUMMYFUNCTION("to_date(index(sort(GOOGLEFINANCE(A223, ""low"", today()-52*7, today(), ""DAILY""),2,1),1,1))"),46098.64583333333)</f>
        <v>46098.64583</v>
      </c>
      <c r="H223" s="61">
        <f>IFERROR(__xludf.DUMMYFUNCTION("MIN(QUERY(SORT(GOOGLEFINANCE(A223,""low"",TODAY()-40,TODAY()),1,0),""select Col2 limit 20""))"),23.75)</f>
        <v>23.75</v>
      </c>
      <c r="I223" s="61">
        <f t="shared" si="1"/>
        <v>9.814216478</v>
      </c>
      <c r="J223" s="35" t="str">
        <f t="shared" si="2"/>
        <v>No need to fresh start</v>
      </c>
    </row>
    <row r="224">
      <c r="A224" s="7" t="s">
        <v>277</v>
      </c>
      <c r="B224" s="59">
        <f>IFERROR(__xludf.DUMMYFUNCTION("GOOGLEFINANCE(A224,""price"")"),253.0)</f>
        <v>253</v>
      </c>
      <c r="C224" s="60">
        <f>IFERROR(__xludf.DUMMYFUNCTION("MAX(QUERY(SORT(GOOGLEFINANCE(A224,""high"",TODAY()-100,TODAY()),1,0),""select Col2 limit 55""))"),293.51)</f>
        <v>293.51</v>
      </c>
      <c r="D224" s="32">
        <f>IFERROR(__xludf.DUMMYFUNCTION("GOOGLEFINANCE(A224,""high52"")"),324.1)</f>
        <v>324.1</v>
      </c>
      <c r="E224" s="33">
        <f>IFERROR(__xludf.DUMMYFUNCTION("to_date(index(sort(GOOGLEFINANCE(A224, ""high"", today()-52*7, today(), ""DAILY""),2,0),2,1))"),46056.64583333333)</f>
        <v>46056.64583</v>
      </c>
      <c r="F224" s="32">
        <f>IFERROR(__xludf.DUMMYFUNCTION("GOOGLEFINANCE(A224,""low52"")"),187.05)</f>
        <v>187.05</v>
      </c>
      <c r="G224" s="33">
        <f>IFERROR(__xludf.DUMMYFUNCTION("to_date(index(sort(GOOGLEFINANCE(A224, ""low"", today()-52*7, today(), ""DAILY""),2,1),1,1))"),45831.64583333333)</f>
        <v>45831.64583</v>
      </c>
      <c r="H224" s="61">
        <f>IFERROR(__xludf.DUMMYFUNCTION("MIN(QUERY(SORT(GOOGLEFINANCE(A224,""low"",TODAY()-40,TODAY()),1,0),""select Col2 limit 20""))"),242.35)</f>
        <v>242.35</v>
      </c>
      <c r="I224" s="61">
        <f t="shared" si="1"/>
        <v>16.01185771</v>
      </c>
      <c r="J224" s="35" t="str">
        <f t="shared" si="2"/>
        <v>No need to fresh start</v>
      </c>
    </row>
    <row r="225">
      <c r="A225" s="7" t="s">
        <v>458</v>
      </c>
      <c r="B225" s="59">
        <f>IFERROR(__xludf.DUMMYFUNCTION("GOOGLEFINANCE(A225,""price"")"),1611.2)</f>
        <v>1611.2</v>
      </c>
      <c r="C225" s="60">
        <f>IFERROR(__xludf.DUMMYFUNCTION("MAX(QUERY(SORT(GOOGLEFINANCE(A225,""high"",TODAY()-100,TODAY()),1,0),""select Col2 limit 55""))"),1809.9)</f>
        <v>1809.9</v>
      </c>
      <c r="D225" s="32">
        <f>IFERROR(__xludf.DUMMYFUNCTION("GOOGLEFINANCE(A225,""high52"")"),2231.6)</f>
        <v>2231.6</v>
      </c>
      <c r="E225" s="33">
        <f>IFERROR(__xludf.DUMMYFUNCTION("to_date(index(sort(GOOGLEFINANCE(A225, ""high"", today()-52*7, today(), ""DAILY""),2,0),2,1))"),45840.64583333333)</f>
        <v>45840.64583</v>
      </c>
      <c r="F225" s="32">
        <f>IFERROR(__xludf.DUMMYFUNCTION("GOOGLEFINANCE(A225,""low52"")"),1305.0)</f>
        <v>1305</v>
      </c>
      <c r="G225" s="33">
        <f>IFERROR(__xludf.DUMMYFUNCTION("to_date(index(sort(GOOGLEFINANCE(A225, ""low"", today()-52*7, today(), ""DAILY""),2,1),1,1))"),46104.64583333333)</f>
        <v>46104.64583</v>
      </c>
      <c r="H225" s="61">
        <f>IFERROR(__xludf.DUMMYFUNCTION("MIN(QUERY(SORT(GOOGLEFINANCE(A225,""low"",TODAY()-40,TODAY()),1,0),""select Col2 limit 20""))"),1519.9)</f>
        <v>1519.9</v>
      </c>
      <c r="I225" s="61">
        <f t="shared" si="1"/>
        <v>12.33242304</v>
      </c>
      <c r="J225" s="35" t="str">
        <f t="shared" si="2"/>
        <v>Start GTT Order</v>
      </c>
    </row>
    <row r="226">
      <c r="A226" s="7" t="s">
        <v>459</v>
      </c>
      <c r="B226" s="59">
        <f>IFERROR(__xludf.DUMMYFUNCTION("GOOGLEFINANCE(A226,""price"")"),1400.0)</f>
        <v>1400</v>
      </c>
      <c r="C226" s="60">
        <f>IFERROR(__xludf.DUMMYFUNCTION("MAX(QUERY(SORT(GOOGLEFINANCE(A226,""high"",TODAY()-100,TODAY()),1,0),""select Col2 limit 55""))"),1412.0)</f>
        <v>1412</v>
      </c>
      <c r="D226" s="32">
        <f>IFERROR(__xludf.DUMMYFUNCTION("GOOGLEFINANCE(A226,""high52"")"),1417.8)</f>
        <v>1417.8</v>
      </c>
      <c r="E226" s="33">
        <f>IFERROR(__xludf.DUMMYFUNCTION("to_date(index(sort(GOOGLEFINANCE(A226, ""high"", today()-52*7, today(), ""DAILY""),2,0),2,1))"),46168.64583333333)</f>
        <v>46168.64583</v>
      </c>
      <c r="F226" s="32">
        <f>IFERROR(__xludf.DUMMYFUNCTION("GOOGLEFINANCE(A226,""low52"")"),571.85)</f>
        <v>571.85</v>
      </c>
      <c r="G226" s="33">
        <f>IFERROR(__xludf.DUMMYFUNCTION("to_date(index(sort(GOOGLEFINANCE(A226, ""low"", today()-52*7, today(), ""DAILY""),2,1),1,1))"),46129.64583333333)</f>
        <v>46129.64583</v>
      </c>
      <c r="H226" s="61">
        <f>IFERROR(__xludf.DUMMYFUNCTION("MIN(QUERY(SORT(GOOGLEFINANCE(A226,""low"",TODAY()-40,TODAY()),1,0),""select Col2 limit 20""))"),1130.0)</f>
        <v>1130</v>
      </c>
      <c r="I226" s="61">
        <f t="shared" si="1"/>
        <v>0.8571428571</v>
      </c>
      <c r="J226" s="35" t="str">
        <f t="shared" si="2"/>
        <v>No need to fresh start</v>
      </c>
    </row>
    <row r="227">
      <c r="A227" s="7" t="s">
        <v>460</v>
      </c>
      <c r="B227" s="59">
        <f>IFERROR(__xludf.DUMMYFUNCTION("GOOGLEFINANCE(A227,""price"")"),628.15)</f>
        <v>628.15</v>
      </c>
      <c r="C227" s="60">
        <f>IFERROR(__xludf.DUMMYFUNCTION("MAX(QUERY(SORT(GOOGLEFINANCE(A227,""high"",TODAY()-100,TODAY()),1,0),""select Col2 limit 55""))"),659.0)</f>
        <v>659</v>
      </c>
      <c r="D227" s="32">
        <f>IFERROR(__xludf.DUMMYFUNCTION("GOOGLEFINANCE(A227,""high52"")"),769.9)</f>
        <v>769.9</v>
      </c>
      <c r="E227" s="33">
        <f>IFERROR(__xludf.DUMMYFUNCTION("to_date(index(sort(GOOGLEFINANCE(A227, ""high"", today()-52*7, today(), ""DAILY""),2,0),2,1))"),45833.64583333333)</f>
        <v>45833.64583</v>
      </c>
      <c r="F227" s="32">
        <f>IFERROR(__xludf.DUMMYFUNCTION("GOOGLEFINANCE(A227,""low52"")"),456.8)</f>
        <v>456.8</v>
      </c>
      <c r="G227" s="33">
        <f>IFERROR(__xludf.DUMMYFUNCTION("to_date(index(sort(GOOGLEFINANCE(A227, ""low"", today()-52*7, today(), ""DAILY""),2,1),1,1))"),46111.64583333333)</f>
        <v>46111.64583</v>
      </c>
      <c r="H227" s="61">
        <f>IFERROR(__xludf.DUMMYFUNCTION("MIN(QUERY(SORT(GOOGLEFINANCE(A227,""low"",TODAY()-40,TODAY()),1,0),""select Col2 limit 20""))"),505.2)</f>
        <v>505.2</v>
      </c>
      <c r="I227" s="61">
        <f t="shared" si="1"/>
        <v>4.911247314</v>
      </c>
      <c r="J227" s="35" t="str">
        <f t="shared" si="2"/>
        <v>No need to fresh start</v>
      </c>
    </row>
    <row r="228">
      <c r="A228" s="7" t="s">
        <v>214</v>
      </c>
      <c r="B228" s="59">
        <f>IFERROR(__xludf.DUMMYFUNCTION("GOOGLEFINANCE(A228,""price"")"),3518.1)</f>
        <v>3518.1</v>
      </c>
      <c r="C228" s="60">
        <f>IFERROR(__xludf.DUMMYFUNCTION("MAX(QUERY(SORT(GOOGLEFINANCE(A228,""high"",TODAY()-100,TODAY()),1,0),""select Col2 limit 55""))"),3847.9)</f>
        <v>3847.9</v>
      </c>
      <c r="D228" s="32">
        <f>IFERROR(__xludf.DUMMYFUNCTION("GOOGLEFINANCE(A228,""high52"")"),4726.0)</f>
        <v>4726</v>
      </c>
      <c r="E228" s="33">
        <f>IFERROR(__xludf.DUMMYFUNCTION("to_date(index(sort(GOOGLEFINANCE(A228, ""high"", today()-52*7, today(), ""DAILY""),2,0),2,1))"),45995.64583333333)</f>
        <v>45995.64583</v>
      </c>
      <c r="F228" s="32">
        <f>IFERROR(__xludf.DUMMYFUNCTION("GOOGLEFINANCE(A228,""low52"")"),3010.0)</f>
        <v>3010</v>
      </c>
      <c r="G228" s="33">
        <f>IFERROR(__xludf.DUMMYFUNCTION("to_date(index(sort(GOOGLEFINANCE(A228, ""low"", today()-52*7, today(), ""DAILY""),2,1),1,1))"),46094.64583333333)</f>
        <v>46094.64583</v>
      </c>
      <c r="H228" s="61">
        <f>IFERROR(__xludf.DUMMYFUNCTION("MIN(QUERY(SORT(GOOGLEFINANCE(A228,""low"",TODAY()-40,TODAY()),1,0),""select Col2 limit 20""))"),3407.0)</f>
        <v>3407</v>
      </c>
      <c r="I228" s="61">
        <f t="shared" si="1"/>
        <v>9.374378216</v>
      </c>
      <c r="J228" s="35" t="str">
        <f t="shared" si="2"/>
        <v>No need to fresh start</v>
      </c>
    </row>
    <row r="229">
      <c r="A229" s="7" t="s">
        <v>461</v>
      </c>
      <c r="B229" s="59">
        <f>IFERROR(__xludf.DUMMYFUNCTION("GOOGLEFINANCE(A229,""price"")"),192.1)</f>
        <v>192.1</v>
      </c>
      <c r="C229" s="60">
        <f>IFERROR(__xludf.DUMMYFUNCTION("MAX(QUERY(SORT(GOOGLEFINANCE(A229,""high"",TODAY()-100,TODAY()),1,0),""select Col2 limit 55""))"),270.0)</f>
        <v>270</v>
      </c>
      <c r="D229" s="32">
        <f>IFERROR(__xludf.DUMMYFUNCTION("GOOGLEFINANCE(A229,""high52"")"),349.8)</f>
        <v>349.8</v>
      </c>
      <c r="E229" s="33">
        <f>IFERROR(__xludf.DUMMYFUNCTION("to_date(index(sort(GOOGLEFINANCE(A229, ""high"", today()-52*7, today(), ""DAILY""),2,0),2,1))"),45854.64583333333)</f>
        <v>45854.64583</v>
      </c>
      <c r="F229" s="32">
        <f>IFERROR(__xludf.DUMMYFUNCTION("GOOGLEFINANCE(A229,""low52"")"),162.19)</f>
        <v>162.19</v>
      </c>
      <c r="G229" s="33">
        <f>IFERROR(__xludf.DUMMYFUNCTION("to_date(index(sort(GOOGLEFINANCE(A229, ""low"", today()-52*7, today(), ""DAILY""),2,1),1,1))"),46111.64583333333)</f>
        <v>46111.64583</v>
      </c>
      <c r="H229" s="61">
        <f>IFERROR(__xludf.DUMMYFUNCTION("MIN(QUERY(SORT(GOOGLEFINANCE(A229,""low"",TODAY()-40,TODAY()),1,0),""select Col2 limit 20""))"),191.6)</f>
        <v>191.6</v>
      </c>
      <c r="I229" s="61">
        <f t="shared" si="1"/>
        <v>40.55179594</v>
      </c>
      <c r="J229" s="35" t="str">
        <f t="shared" si="2"/>
        <v>No need to fresh start</v>
      </c>
    </row>
    <row r="230">
      <c r="A230" s="7" t="s">
        <v>462</v>
      </c>
      <c r="B230" s="59">
        <f>IFERROR(__xludf.DUMMYFUNCTION("GOOGLEFINANCE(A230,""price"")"),1319.6)</f>
        <v>1319.6</v>
      </c>
      <c r="C230" s="60">
        <f>IFERROR(__xludf.DUMMYFUNCTION("MAX(QUERY(SORT(GOOGLEFINANCE(A230,""high"",TODAY()-100,TODAY()),1,0),""select Col2 limit 55""))"),1593.8)</f>
        <v>1593.8</v>
      </c>
      <c r="D230" s="32">
        <f>IFERROR(__xludf.DUMMYFUNCTION("GOOGLEFINANCE(A230,""high52"")"),1593.8)</f>
        <v>1593.8</v>
      </c>
      <c r="E230" s="33">
        <f>IFERROR(__xludf.DUMMYFUNCTION("to_date(index(sort(GOOGLEFINANCE(A230, ""high"", today()-52*7, today(), ""DAILY""),2,0),2,1))"),46133.64583333333)</f>
        <v>46133.64583</v>
      </c>
      <c r="F230" s="32">
        <f>IFERROR(__xludf.DUMMYFUNCTION("GOOGLEFINANCE(A230,""low52"")"),614.25)</f>
        <v>614.25</v>
      </c>
      <c r="G230" s="33">
        <f>IFERROR(__xludf.DUMMYFUNCTION("to_date(index(sort(GOOGLEFINANCE(A230, ""low"", today()-52*7, today(), ""DAILY""),2,1),1,1))"),45897.64583333333)</f>
        <v>45897.64583</v>
      </c>
      <c r="H230" s="61">
        <f>IFERROR(__xludf.DUMMYFUNCTION("MIN(QUERY(SORT(GOOGLEFINANCE(A230,""low"",TODAY()-40,TODAY()),1,0),""select Col2 limit 20""))"),1224.1)</f>
        <v>1224.1</v>
      </c>
      <c r="I230" s="61">
        <f t="shared" si="1"/>
        <v>20.77902395</v>
      </c>
      <c r="J230" s="35" t="str">
        <f t="shared" si="2"/>
        <v>No need to fresh start</v>
      </c>
    </row>
    <row r="231">
      <c r="A231" s="7" t="s">
        <v>262</v>
      </c>
      <c r="B231" s="59">
        <f>IFERROR(__xludf.DUMMYFUNCTION("GOOGLEFINANCE(A231,""price"")"),1935.4)</f>
        <v>1935.4</v>
      </c>
      <c r="C231" s="60">
        <f>IFERROR(__xludf.DUMMYFUNCTION("MAX(QUERY(SORT(GOOGLEFINANCE(A231,""high"",TODAY()-100,TODAY()),1,0),""select Col2 limit 55""))"),2044.0)</f>
        <v>2044</v>
      </c>
      <c r="D231" s="32">
        <f>IFERROR(__xludf.DUMMYFUNCTION("GOOGLEFINANCE(A231,""high52"")"),2044.0)</f>
        <v>2044</v>
      </c>
      <c r="E231" s="33">
        <f>IFERROR(__xludf.DUMMYFUNCTION("to_date(index(sort(GOOGLEFINANCE(A231, ""high"", today()-52*7, today(), ""DAILY""),2,0),2,1))"),46150.64583333333)</f>
        <v>46150.64583</v>
      </c>
      <c r="F231" s="32">
        <f>IFERROR(__xludf.DUMMYFUNCTION("GOOGLEFINANCE(A231,""low52"")"),1100.5)</f>
        <v>1100.5</v>
      </c>
      <c r="G231" s="33">
        <f>IFERROR(__xludf.DUMMYFUNCTION("to_date(index(sort(GOOGLEFINANCE(A231, ""low"", today()-52*7, today(), ""DAILY""),2,1),1,1))"),45898.64583333333)</f>
        <v>45898.64583</v>
      </c>
      <c r="H231" s="61">
        <f>IFERROR(__xludf.DUMMYFUNCTION("MIN(QUERY(SORT(GOOGLEFINANCE(A231,""low"",TODAY()-40,TODAY()),1,0),""select Col2 limit 20""))"),1818.3)</f>
        <v>1818.3</v>
      </c>
      <c r="I231" s="61">
        <f t="shared" si="1"/>
        <v>5.611243154</v>
      </c>
      <c r="J231" s="35" t="str">
        <f t="shared" si="2"/>
        <v>No need to fresh start</v>
      </c>
    </row>
    <row r="232">
      <c r="A232" s="7" t="s">
        <v>463</v>
      </c>
      <c r="B232" s="59" t="str">
        <f>IFERROR(__xludf.DUMMYFUNCTION("GOOGLEFINANCE(A232,""price"")"),"#N/A")</f>
        <v>#N/A</v>
      </c>
      <c r="C232" s="60" t="str">
        <f>IFERROR(__xludf.DUMMYFUNCTION("MAX(QUERY(SORT(GOOGLEFINANCE(A232,""high"",TODAY()-100,TODAY()),1,0),""select Col2 limit 55""))"),"#N/A")</f>
        <v>#N/A</v>
      </c>
      <c r="D232" s="32" t="str">
        <f>IFERROR(__xludf.DUMMYFUNCTION("GOOGLEFINANCE(A232,""high52"")"),"#N/A")</f>
        <v>#N/A</v>
      </c>
      <c r="E232" s="33" t="str">
        <f>IFERROR(__xludf.DUMMYFUNCTION("to_date(index(sort(GOOGLEFINANCE(A232, ""high"", today()-52*7, today(), ""DAILY""),2,0),2,1))"),"#N/A")</f>
        <v>#N/A</v>
      </c>
      <c r="F232" s="32" t="str">
        <f>IFERROR(__xludf.DUMMYFUNCTION("GOOGLEFINANCE(A232,""low52"")"),"#N/A")</f>
        <v>#N/A</v>
      </c>
      <c r="G232" s="33" t="str">
        <f>IFERROR(__xludf.DUMMYFUNCTION("to_date(index(sort(GOOGLEFINANCE(A232, ""low"", today()-52*7, today(), ""DAILY""),2,1),1,1))"),"#N/A")</f>
        <v>#N/A</v>
      </c>
      <c r="H232" s="61" t="str">
        <f>IFERROR(__xludf.DUMMYFUNCTION("MIN(QUERY(SORT(GOOGLEFINANCE(A232,""low"",TODAY()-40,TODAY()),1,0),""select Col2 limit 20""))"),"#N/A")</f>
        <v>#N/A</v>
      </c>
      <c r="I232" s="61" t="str">
        <f t="shared" si="1"/>
        <v>#N/A</v>
      </c>
      <c r="J232" s="35" t="str">
        <f t="shared" si="2"/>
        <v>#N/A</v>
      </c>
    </row>
    <row r="233">
      <c r="A233" s="7" t="s">
        <v>464</v>
      </c>
      <c r="B233" s="59">
        <f>IFERROR(__xludf.DUMMYFUNCTION("GOOGLEFINANCE(A233,""price"")"),4370.0)</f>
        <v>4370</v>
      </c>
      <c r="C233" s="60">
        <f>IFERROR(__xludf.DUMMYFUNCTION("MAX(QUERY(SORT(GOOGLEFINANCE(A233,""high"",TODAY()-100,TODAY()),1,0),""select Col2 limit 55""))"),4194.0)</f>
        <v>4194</v>
      </c>
      <c r="D233" s="32">
        <f>IFERROR(__xludf.DUMMYFUNCTION("GOOGLEFINANCE(A233,""high52"")"),4495.0)</f>
        <v>4495</v>
      </c>
      <c r="E233" s="33">
        <f>IFERROR(__xludf.DUMMYFUNCTION("to_date(index(sort(GOOGLEFINANCE(A233, ""high"", today()-52*7, today(), ""DAILY""),2,0),2,1))"),46057.64583333333)</f>
        <v>46057.64583</v>
      </c>
      <c r="F233" s="32">
        <f>IFERROR(__xludf.DUMMYFUNCTION("GOOGLEFINANCE(A233,""low52"")"),3001.1)</f>
        <v>3001.1</v>
      </c>
      <c r="G233" s="33">
        <f>IFERROR(__xludf.DUMMYFUNCTION("to_date(index(sort(GOOGLEFINANCE(A233, ""low"", today()-52*7, today(), ""DAILY""),2,1),1,1))"),45897.64583333333)</f>
        <v>45897.64583</v>
      </c>
      <c r="H233" s="61">
        <f>IFERROR(__xludf.DUMMYFUNCTION("MIN(QUERY(SORT(GOOGLEFINANCE(A233,""low"",TODAY()-40,TODAY()),1,0),""select Col2 limit 20""))"),3700.0)</f>
        <v>3700</v>
      </c>
      <c r="I233" s="61">
        <f t="shared" si="1"/>
        <v>-4.027459954</v>
      </c>
      <c r="J233" s="35" t="str">
        <f t="shared" si="2"/>
        <v>No need to fresh start</v>
      </c>
    </row>
    <row r="234">
      <c r="A234" s="7" t="s">
        <v>465</v>
      </c>
      <c r="B234" s="59">
        <f>IFERROR(__xludf.DUMMYFUNCTION("GOOGLEFINANCE(A234,""price"")"),1365.9)</f>
        <v>1365.9</v>
      </c>
      <c r="C234" s="60">
        <f>IFERROR(__xludf.DUMMYFUNCTION("MAX(QUERY(SORT(GOOGLEFINANCE(A234,""high"",TODAY()-100,TODAY()),1,0),""select Col2 limit 55""))"),1530.0)</f>
        <v>1530</v>
      </c>
      <c r="D234" s="32">
        <f>IFERROR(__xludf.DUMMYFUNCTION("GOOGLEFINANCE(A234,""high52"")"),1910.0)</f>
        <v>1910</v>
      </c>
      <c r="E234" s="33">
        <f>IFERROR(__xludf.DUMMYFUNCTION("to_date(index(sort(GOOGLEFINANCE(A234, ""high"", today()-52*7, today(), ""DAILY""),2,0),2,1))"),45820.64583333333)</f>
        <v>45820.64583</v>
      </c>
      <c r="F234" s="32">
        <f>IFERROR(__xludf.DUMMYFUNCTION("GOOGLEFINANCE(A234,""low52"")"),1200.0)</f>
        <v>1200</v>
      </c>
      <c r="G234" s="33">
        <f>IFERROR(__xludf.DUMMYFUNCTION("to_date(index(sort(GOOGLEFINANCE(A234, ""low"", today()-52*7, today(), ""DAILY""),2,1),1,1))"),46140.64583333333)</f>
        <v>46140.64583</v>
      </c>
      <c r="H234" s="61">
        <f>IFERROR(__xludf.DUMMYFUNCTION("MIN(QUERY(SORT(GOOGLEFINANCE(A234,""low"",TODAY()-40,TODAY()),1,0),""select Col2 limit 20""))"),1200.0)</f>
        <v>1200</v>
      </c>
      <c r="I234" s="61">
        <f t="shared" si="1"/>
        <v>12.01405667</v>
      </c>
      <c r="J234" s="35" t="str">
        <f t="shared" si="2"/>
        <v>Start GTT Order</v>
      </c>
    </row>
    <row r="235">
      <c r="A235" s="7" t="s">
        <v>466</v>
      </c>
      <c r="B235" s="59">
        <f>IFERROR(__xludf.DUMMYFUNCTION("GOOGLEFINANCE(A235,""price"")"),362.15)</f>
        <v>362.15</v>
      </c>
      <c r="C235" s="60">
        <f>IFERROR(__xludf.DUMMYFUNCTION("MAX(QUERY(SORT(GOOGLEFINANCE(A235,""high"",TODAY()-100,TODAY()),1,0),""select Col2 limit 55""))"),389.5)</f>
        <v>389.5</v>
      </c>
      <c r="D235" s="32">
        <f>IFERROR(__xludf.DUMMYFUNCTION("GOOGLEFINANCE(A235,""high52"")"),495.0)</f>
        <v>495</v>
      </c>
      <c r="E235" s="33">
        <f>IFERROR(__xludf.DUMMYFUNCTION("to_date(index(sort(GOOGLEFINANCE(A235, ""high"", today()-52*7, today(), ""DAILY""),2,0),2,1))"),45882.64583333333)</f>
        <v>45882.64583</v>
      </c>
      <c r="F235" s="32">
        <f>IFERROR(__xludf.DUMMYFUNCTION("GOOGLEFINANCE(A235,""low52"")"),274.65)</f>
        <v>274.65</v>
      </c>
      <c r="G235" s="33">
        <f>IFERROR(__xludf.DUMMYFUNCTION("to_date(index(sort(GOOGLEFINANCE(A235, ""low"", today()-52*7, today(), ""DAILY""),2,1),1,1))"),46101.64583333333)</f>
        <v>46101.64583</v>
      </c>
      <c r="H235" s="61">
        <f>IFERROR(__xludf.DUMMYFUNCTION("MIN(QUERY(SORT(GOOGLEFINANCE(A235,""low"",TODAY()-40,TODAY()),1,0),""select Col2 limit 20""))"),322.0)</f>
        <v>322</v>
      </c>
      <c r="I235" s="61">
        <f t="shared" si="1"/>
        <v>7.552119288</v>
      </c>
      <c r="J235" s="35" t="str">
        <f t="shared" si="2"/>
        <v>No need to fresh start</v>
      </c>
    </row>
    <row r="236">
      <c r="A236" s="7" t="s">
        <v>238</v>
      </c>
      <c r="B236" s="59">
        <f>IFERROR(__xludf.DUMMYFUNCTION("GOOGLEFINANCE(A236,""price"")"),8186.5)</f>
        <v>8186.5</v>
      </c>
      <c r="C236" s="60">
        <f>IFERROR(__xludf.DUMMYFUNCTION("MAX(QUERY(SORT(GOOGLEFINANCE(A236,""high"",TODAY()-100,TODAY()),1,0),""select Col2 limit 55""))"),8443.0)</f>
        <v>8443</v>
      </c>
      <c r="D236" s="32">
        <f>IFERROR(__xludf.DUMMYFUNCTION("GOOGLEFINANCE(A236,""high52"")"),8443.0)</f>
        <v>8443</v>
      </c>
      <c r="E236" s="33">
        <f>IFERROR(__xludf.DUMMYFUNCTION("to_date(index(sort(GOOGLEFINANCE(A236, ""high"", today()-52*7, today(), ""DAILY""),2,0),2,1))"),46167.64583333333)</f>
        <v>46167.64583</v>
      </c>
      <c r="F236" s="32">
        <f>IFERROR(__xludf.DUMMYFUNCTION("GOOGLEFINANCE(A236,""low52"")"),6696.5)</f>
        <v>6696.5</v>
      </c>
      <c r="G236" s="33">
        <f>IFERROR(__xludf.DUMMYFUNCTION("to_date(index(sort(GOOGLEFINANCE(A236, ""low"", today()-52*7, today(), ""DAILY""),2,1),1,1))"),46045.64583333333)</f>
        <v>46045.64583</v>
      </c>
      <c r="H236" s="61">
        <f>IFERROR(__xludf.DUMMYFUNCTION("MIN(QUERY(SORT(GOOGLEFINANCE(A236,""low"",TODAY()-40,TODAY()),1,0),""select Col2 limit 20""))"),7561.5)</f>
        <v>7561.5</v>
      </c>
      <c r="I236" s="61">
        <f t="shared" si="1"/>
        <v>3.133207109</v>
      </c>
      <c r="J236" s="35" t="str">
        <f t="shared" si="2"/>
        <v>No need to fresh start</v>
      </c>
    </row>
    <row r="237">
      <c r="A237" s="7" t="s">
        <v>467</v>
      </c>
      <c r="B237" s="59">
        <f>IFERROR(__xludf.DUMMYFUNCTION("GOOGLEFINANCE(A237,""price"")"),6310.5)</f>
        <v>6310.5</v>
      </c>
      <c r="C237" s="60">
        <f>IFERROR(__xludf.DUMMYFUNCTION("MAX(QUERY(SORT(GOOGLEFINANCE(A237,""high"",TODAY()-100,TODAY()),1,0),""select Col2 limit 55""))"),5760.0)</f>
        <v>5760</v>
      </c>
      <c r="D237" s="32">
        <f>IFERROR(__xludf.DUMMYFUNCTION("GOOGLEFINANCE(A237,""high52"")"),6739.0)</f>
        <v>6739</v>
      </c>
      <c r="E237" s="33">
        <f>IFERROR(__xludf.DUMMYFUNCTION("to_date(index(sort(GOOGLEFINANCE(A237, ""high"", today()-52*7, today(), ""DAILY""),2,0),2,1))"),45898.64583333333)</f>
        <v>45898.64583</v>
      </c>
      <c r="F237" s="32">
        <f>IFERROR(__xludf.DUMMYFUNCTION("GOOGLEFINANCE(A237,""low52"")"),4707.0)</f>
        <v>4707</v>
      </c>
      <c r="G237" s="33">
        <f>IFERROR(__xludf.DUMMYFUNCTION("to_date(index(sort(GOOGLEFINANCE(A237, ""low"", today()-52*7, today(), ""DAILY""),2,1),1,1))"),46118.64583333333)</f>
        <v>46118.64583</v>
      </c>
      <c r="H237" s="61">
        <f>IFERROR(__xludf.DUMMYFUNCTION("MIN(QUERY(SORT(GOOGLEFINANCE(A237,""low"",TODAY()-40,TODAY()),1,0),""select Col2 limit 20""))"),5067.0)</f>
        <v>5067</v>
      </c>
      <c r="I237" s="61">
        <f t="shared" si="1"/>
        <v>-8.723555978</v>
      </c>
      <c r="J237" s="35" t="str">
        <f t="shared" si="2"/>
        <v>No need to fresh start</v>
      </c>
    </row>
    <row r="238">
      <c r="A238" s="7" t="s">
        <v>224</v>
      </c>
      <c r="B238" s="59">
        <f>IFERROR(__xludf.DUMMYFUNCTION("GOOGLEFINANCE(A238,""price"")"),511.0)</f>
        <v>511</v>
      </c>
      <c r="C238" s="60">
        <f>IFERROR(__xludf.DUMMYFUNCTION("MAX(QUERY(SORT(GOOGLEFINANCE(A238,""high"",TODAY()-100,TODAY()),1,0),""select Col2 limit 55""))"),660.7)</f>
        <v>660.7</v>
      </c>
      <c r="D238" s="32">
        <f>IFERROR(__xludf.DUMMYFUNCTION("GOOGLEFINANCE(A238,""high52"")"),660.7)</f>
        <v>660.7</v>
      </c>
      <c r="E238" s="33">
        <f>IFERROR(__xludf.DUMMYFUNCTION("to_date(index(sort(GOOGLEFINANCE(A238, ""high"", today()-52*7, today(), ""DAILY""),2,0),2,1))"),46132.64583333333)</f>
        <v>46132.64583</v>
      </c>
      <c r="F238" s="32">
        <f>IFERROR(__xludf.DUMMYFUNCTION("GOOGLEFINANCE(A238,""low52"")"),480.2)</f>
        <v>480.2</v>
      </c>
      <c r="G238" s="33">
        <f>IFERROR(__xludf.DUMMYFUNCTION("to_date(index(sort(GOOGLEFINANCE(A238, ""low"", today()-52*7, today(), ""DAILY""),2,1),1,1))"),46045.64583333333)</f>
        <v>46045.64583</v>
      </c>
      <c r="H238" s="61">
        <f>IFERROR(__xludf.DUMMYFUNCTION("MIN(QUERY(SORT(GOOGLEFINANCE(A238,""low"",TODAY()-40,TODAY()),1,0),""select Col2 limit 20""))"),480.9)</f>
        <v>480.9</v>
      </c>
      <c r="I238" s="61">
        <f t="shared" si="1"/>
        <v>29.29549902</v>
      </c>
      <c r="J238" s="35" t="str">
        <f t="shared" si="2"/>
        <v>No need to fresh start</v>
      </c>
    </row>
    <row r="239">
      <c r="A239" s="7" t="s">
        <v>468</v>
      </c>
      <c r="B239" s="59" t="str">
        <f>IFERROR(__xludf.DUMMYFUNCTION("GOOGLEFINANCE(A239,""price"")"),"#N/A")</f>
        <v>#N/A</v>
      </c>
      <c r="C239" s="60" t="str">
        <f>IFERROR(__xludf.DUMMYFUNCTION("MAX(QUERY(SORT(GOOGLEFINANCE(A239,""high"",TODAY()-100,TODAY()),1,0),""select Col2 limit 55""))"),"#N/A")</f>
        <v>#N/A</v>
      </c>
      <c r="D239" s="32" t="str">
        <f>IFERROR(__xludf.DUMMYFUNCTION("GOOGLEFINANCE(A239,""high52"")"),"#N/A")</f>
        <v>#N/A</v>
      </c>
      <c r="E239" s="33" t="str">
        <f>IFERROR(__xludf.DUMMYFUNCTION("to_date(index(sort(GOOGLEFINANCE(A239, ""high"", today()-52*7, today(), ""DAILY""),2,0),2,1))"),"#N/A")</f>
        <v>#N/A</v>
      </c>
      <c r="F239" s="32" t="str">
        <f>IFERROR(__xludf.DUMMYFUNCTION("GOOGLEFINANCE(A239,""low52"")"),"#N/A")</f>
        <v>#N/A</v>
      </c>
      <c r="G239" s="33" t="str">
        <f>IFERROR(__xludf.DUMMYFUNCTION("to_date(index(sort(GOOGLEFINANCE(A239, ""low"", today()-52*7, today(), ""DAILY""),2,1),1,1))"),"#N/A")</f>
        <v>#N/A</v>
      </c>
      <c r="H239" s="61" t="str">
        <f>IFERROR(__xludf.DUMMYFUNCTION("MIN(QUERY(SORT(GOOGLEFINANCE(A239,""low"",TODAY()-40,TODAY()),1,0),""select Col2 limit 20""))"),"#N/A")</f>
        <v>#N/A</v>
      </c>
      <c r="I239" s="61" t="str">
        <f t="shared" si="1"/>
        <v>#N/A</v>
      </c>
      <c r="J239" s="35" t="str">
        <f t="shared" si="2"/>
        <v>#N/A</v>
      </c>
    </row>
    <row r="240">
      <c r="A240" s="7" t="s">
        <v>469</v>
      </c>
      <c r="B240" s="59">
        <f>IFERROR(__xludf.DUMMYFUNCTION("GOOGLEFINANCE(A240,""price"")"),759.15)</f>
        <v>759.15</v>
      </c>
      <c r="C240" s="60">
        <f>IFERROR(__xludf.DUMMYFUNCTION("MAX(QUERY(SORT(GOOGLEFINANCE(A240,""high"",TODAY()-100,TODAY()),1,0),""select Col2 limit 55""))"),802.4)</f>
        <v>802.4</v>
      </c>
      <c r="D240" s="32">
        <f>IFERROR(__xludf.DUMMYFUNCTION("GOOGLEFINANCE(A240,""high52"")"),802.4)</f>
        <v>802.4</v>
      </c>
      <c r="E240" s="33">
        <f>IFERROR(__xludf.DUMMYFUNCTION("to_date(index(sort(GOOGLEFINANCE(A240, ""high"", today()-52*7, today(), ""DAILY""),2,0),2,1))"),46157.64583333333)</f>
        <v>46157.64583</v>
      </c>
      <c r="F240" s="32">
        <f>IFERROR(__xludf.DUMMYFUNCTION("GOOGLEFINANCE(A240,""low52"")"),505.8)</f>
        <v>505.8</v>
      </c>
      <c r="G240" s="33">
        <f>IFERROR(__xludf.DUMMYFUNCTION("to_date(index(sort(GOOGLEFINANCE(A240, ""low"", today()-52*7, today(), ""DAILY""),2,1),1,1))"),45898.64583333333)</f>
        <v>45898.64583</v>
      </c>
      <c r="H240" s="61">
        <f>IFERROR(__xludf.DUMMYFUNCTION("MIN(QUERY(SORT(GOOGLEFINANCE(A240,""low"",TODAY()-40,TODAY()),1,0),""select Col2 limit 20""))"),692.15)</f>
        <v>692.15</v>
      </c>
      <c r="I240" s="61">
        <f t="shared" si="1"/>
        <v>5.697161299</v>
      </c>
      <c r="J240" s="35" t="str">
        <f t="shared" si="2"/>
        <v>No need to fresh start</v>
      </c>
    </row>
    <row r="241">
      <c r="A241" s="7" t="s">
        <v>271</v>
      </c>
      <c r="B241" s="59">
        <f>IFERROR(__xludf.DUMMYFUNCTION("GOOGLEFINANCE(A241,""price"")"),1417.2)</f>
        <v>1417.2</v>
      </c>
      <c r="C241" s="60">
        <f>IFERROR(__xludf.DUMMYFUNCTION("MAX(QUERY(SORT(GOOGLEFINANCE(A241,""high"",TODAY()-100,TODAY()),1,0),""select Col2 limit 55""))"),1447.0)</f>
        <v>1447</v>
      </c>
      <c r="D241" s="32">
        <f>IFERROR(__xludf.DUMMYFUNCTION("GOOGLEFINANCE(A241,""high52"")"),1994.0)</f>
        <v>1994</v>
      </c>
      <c r="E241" s="33">
        <f>IFERROR(__xludf.DUMMYFUNCTION("to_date(index(sort(GOOGLEFINANCE(A241, ""high"", today()-52*7, today(), ""DAILY""),2,0),2,1))"),45846.64583333333)</f>
        <v>45846.64583</v>
      </c>
      <c r="F241" s="32">
        <f>IFERROR(__xludf.DUMMYFUNCTION("GOOGLEFINANCE(A241,""low52"")"),1008.1)</f>
        <v>1008.1</v>
      </c>
      <c r="G241" s="33">
        <f>IFERROR(__xludf.DUMMYFUNCTION("to_date(index(sort(GOOGLEFINANCE(A241, ""low"", today()-52*7, today(), ""DAILY""),2,1),1,1))"),46085.64583333333)</f>
        <v>46085.64583</v>
      </c>
      <c r="H241" s="61">
        <f>IFERROR(__xludf.DUMMYFUNCTION("MIN(QUERY(SORT(GOOGLEFINANCE(A241,""low"",TODAY()-40,TODAY()),1,0),""select Col2 limit 20""))"),1147.1)</f>
        <v>1147.1</v>
      </c>
      <c r="I241" s="61">
        <f t="shared" si="1"/>
        <v>2.102737793</v>
      </c>
      <c r="J241" s="35" t="str">
        <f t="shared" si="2"/>
        <v>No need to fresh start</v>
      </c>
    </row>
    <row r="242">
      <c r="A242" s="7" t="s">
        <v>85</v>
      </c>
      <c r="B242" s="59">
        <f>IFERROR(__xludf.DUMMYFUNCTION("GOOGLEFINANCE(A242,""price"")"),133.75)</f>
        <v>133.75</v>
      </c>
      <c r="C242" s="60">
        <f>IFERROR(__xludf.DUMMYFUNCTION("MAX(QUERY(SORT(GOOGLEFINANCE(A242,""high"",TODAY()-100,TODAY()),1,0),""select Col2 limit 55""))"),156.25)</f>
        <v>156.25</v>
      </c>
      <c r="D242" s="32">
        <f>IFERROR(__xludf.DUMMYFUNCTION("GOOGLEFINANCE(A242,""high52"")"),162.89)</f>
        <v>162.89</v>
      </c>
      <c r="E242" s="33">
        <f>IFERROR(__xludf.DUMMYFUNCTION("to_date(index(sort(GOOGLEFINANCE(A242, ""high"", today()-52*7, today(), ""DAILY""),2,0),2,1))"),46079.64583333333)</f>
        <v>46079.64583</v>
      </c>
      <c r="F242" s="32">
        <f>IFERROR(__xludf.DUMMYFUNCTION("GOOGLEFINANCE(A242,""low52"")"),103.55)</f>
        <v>103.55</v>
      </c>
      <c r="G242" s="33">
        <f>IFERROR(__xludf.DUMMYFUNCTION("to_date(index(sort(GOOGLEFINANCE(A242, ""low"", today()-52*7, today(), ""DAILY""),2,1),1,1))"),45898.64583333333)</f>
        <v>45898.64583</v>
      </c>
      <c r="H242" s="61">
        <f>IFERROR(__xludf.DUMMYFUNCTION("MIN(QUERY(SORT(GOOGLEFINANCE(A242,""low"",TODAY()-40,TODAY()),1,0),""select Col2 limit 20""))"),123.67)</f>
        <v>123.67</v>
      </c>
      <c r="I242" s="61">
        <f t="shared" si="1"/>
        <v>16.82242991</v>
      </c>
      <c r="J242" s="35" t="str">
        <f t="shared" si="2"/>
        <v>No need to fresh start</v>
      </c>
    </row>
    <row r="243">
      <c r="A243" s="7" t="s">
        <v>222</v>
      </c>
      <c r="B243" s="59" t="str">
        <f>IFERROR(__xludf.DUMMYFUNCTION("GOOGLEFINANCE(A243,""price"")"),"#N/A")</f>
        <v>#N/A</v>
      </c>
      <c r="C243" s="60" t="str">
        <f>IFERROR(__xludf.DUMMYFUNCTION("MAX(QUERY(SORT(GOOGLEFINANCE(A243,""high"",TODAY()-100,TODAY()),1,0),""select Col2 limit 55""))"),"#N/A")</f>
        <v>#N/A</v>
      </c>
      <c r="D243" s="32" t="str">
        <f>IFERROR(__xludf.DUMMYFUNCTION("GOOGLEFINANCE(A243,""high52"")"),"#N/A")</f>
        <v>#N/A</v>
      </c>
      <c r="E243" s="33" t="str">
        <f>IFERROR(__xludf.DUMMYFUNCTION("to_date(index(sort(GOOGLEFINANCE(A243, ""high"", today()-52*7, today(), ""DAILY""),2,0),2,1))"),"#N/A")</f>
        <v>#N/A</v>
      </c>
      <c r="F243" s="32" t="str">
        <f>IFERROR(__xludf.DUMMYFUNCTION("GOOGLEFINANCE(A243,""low52"")"),"#N/A")</f>
        <v>#N/A</v>
      </c>
      <c r="G243" s="33" t="str">
        <f>IFERROR(__xludf.DUMMYFUNCTION("to_date(index(sort(GOOGLEFINANCE(A243, ""low"", today()-52*7, today(), ""DAILY""),2,1),1,1))"),"#N/A")</f>
        <v>#N/A</v>
      </c>
      <c r="H243" s="61" t="str">
        <f>IFERROR(__xludf.DUMMYFUNCTION("MIN(QUERY(SORT(GOOGLEFINANCE(A243,""low"",TODAY()-40,TODAY()),1,0),""select Col2 limit 20""))"),"#N/A")</f>
        <v>#N/A</v>
      </c>
      <c r="I243" s="61" t="str">
        <f t="shared" si="1"/>
        <v>#N/A</v>
      </c>
      <c r="J243" s="35" t="str">
        <f t="shared" si="2"/>
        <v>#N/A</v>
      </c>
    </row>
    <row r="244">
      <c r="A244" s="7" t="s">
        <v>470</v>
      </c>
      <c r="B244" s="59">
        <f>IFERROR(__xludf.DUMMYFUNCTION("GOOGLEFINANCE(A244,""price"")"),1437.6)</f>
        <v>1437.6</v>
      </c>
      <c r="C244" s="60">
        <f>IFERROR(__xludf.DUMMYFUNCTION("MAX(QUERY(SORT(GOOGLEFINANCE(A244,""high"",TODAY()-100,TODAY()),1,0),""select Col2 limit 55""))"),1577.0)</f>
        <v>1577</v>
      </c>
      <c r="D244" s="32">
        <f>IFERROR(__xludf.DUMMYFUNCTION("GOOGLEFINANCE(A244,""high52"")"),1732.5)</f>
        <v>1732.5</v>
      </c>
      <c r="E244" s="33">
        <f>IFERROR(__xludf.DUMMYFUNCTION("to_date(index(sort(GOOGLEFINANCE(A244, ""high"", today()-52*7, today(), ""DAILY""),2,0),2,1))"),45860.64583333333)</f>
        <v>45860.64583</v>
      </c>
      <c r="F244" s="32">
        <f>IFERROR(__xludf.DUMMYFUNCTION("GOOGLEFINANCE(A244,""low52"")"),1130.0)</f>
        <v>1130</v>
      </c>
      <c r="G244" s="33">
        <f>IFERROR(__xludf.DUMMYFUNCTION("to_date(index(sort(GOOGLEFINANCE(A244, ""low"", today()-52*7, today(), ""DAILY""),2,1),1,1))"),46114.64583333333)</f>
        <v>46114.64583</v>
      </c>
      <c r="H244" s="61">
        <f>IFERROR(__xludf.DUMMYFUNCTION("MIN(QUERY(SORT(GOOGLEFINANCE(A244,""low"",TODAY()-40,TODAY()),1,0),""select Col2 limit 20""))"),1351.1)</f>
        <v>1351.1</v>
      </c>
      <c r="I244" s="61">
        <f t="shared" si="1"/>
        <v>9.69671675</v>
      </c>
      <c r="J244" s="35" t="str">
        <f t="shared" si="2"/>
        <v>No need to fresh start</v>
      </c>
    </row>
    <row r="245">
      <c r="A245" s="7" t="s">
        <v>218</v>
      </c>
      <c r="B245" s="59">
        <f>IFERROR(__xludf.DUMMYFUNCTION("GOOGLEFINANCE(A245,""price"")"),1185.3)</f>
        <v>1185.3</v>
      </c>
      <c r="C245" s="60">
        <f>IFERROR(__xludf.DUMMYFUNCTION("MAX(QUERY(SORT(GOOGLEFINANCE(A245,""high"",TODAY()-100,TODAY()),1,0),""select Col2 limit 55""))"),1226.8)</f>
        <v>1226.8</v>
      </c>
      <c r="D245" s="32">
        <f>IFERROR(__xludf.DUMMYFUNCTION("GOOGLEFINANCE(A245,""high52"")"),1226.8)</f>
        <v>1226.8</v>
      </c>
      <c r="E245" s="33">
        <f>IFERROR(__xludf.DUMMYFUNCTION("to_date(index(sort(GOOGLEFINANCE(A245, ""high"", today()-52*7, today(), ""DAILY""),2,0),2,1))"),46154.64583333333)</f>
        <v>46154.64583</v>
      </c>
      <c r="F245" s="32">
        <f>IFERROR(__xludf.DUMMYFUNCTION("GOOGLEFINANCE(A245,""low52"")"),789.0)</f>
        <v>789</v>
      </c>
      <c r="G245" s="33">
        <f>IFERROR(__xludf.DUMMYFUNCTION("to_date(index(sort(GOOGLEFINANCE(A245, ""low"", today()-52*7, today(), ""DAILY""),2,1),1,1))"),45930.64583333333)</f>
        <v>45930.64583</v>
      </c>
      <c r="H245" s="61">
        <f>IFERROR(__xludf.DUMMYFUNCTION("MIN(QUERY(SORT(GOOGLEFINANCE(A245,""low"",TODAY()-40,TODAY()),1,0),""select Col2 limit 20""))"),1080.05)</f>
        <v>1080.05</v>
      </c>
      <c r="I245" s="61">
        <f t="shared" si="1"/>
        <v>3.501223319</v>
      </c>
      <c r="J245" s="35" t="str">
        <f t="shared" si="2"/>
        <v>No need to fresh start</v>
      </c>
    </row>
    <row r="246">
      <c r="A246" s="7" t="s">
        <v>471</v>
      </c>
      <c r="B246" s="59">
        <f>IFERROR(__xludf.DUMMYFUNCTION("GOOGLEFINANCE(A246,""price"")"),510.65)</f>
        <v>510.65</v>
      </c>
      <c r="C246" s="60">
        <f>IFERROR(__xludf.DUMMYFUNCTION("MAX(QUERY(SORT(GOOGLEFINANCE(A246,""high"",TODAY()-100,TODAY()),1,0),""select Col2 limit 55""))"),486.35)</f>
        <v>486.35</v>
      </c>
      <c r="D246" s="32">
        <f>IFERROR(__xludf.DUMMYFUNCTION("GOOGLEFINANCE(A246,""high52"")"),510.65)</f>
        <v>510.65</v>
      </c>
      <c r="E246" s="33">
        <f>IFERROR(__xludf.DUMMYFUNCTION("to_date(index(sort(GOOGLEFINANCE(A246, ""high"", today()-52*7, today(), ""DAILY""),2,0),2,1))"),46168.64583333333)</f>
        <v>46168.64583</v>
      </c>
      <c r="F246" s="32">
        <f>IFERROR(__xludf.DUMMYFUNCTION("GOOGLEFINANCE(A246,""low52"")"),69.76)</f>
        <v>69.76</v>
      </c>
      <c r="G246" s="33">
        <f>IFERROR(__xludf.DUMMYFUNCTION("to_date(index(sort(GOOGLEFINANCE(A246, ""low"", today()-52*7, today(), ""DAILY""),2,1),1,1))"),45807.64583333333)</f>
        <v>45807.64583</v>
      </c>
      <c r="H246" s="61">
        <f>IFERROR(__xludf.DUMMYFUNCTION("MIN(QUERY(SORT(GOOGLEFINANCE(A246,""low"",TODAY()-40,TODAY()),1,0),""select Col2 limit 20""))"),272.25)</f>
        <v>272.25</v>
      </c>
      <c r="I246" s="61">
        <f t="shared" si="1"/>
        <v>-4.758640948</v>
      </c>
      <c r="J246" s="35" t="str">
        <f t="shared" si="2"/>
        <v>No need to fresh start</v>
      </c>
    </row>
    <row r="247">
      <c r="A247" s="7" t="s">
        <v>251</v>
      </c>
      <c r="B247" s="59">
        <f>IFERROR(__xludf.DUMMYFUNCTION("GOOGLEFINANCE(A247,""price"")"),1410.9)</f>
        <v>1410.9</v>
      </c>
      <c r="C247" s="60">
        <f>IFERROR(__xludf.DUMMYFUNCTION("MAX(QUERY(SORT(GOOGLEFINANCE(A247,""high"",TODAY()-100,TODAY()),1,0),""select Col2 limit 55""))"),1514.7)</f>
        <v>1514.7</v>
      </c>
      <c r="D247" s="32">
        <f>IFERROR(__xludf.DUMMYFUNCTION("GOOGLEFINANCE(A247,""high52"")"),1814.0)</f>
        <v>1814</v>
      </c>
      <c r="E247" s="33">
        <f>IFERROR(__xludf.DUMMYFUNCTION("to_date(index(sort(GOOGLEFINANCE(A247, ""high"", today()-52*7, today(), ""DAILY""),2,0),2,1))"),45860.64583333333)</f>
        <v>45860.64583</v>
      </c>
      <c r="F247" s="32">
        <f>IFERROR(__xludf.DUMMYFUNCTION("GOOGLEFINANCE(A247,""low52"")"),1090.0)</f>
        <v>1090</v>
      </c>
      <c r="G247" s="33">
        <f>IFERROR(__xludf.DUMMYFUNCTION("to_date(index(sort(GOOGLEFINANCE(A247, ""low"", today()-52*7, today(), ""DAILY""),2,1),1,1))"),46114.64583333333)</f>
        <v>46114.64583</v>
      </c>
      <c r="H247" s="61">
        <f>IFERROR(__xludf.DUMMYFUNCTION("MIN(QUERY(SORT(GOOGLEFINANCE(A247,""low"",TODAY()-40,TODAY()),1,0),""select Col2 limit 20""))"),1297.9)</f>
        <v>1297.9</v>
      </c>
      <c r="I247" s="61">
        <f t="shared" si="1"/>
        <v>7.357006166</v>
      </c>
      <c r="J247" s="35" t="str">
        <f t="shared" si="2"/>
        <v>No need to fresh start</v>
      </c>
    </row>
    <row r="248">
      <c r="A248" s="7" t="s">
        <v>472</v>
      </c>
      <c r="B248" s="59">
        <f>IFERROR(__xludf.DUMMYFUNCTION("GOOGLEFINANCE(A248,""price"")"),10.7)</f>
        <v>10.7</v>
      </c>
      <c r="C248" s="60">
        <f>IFERROR(__xludf.DUMMYFUNCTION("MAX(QUERY(SORT(GOOGLEFINANCE(A248,""high"",TODAY()-100,TODAY()),1,0),""select Col2 limit 55""))"),11.91)</f>
        <v>11.91</v>
      </c>
      <c r="D248" s="32">
        <f>IFERROR(__xludf.DUMMYFUNCTION("GOOGLEFINANCE(A248,""high52"")"),17.98)</f>
        <v>17.98</v>
      </c>
      <c r="E248" s="33">
        <f>IFERROR(__xludf.DUMMYFUNCTION("to_date(index(sort(GOOGLEFINANCE(A248, ""high"", today()-52*7, today(), ""DAILY""),2,0),2,1))"),45854.64583333333)</f>
        <v>45854.64583</v>
      </c>
      <c r="F248" s="32">
        <f>IFERROR(__xludf.DUMMYFUNCTION("GOOGLEFINANCE(A248,""low52"")"),8.76)</f>
        <v>8.76</v>
      </c>
      <c r="G248" s="33">
        <f>IFERROR(__xludf.DUMMYFUNCTION("to_date(index(sort(GOOGLEFINANCE(A248, ""low"", today()-52*7, today(), ""DAILY""),2,1),1,1))"),46111.64583333333)</f>
        <v>46111.64583</v>
      </c>
      <c r="H248" s="61">
        <f>IFERROR(__xludf.DUMMYFUNCTION("MIN(QUERY(SORT(GOOGLEFINANCE(A248,""low"",TODAY()-40,TODAY()),1,0),""select Col2 limit 20""))"),9.92)</f>
        <v>9.92</v>
      </c>
      <c r="I248" s="61">
        <f t="shared" si="1"/>
        <v>11.30841121</v>
      </c>
      <c r="J248" s="35" t="str">
        <f t="shared" si="2"/>
        <v>Start GTT Order</v>
      </c>
    </row>
    <row r="249">
      <c r="A249" s="7" t="s">
        <v>473</v>
      </c>
      <c r="B249" s="59">
        <f>IFERROR(__xludf.DUMMYFUNCTION("GOOGLEFINANCE(A249,""price"")"),208.12)</f>
        <v>208.12</v>
      </c>
      <c r="C249" s="60">
        <f>IFERROR(__xludf.DUMMYFUNCTION("MAX(QUERY(SORT(GOOGLEFINANCE(A249,""high"",TODAY()-100,TODAY()),1,0),""select Col2 limit 55""))"),245.0)</f>
        <v>245</v>
      </c>
      <c r="D249" s="32">
        <f>IFERROR(__xludf.DUMMYFUNCTION("GOOGLEFINANCE(A249,""high52"")"),291.85)</f>
        <v>291.85</v>
      </c>
      <c r="E249" s="33">
        <f>IFERROR(__xludf.DUMMYFUNCTION("to_date(index(sort(GOOGLEFINANCE(A249, ""high"", today()-52*7, today(), ""DAILY""),2,0),2,1))"),45839.64583333333)</f>
        <v>45839.64583</v>
      </c>
      <c r="F249" s="32">
        <f>IFERROR(__xludf.DUMMYFUNCTION("GOOGLEFINANCE(A249,""low52"")"),184.51)</f>
        <v>184.51</v>
      </c>
      <c r="G249" s="33">
        <f>IFERROR(__xludf.DUMMYFUNCTION("to_date(index(sort(GOOGLEFINANCE(A249, ""low"", today()-52*7, today(), ""DAILY""),2,1),1,1))"),46111.64583333333)</f>
        <v>46111.64583</v>
      </c>
      <c r="H249" s="61">
        <f>IFERROR(__xludf.DUMMYFUNCTION("MIN(QUERY(SORT(GOOGLEFINANCE(A249,""low"",TODAY()-40,TODAY()),1,0),""select Col2 limit 20""))"),202.6)</f>
        <v>202.6</v>
      </c>
      <c r="I249" s="61">
        <f t="shared" si="1"/>
        <v>17.72054584</v>
      </c>
      <c r="J249" s="35" t="str">
        <f t="shared" si="2"/>
        <v>Start GTT Order</v>
      </c>
    </row>
    <row r="250">
      <c r="A250" s="7" t="s">
        <v>474</v>
      </c>
      <c r="B250" s="59">
        <f>IFERROR(__xludf.DUMMYFUNCTION("GOOGLEFINANCE(A250,""price"")"),119.07)</f>
        <v>119.07</v>
      </c>
      <c r="C250" s="60">
        <f>IFERROR(__xludf.DUMMYFUNCTION("MAX(QUERY(SORT(GOOGLEFINANCE(A250,""high"",TODAY()-100,TODAY()),1,0),""select Col2 limit 55""))"),125.0)</f>
        <v>125</v>
      </c>
      <c r="D250" s="32">
        <f>IFERROR(__xludf.DUMMYFUNCTION("GOOGLEFINANCE(A250,""high52"")"),178.24)</f>
        <v>178.24</v>
      </c>
      <c r="E250" s="33">
        <f>IFERROR(__xludf.DUMMYFUNCTION("to_date(index(sort(GOOGLEFINANCE(A250, ""high"", today()-52*7, today(), ""DAILY""),2,0),2,1))"),45908.64583333333)</f>
        <v>45908.64583</v>
      </c>
      <c r="F250" s="32">
        <f>IFERROR(__xludf.DUMMYFUNCTION("GOOGLEFINANCE(A250,""low52"")"),88.0)</f>
        <v>88</v>
      </c>
      <c r="G250" s="33">
        <f>IFERROR(__xludf.DUMMYFUNCTION("to_date(index(sort(GOOGLEFINANCE(A250, ""low"", today()-52*7, today(), ""DAILY""),2,1),1,1))"),46111.64583333333)</f>
        <v>46111.64583</v>
      </c>
      <c r="H250" s="61">
        <f>IFERROR(__xludf.DUMMYFUNCTION("MIN(QUERY(SORT(GOOGLEFINANCE(A250,""low"",TODAY()-40,TODAY()),1,0),""select Col2 limit 20""))"),108.01)</f>
        <v>108.01</v>
      </c>
      <c r="I250" s="61">
        <f t="shared" si="1"/>
        <v>4.98026371</v>
      </c>
      <c r="J250" s="35" t="str">
        <f t="shared" si="2"/>
        <v>No need to fresh start</v>
      </c>
    </row>
    <row r="251">
      <c r="A251" s="7" t="s">
        <v>475</v>
      </c>
      <c r="B251" s="59">
        <f>IFERROR(__xludf.DUMMYFUNCTION("GOOGLEFINANCE(A251,""price"")"),636.3)</f>
        <v>636.3</v>
      </c>
      <c r="C251" s="60">
        <f>IFERROR(__xludf.DUMMYFUNCTION("MAX(QUERY(SORT(GOOGLEFINANCE(A251,""high"",TODAY()-100,TODAY()),1,0),""select Col2 limit 55""))"),690.0)</f>
        <v>690</v>
      </c>
      <c r="D251" s="32">
        <f>IFERROR(__xludf.DUMMYFUNCTION("GOOGLEFINANCE(A251,""high52"")"),773.8)</f>
        <v>773.8</v>
      </c>
      <c r="E251" s="33">
        <f>IFERROR(__xludf.DUMMYFUNCTION("to_date(index(sort(GOOGLEFINANCE(A251, ""high"", today()-52*7, today(), ""DAILY""),2,0),2,1))"),45835.64583333333)</f>
        <v>45835.64583</v>
      </c>
      <c r="F251" s="32">
        <f>IFERROR(__xludf.DUMMYFUNCTION("GOOGLEFINANCE(A251,""low52"")"),500.7)</f>
        <v>500.7</v>
      </c>
      <c r="G251" s="33">
        <f>IFERROR(__xludf.DUMMYFUNCTION("to_date(index(sort(GOOGLEFINANCE(A251, ""low"", today()-52*7, today(), ""DAILY""),2,1),1,1))"),46049.64583333333)</f>
        <v>46049.64583</v>
      </c>
      <c r="H251" s="61">
        <f>IFERROR(__xludf.DUMMYFUNCTION("MIN(QUERY(SORT(GOOGLEFINANCE(A251,""low"",TODAY()-40,TODAY()),1,0),""select Col2 limit 20""))"),600.5)</f>
        <v>600.5</v>
      </c>
      <c r="I251" s="61">
        <f t="shared" si="1"/>
        <v>8.43941537</v>
      </c>
      <c r="J251" s="35" t="str">
        <f t="shared" si="2"/>
        <v>No need to fresh start</v>
      </c>
    </row>
    <row r="252">
      <c r="A252" s="7" t="s">
        <v>476</v>
      </c>
      <c r="B252" s="59">
        <f>IFERROR(__xludf.DUMMYFUNCTION("GOOGLEFINANCE(A252,""price"")"),193.81)</f>
        <v>193.81</v>
      </c>
      <c r="C252" s="60">
        <f>IFERROR(__xludf.DUMMYFUNCTION("MAX(QUERY(SORT(GOOGLEFINANCE(A252,""high"",TODAY()-100,TODAY()),1,0),""select Col2 limit 55""))"),192.4)</f>
        <v>192.4</v>
      </c>
      <c r="D252" s="32">
        <f>IFERROR(__xludf.DUMMYFUNCTION("GOOGLEFINANCE(A252,""high52"")"),238.0)</f>
        <v>238</v>
      </c>
      <c r="E252" s="33">
        <f>IFERROR(__xludf.DUMMYFUNCTION("to_date(index(sort(GOOGLEFINANCE(A252, ""high"", today()-52*7, today(), ""DAILY""),2,0),2,1))"),45826.64583333333)</f>
        <v>45826.64583</v>
      </c>
      <c r="F252" s="32">
        <f>IFERROR(__xludf.DUMMYFUNCTION("GOOGLEFINANCE(A252,""low52"")"),147.54)</f>
        <v>147.54</v>
      </c>
      <c r="G252" s="33">
        <f>IFERROR(__xludf.DUMMYFUNCTION("to_date(index(sort(GOOGLEFINANCE(A252, ""low"", today()-52*7, today(), ""DAILY""),2,1),1,1))"),46111.64583333333)</f>
        <v>46111.64583</v>
      </c>
      <c r="H252" s="61">
        <f>IFERROR(__xludf.DUMMYFUNCTION("MIN(QUERY(SORT(GOOGLEFINANCE(A252,""low"",TODAY()-40,TODAY()),1,0),""select Col2 limit 20""))"),160.17)</f>
        <v>160.17</v>
      </c>
      <c r="I252" s="61">
        <f t="shared" si="1"/>
        <v>-0.72751664</v>
      </c>
      <c r="J252" s="35" t="str">
        <f t="shared" si="2"/>
        <v>No need to fresh start</v>
      </c>
    </row>
    <row r="253">
      <c r="A253" s="7" t="s">
        <v>477</v>
      </c>
      <c r="B253" s="59">
        <f>IFERROR(__xludf.DUMMYFUNCTION("GOOGLEFINANCE(A253,""price"")"),479.0)</f>
        <v>479</v>
      </c>
      <c r="C253" s="60">
        <f>IFERROR(__xludf.DUMMYFUNCTION("MAX(QUERY(SORT(GOOGLEFINANCE(A253,""high"",TODAY()-100,TODAY()),1,0),""select Col2 limit 55""))"),507.0)</f>
        <v>507</v>
      </c>
      <c r="D253" s="32">
        <f>IFERROR(__xludf.DUMMYFUNCTION("GOOGLEFINANCE(A253,""high52"")"),517.65)</f>
        <v>517.65</v>
      </c>
      <c r="E253" s="33">
        <f>IFERROR(__xludf.DUMMYFUNCTION("to_date(index(sort(GOOGLEFINANCE(A253, ""high"", today()-52*7, today(), ""DAILY""),2,0),2,1))"),45924.64583333333)</f>
        <v>45924.64583</v>
      </c>
      <c r="F253" s="32">
        <f>IFERROR(__xludf.DUMMYFUNCTION("GOOGLEFINANCE(A253,""low52"")"),389.95)</f>
        <v>389.95</v>
      </c>
      <c r="G253" s="33">
        <f>IFERROR(__xludf.DUMMYFUNCTION("to_date(index(sort(GOOGLEFINANCE(A253, ""low"", today()-52*7, today(), ""DAILY""),2,1),1,1))"),46097.64583333333)</f>
        <v>46097.64583</v>
      </c>
      <c r="H253" s="61">
        <f>IFERROR(__xludf.DUMMYFUNCTION("MIN(QUERY(SORT(GOOGLEFINANCE(A253,""low"",TODAY()-40,TODAY()),1,0),""select Col2 limit 20""))"),410.35)</f>
        <v>410.35</v>
      </c>
      <c r="I253" s="61">
        <f t="shared" si="1"/>
        <v>5.845511482</v>
      </c>
      <c r="J253" s="35" t="str">
        <f t="shared" si="2"/>
        <v>No need to fresh start</v>
      </c>
    </row>
    <row r="254">
      <c r="A254" s="7" t="s">
        <v>478</v>
      </c>
      <c r="B254" s="59">
        <f>IFERROR(__xludf.DUMMYFUNCTION("GOOGLEFINANCE(A254,""price"")"),1717.0)</f>
        <v>1717</v>
      </c>
      <c r="C254" s="60">
        <f>IFERROR(__xludf.DUMMYFUNCTION("MAX(QUERY(SORT(GOOGLEFINANCE(A254,""high"",TODAY()-100,TODAY()),1,0),""select Col2 limit 55""))"),1889.0)</f>
        <v>1889</v>
      </c>
      <c r="D254" s="32">
        <f>IFERROR(__xludf.DUMMYFUNCTION("GOOGLEFINANCE(A254,""high52"")"),2438.8)</f>
        <v>2438.8</v>
      </c>
      <c r="E254" s="33">
        <f>IFERROR(__xludf.DUMMYFUNCTION("to_date(index(sort(GOOGLEFINANCE(A254, ""high"", today()-52*7, today(), ""DAILY""),2,0),2,1))"),45845.64583333333)</f>
        <v>45845.64583</v>
      </c>
      <c r="F254" s="32">
        <f>IFERROR(__xludf.DUMMYFUNCTION("GOOGLEFINANCE(A254,""low52"")"),1212.0)</f>
        <v>1212</v>
      </c>
      <c r="G254" s="33">
        <f>IFERROR(__xludf.DUMMYFUNCTION("to_date(index(sort(GOOGLEFINANCE(A254, ""low"", today()-52*7, today(), ""DAILY""),2,1),1,1))"),46098.64583333333)</f>
        <v>46098.64583</v>
      </c>
      <c r="H254" s="61">
        <f>IFERROR(__xludf.DUMMYFUNCTION("MIN(QUERY(SORT(GOOGLEFINANCE(A254,""low"",TODAY()-40,TODAY()),1,0),""select Col2 limit 20""))"),1507.1)</f>
        <v>1507.1</v>
      </c>
      <c r="I254" s="61">
        <f t="shared" si="1"/>
        <v>10.01747234</v>
      </c>
      <c r="J254" s="35" t="str">
        <f t="shared" si="2"/>
        <v>Start GTT Order</v>
      </c>
    </row>
    <row r="255">
      <c r="A255" s="7" t="s">
        <v>479</v>
      </c>
      <c r="B255" s="59">
        <f>IFERROR(__xludf.DUMMYFUNCTION("GOOGLEFINANCE(A255,""price"")"),132.8)</f>
        <v>132.8</v>
      </c>
      <c r="C255" s="60">
        <f>IFERROR(__xludf.DUMMYFUNCTION("MAX(QUERY(SORT(GOOGLEFINANCE(A255,""high"",TODAY()-100,TODAY()),1,0),""select Col2 limit 55""))"),136.5)</f>
        <v>136.5</v>
      </c>
      <c r="D255" s="32">
        <f>IFERROR(__xludf.DUMMYFUNCTION("GOOGLEFINANCE(A255,""high52"")"),245.0)</f>
        <v>245</v>
      </c>
      <c r="E255" s="33">
        <f>IFERROR(__xludf.DUMMYFUNCTION("to_date(index(sort(GOOGLEFINANCE(A255, ""high"", today()-52*7, today(), ""DAILY""),2,0),2,1))"),45834.64583333333)</f>
        <v>45834.64583</v>
      </c>
      <c r="F255" s="32">
        <f>IFERROR(__xludf.DUMMYFUNCTION("GOOGLEFINANCE(A255,""low52"")"),108.65)</f>
        <v>108.65</v>
      </c>
      <c r="G255" s="33">
        <f>IFERROR(__xludf.DUMMYFUNCTION("to_date(index(sort(GOOGLEFINANCE(A255, ""low"", today()-52*7, today(), ""DAILY""),2,1),1,1))"),46108.64583333333)</f>
        <v>46108.64583</v>
      </c>
      <c r="H255" s="61">
        <f>IFERROR(__xludf.DUMMYFUNCTION("MIN(QUERY(SORT(GOOGLEFINANCE(A255,""low"",TODAY()-40,TODAY()),1,0),""select Col2 limit 20""))"),121.49)</f>
        <v>121.49</v>
      </c>
      <c r="I255" s="61">
        <f t="shared" si="1"/>
        <v>2.786144578</v>
      </c>
      <c r="J255" s="35" t="str">
        <f t="shared" si="2"/>
        <v>No need to fresh start</v>
      </c>
    </row>
    <row r="256">
      <c r="A256" s="7" t="s">
        <v>480</v>
      </c>
      <c r="B256" s="59">
        <f>IFERROR(__xludf.DUMMYFUNCTION("GOOGLEFINANCE(A256,""price"")"),1563.3)</f>
        <v>1563.3</v>
      </c>
      <c r="C256" s="60">
        <f>IFERROR(__xludf.DUMMYFUNCTION("MAX(QUERY(SORT(GOOGLEFINANCE(A256,""high"",TODAY()-100,TODAY()),1,0),""select Col2 limit 55""))"),1714.0)</f>
        <v>1714</v>
      </c>
      <c r="D256" s="32">
        <f>IFERROR(__xludf.DUMMYFUNCTION("GOOGLEFINANCE(A256,""high52"")"),2497.5)</f>
        <v>2497.5</v>
      </c>
      <c r="E256" s="33">
        <f>IFERROR(__xludf.DUMMYFUNCTION("to_date(index(sort(GOOGLEFINANCE(A256, ""high"", today()-52*7, today(), ""DAILY""),2,0),2,1))"),46056.64583333333)</f>
        <v>46056.64583</v>
      </c>
      <c r="F256" s="32">
        <f>IFERROR(__xludf.DUMMYFUNCTION("GOOGLEFINANCE(A256,""low52"")"),1375.0)</f>
        <v>1375</v>
      </c>
      <c r="G256" s="33">
        <f>IFERROR(__xludf.DUMMYFUNCTION("to_date(index(sort(GOOGLEFINANCE(A256, ""low"", today()-52*7, today(), ""DAILY""),2,1),1,1))"),46111.64583333333)</f>
        <v>46111.64583</v>
      </c>
      <c r="H256" s="61">
        <f>IFERROR(__xludf.DUMMYFUNCTION("MIN(QUERY(SORT(GOOGLEFINANCE(A256,""low"",TODAY()-40,TODAY()),1,0),""select Col2 limit 20""))"),1385.2)</f>
        <v>1385.2</v>
      </c>
      <c r="I256" s="61">
        <f t="shared" si="1"/>
        <v>9.639864389</v>
      </c>
      <c r="J256" s="35" t="str">
        <f t="shared" si="2"/>
        <v>No need to fresh start</v>
      </c>
    </row>
    <row r="257">
      <c r="A257" s="7" t="s">
        <v>481</v>
      </c>
      <c r="B257" s="59">
        <f>IFERROR(__xludf.DUMMYFUNCTION("GOOGLEFINANCE(A257,""price"")"),4566.8)</f>
        <v>4566.8</v>
      </c>
      <c r="C257" s="60">
        <f>IFERROR(__xludf.DUMMYFUNCTION("MAX(QUERY(SORT(GOOGLEFINANCE(A257,""high"",TODAY()-100,TODAY()),1,0),""select Col2 limit 55""))"),4880.0)</f>
        <v>4880</v>
      </c>
      <c r="D257" s="32">
        <f>IFERROR(__xludf.DUMMYFUNCTION("GOOGLEFINANCE(A257,""high52"")"),4880.0)</f>
        <v>4880</v>
      </c>
      <c r="E257" s="33">
        <f>IFERROR(__xludf.DUMMYFUNCTION("to_date(index(sort(GOOGLEFINANCE(A257, ""high"", today()-52*7, today(), ""DAILY""),2,0),2,1))"),46153.64583333333)</f>
        <v>46153.64583</v>
      </c>
      <c r="F257" s="32">
        <f>IFERROR(__xludf.DUMMYFUNCTION("GOOGLEFINANCE(A257,""low52"")"),2742.7)</f>
        <v>2742.7</v>
      </c>
      <c r="G257" s="33">
        <f>IFERROR(__xludf.DUMMYFUNCTION("to_date(index(sort(GOOGLEFINANCE(A257, ""low"", today()-52*7, today(), ""DAILY""),2,1),1,1))"),46129.64583333333)</f>
        <v>46129.64583</v>
      </c>
      <c r="H257" s="61">
        <f>IFERROR(__xludf.DUMMYFUNCTION("MIN(QUERY(SORT(GOOGLEFINANCE(A257,""low"",TODAY()-40,TODAY()),1,0),""select Col2 limit 20""))"),3922.5)</f>
        <v>3922.5</v>
      </c>
      <c r="I257" s="61">
        <f t="shared" si="1"/>
        <v>6.858193921</v>
      </c>
      <c r="J257" s="35" t="str">
        <f t="shared" si="2"/>
        <v>No need to fresh start</v>
      </c>
    </row>
    <row r="258">
      <c r="A258" s="7" t="s">
        <v>482</v>
      </c>
      <c r="B258" s="59" t="str">
        <f>IFERROR(__xludf.DUMMYFUNCTION("GOOGLEFINANCE(A258,""price"")"),"#N/A")</f>
        <v>#N/A</v>
      </c>
      <c r="C258" s="60" t="str">
        <f>IFERROR(__xludf.DUMMYFUNCTION("MAX(QUERY(SORT(GOOGLEFINANCE(A258,""high"",TODAY()-100,TODAY()),1,0),""select Col2 limit 55""))"),"#N/A")</f>
        <v>#N/A</v>
      </c>
      <c r="D258" s="32" t="str">
        <f>IFERROR(__xludf.DUMMYFUNCTION("GOOGLEFINANCE(A258,""high52"")"),"#N/A")</f>
        <v>#N/A</v>
      </c>
      <c r="E258" s="33" t="str">
        <f>IFERROR(__xludf.DUMMYFUNCTION("to_date(index(sort(GOOGLEFINANCE(A258, ""high"", today()-52*7, today(), ""DAILY""),2,0),2,1))"),"#N/A")</f>
        <v>#N/A</v>
      </c>
      <c r="F258" s="32" t="str">
        <f>IFERROR(__xludf.DUMMYFUNCTION("GOOGLEFINANCE(A258,""low52"")"),"#N/A")</f>
        <v>#N/A</v>
      </c>
      <c r="G258" s="33" t="str">
        <f>IFERROR(__xludf.DUMMYFUNCTION("to_date(index(sort(GOOGLEFINANCE(A258, ""low"", today()-52*7, today(), ""DAILY""),2,1),1,1))"),"#N/A")</f>
        <v>#N/A</v>
      </c>
      <c r="H258" s="61" t="str">
        <f>IFERROR(__xludf.DUMMYFUNCTION("MIN(QUERY(SORT(GOOGLEFINANCE(A258,""low"",TODAY()-40,TODAY()),1,0),""select Col2 limit 20""))"),"#N/A")</f>
        <v>#N/A</v>
      </c>
      <c r="I258" s="61" t="str">
        <f t="shared" si="1"/>
        <v>#N/A</v>
      </c>
      <c r="J258" s="35" t="str">
        <f t="shared" si="2"/>
        <v>#N/A</v>
      </c>
    </row>
    <row r="259">
      <c r="A259" s="7" t="s">
        <v>216</v>
      </c>
      <c r="B259" s="59">
        <f>IFERROR(__xludf.DUMMYFUNCTION("GOOGLEFINANCE(A259,""price"")"),4258.7)</f>
        <v>4258.7</v>
      </c>
      <c r="C259" s="60">
        <f>IFERROR(__xludf.DUMMYFUNCTION("MAX(QUERY(SORT(GOOGLEFINANCE(A259,""high"",TODAY()-100,TODAY()),1,0),""select Col2 limit 55""))"),4498.0)</f>
        <v>4498</v>
      </c>
      <c r="D259" s="32">
        <f>IFERROR(__xludf.DUMMYFUNCTION("GOOGLEFINANCE(A259,""high52"")"),6261.0)</f>
        <v>6261</v>
      </c>
      <c r="E259" s="33">
        <f>IFERROR(__xludf.DUMMYFUNCTION("to_date(index(sort(GOOGLEFINANCE(A259, ""high"", today()-52*7, today(), ""DAILY""),2,0),2,1))"),45838.64583333333)</f>
        <v>45838.64583</v>
      </c>
      <c r="F259" s="32">
        <f>IFERROR(__xludf.DUMMYFUNCTION("GOOGLEFINANCE(A259,""low52"")"),3275.5)</f>
        <v>3275.5</v>
      </c>
      <c r="G259" s="33">
        <f>IFERROR(__xludf.DUMMYFUNCTION("to_date(index(sort(GOOGLEFINANCE(A259, ""low"", today()-52*7, today(), ""DAILY""),2,1),1,1))"),46111.64583333333)</f>
        <v>46111.64583</v>
      </c>
      <c r="H259" s="61">
        <f>IFERROR(__xludf.DUMMYFUNCTION("MIN(QUERY(SORT(GOOGLEFINANCE(A259,""low"",TODAY()-40,TODAY()),1,0),""select Col2 limit 20""))"),3980.6)</f>
        <v>3980.6</v>
      </c>
      <c r="I259" s="61">
        <f t="shared" si="1"/>
        <v>5.619085636</v>
      </c>
      <c r="J259" s="35" t="str">
        <f t="shared" si="2"/>
        <v>No need to fresh start</v>
      </c>
    </row>
    <row r="260">
      <c r="A260" s="7" t="s">
        <v>483</v>
      </c>
      <c r="B260" s="59">
        <f>IFERROR(__xludf.DUMMYFUNCTION("GOOGLEFINANCE(A260,""price"")"),413.65)</f>
        <v>413.65</v>
      </c>
      <c r="C260" s="60">
        <f>IFERROR(__xludf.DUMMYFUNCTION("MAX(QUERY(SORT(GOOGLEFINANCE(A260,""high"",TODAY()-100,TODAY()),1,0),""select Col2 limit 55""))"),414.9)</f>
        <v>414.9</v>
      </c>
      <c r="D260" s="32">
        <f>IFERROR(__xludf.DUMMYFUNCTION("GOOGLEFINANCE(A260,""high52"")"),527.8)</f>
        <v>527.8</v>
      </c>
      <c r="E260" s="33">
        <f>IFERROR(__xludf.DUMMYFUNCTION("to_date(index(sort(GOOGLEFINANCE(A260, ""high"", today()-52*7, today(), ""DAILY""),2,0),2,1))"),45919.64583333333)</f>
        <v>45919.64583</v>
      </c>
      <c r="F260" s="32">
        <f>IFERROR(__xludf.DUMMYFUNCTION("GOOGLEFINANCE(A260,""low52"")"),312.95)</f>
        <v>312.95</v>
      </c>
      <c r="G260" s="33">
        <f>IFERROR(__xludf.DUMMYFUNCTION("to_date(index(sort(GOOGLEFINANCE(A260, ""low"", today()-52*7, today(), ""DAILY""),2,1),1,1))"),46111.64583333333)</f>
        <v>46111.64583</v>
      </c>
      <c r="H260" s="61">
        <f>IFERROR(__xludf.DUMMYFUNCTION("MIN(QUERY(SORT(GOOGLEFINANCE(A260,""low"",TODAY()-40,TODAY()),1,0),""select Col2 limit 20""))"),353.8)</f>
        <v>353.8</v>
      </c>
      <c r="I260" s="61">
        <f t="shared" si="1"/>
        <v>0.30218784</v>
      </c>
      <c r="J260" s="35" t="str">
        <f t="shared" si="2"/>
        <v>No need to fresh start</v>
      </c>
    </row>
    <row r="261">
      <c r="A261" s="7" t="s">
        <v>484</v>
      </c>
      <c r="B261" s="59">
        <f>IFERROR(__xludf.DUMMYFUNCTION("GOOGLEFINANCE(A261,""price"")"),586.25)</f>
        <v>586.25</v>
      </c>
      <c r="C261" s="60">
        <f>IFERROR(__xludf.DUMMYFUNCTION("MAX(QUERY(SORT(GOOGLEFINANCE(A261,""high"",TODAY()-100,TODAY()),1,0),""select Col2 limit 55""))"),690.0)</f>
        <v>690</v>
      </c>
      <c r="D261" s="32">
        <f>IFERROR(__xludf.DUMMYFUNCTION("GOOGLEFINANCE(A261,""high52"")"),690.0)</f>
        <v>690</v>
      </c>
      <c r="E261" s="33">
        <f>IFERROR(__xludf.DUMMYFUNCTION("to_date(index(sort(GOOGLEFINANCE(A261, ""high"", today()-52*7, today(), ""DAILY""),2,0),2,1))"),46141.64583333333)</f>
        <v>46141.64583</v>
      </c>
      <c r="F261" s="32">
        <f>IFERROR(__xludf.DUMMYFUNCTION("GOOGLEFINANCE(A261,""low52"")"),459.8)</f>
        <v>459.8</v>
      </c>
      <c r="G261" s="33">
        <f>IFERROR(__xludf.DUMMYFUNCTION("to_date(index(sort(GOOGLEFINANCE(A261, ""low"", today()-52*7, today(), ""DAILY""),2,1),1,1))"),45898.64583333333)</f>
        <v>45898.64583</v>
      </c>
      <c r="H261" s="61">
        <f>IFERROR(__xludf.DUMMYFUNCTION("MIN(QUERY(SORT(GOOGLEFINANCE(A261,""low"",TODAY()-40,TODAY()),1,0),""select Col2 limit 20""))"),578.25)</f>
        <v>578.25</v>
      </c>
      <c r="I261" s="61">
        <f t="shared" si="1"/>
        <v>17.69722814</v>
      </c>
      <c r="J261" s="35" t="str">
        <f t="shared" si="2"/>
        <v>No need to fresh start</v>
      </c>
    </row>
    <row r="262">
      <c r="A262" s="7" t="s">
        <v>485</v>
      </c>
      <c r="B262" s="59">
        <f>IFERROR(__xludf.DUMMYFUNCTION("GOOGLEFINANCE(A262,""price"")"),411.0)</f>
        <v>411</v>
      </c>
      <c r="C262" s="60">
        <f>IFERROR(__xludf.DUMMYFUNCTION("MAX(QUERY(SORT(GOOGLEFINANCE(A262,""high"",TODAY()-100,TODAY()),1,0),""select Col2 limit 55""))"),471.3)</f>
        <v>471.3</v>
      </c>
      <c r="D262" s="32">
        <f>IFERROR(__xludf.DUMMYFUNCTION("GOOGLEFINANCE(A262,""high52"")"),648.0)</f>
        <v>648</v>
      </c>
      <c r="E262" s="33">
        <f>IFERROR(__xludf.DUMMYFUNCTION("to_date(index(sort(GOOGLEFINANCE(A262, ""high"", today()-52*7, today(), ""DAILY""),2,0),2,1))"),45819.64583333333)</f>
        <v>45819.64583</v>
      </c>
      <c r="F262" s="32">
        <f>IFERROR(__xludf.DUMMYFUNCTION("GOOGLEFINANCE(A262,""low52"")"),330.0)</f>
        <v>330</v>
      </c>
      <c r="G262" s="33">
        <f>IFERROR(__xludf.DUMMYFUNCTION("to_date(index(sort(GOOGLEFINANCE(A262, ""low"", today()-52*7, today(), ""DAILY""),2,1),1,1))"),46111.64583333333)</f>
        <v>46111.64583</v>
      </c>
      <c r="H262" s="61">
        <f>IFERROR(__xludf.DUMMYFUNCTION("MIN(QUERY(SORT(GOOGLEFINANCE(A262,""low"",TODAY()-40,TODAY()),1,0),""select Col2 limit 20""))"),385.0)</f>
        <v>385</v>
      </c>
      <c r="I262" s="61">
        <f t="shared" si="1"/>
        <v>14.67153285</v>
      </c>
      <c r="J262" s="35" t="str">
        <f t="shared" si="2"/>
        <v>Start GTT Order</v>
      </c>
    </row>
    <row r="263">
      <c r="A263" s="7" t="s">
        <v>486</v>
      </c>
      <c r="B263" s="59">
        <f>IFERROR(__xludf.DUMMYFUNCTION("GOOGLEFINANCE(A263,""price"")"),386.0)</f>
        <v>386</v>
      </c>
      <c r="C263" s="60">
        <f>IFERROR(__xludf.DUMMYFUNCTION("MAX(QUERY(SORT(GOOGLEFINANCE(A263,""high"",TODAY()-100,TODAY()),1,0),""select Col2 limit 55""))"),401.5)</f>
        <v>401.5</v>
      </c>
      <c r="D263" s="32">
        <f>IFERROR(__xludf.DUMMYFUNCTION("GOOGLEFINANCE(A263,""high52"")"),444.8)</f>
        <v>444.8</v>
      </c>
      <c r="E263" s="33">
        <f>IFERROR(__xludf.DUMMYFUNCTION("to_date(index(sort(GOOGLEFINANCE(A263, ""high"", today()-52*7, today(), ""DAILY""),2,0),2,1))"),45933.64583333333)</f>
        <v>45933.64583</v>
      </c>
      <c r="F263" s="32">
        <f>IFERROR(__xludf.DUMMYFUNCTION("GOOGLEFINANCE(A263,""low52"")"),304.85)</f>
        <v>304.85</v>
      </c>
      <c r="G263" s="33">
        <f>IFERROR(__xludf.DUMMYFUNCTION("to_date(index(sort(GOOGLEFINANCE(A263, ""low"", today()-52*7, today(), ""DAILY""),2,1),1,1))"),46111.64583333333)</f>
        <v>46111.64583</v>
      </c>
      <c r="H263" s="61">
        <f>IFERROR(__xludf.DUMMYFUNCTION("MIN(QUERY(SORT(GOOGLEFINANCE(A263,""low"",TODAY()-40,TODAY()),1,0),""select Col2 limit 20""))"),358.0)</f>
        <v>358</v>
      </c>
      <c r="I263" s="61">
        <f t="shared" si="1"/>
        <v>4.015544041</v>
      </c>
      <c r="J263" s="35" t="str">
        <f t="shared" si="2"/>
        <v>No need to fresh start</v>
      </c>
    </row>
    <row r="264">
      <c r="A264" s="7" t="s">
        <v>487</v>
      </c>
      <c r="B264" s="59">
        <f>IFERROR(__xludf.DUMMYFUNCTION("GOOGLEFINANCE(A264,""price"")"),1243.3)</f>
        <v>1243.3</v>
      </c>
      <c r="C264" s="60">
        <f>IFERROR(__xludf.DUMMYFUNCTION("MAX(QUERY(SORT(GOOGLEFINANCE(A264,""high"",TODAY()-100,TODAY()),1,0),""select Col2 limit 55""))"),1401.1)</f>
        <v>1401.1</v>
      </c>
      <c r="D264" s="32">
        <f>IFERROR(__xludf.DUMMYFUNCTION("GOOGLEFINANCE(A264,""high52"")"),1828.9)</f>
        <v>1828.9</v>
      </c>
      <c r="E264" s="33">
        <f>IFERROR(__xludf.DUMMYFUNCTION("to_date(index(sort(GOOGLEFINANCE(A264, ""high"", today()-52*7, today(), ""DAILY""),2,0),2,1))"),45818.64583333333)</f>
        <v>45818.64583</v>
      </c>
      <c r="F264" s="32">
        <f>IFERROR(__xludf.DUMMYFUNCTION("GOOGLEFINANCE(A264,""low52"")"),1116.3)</f>
        <v>1116.3</v>
      </c>
      <c r="G264" s="33">
        <f>IFERROR(__xludf.DUMMYFUNCTION("to_date(index(sort(GOOGLEFINANCE(A264, ""low"", today()-52*7, today(), ""DAILY""),2,1),1,1))"),46111.64583333333)</f>
        <v>46111.64583</v>
      </c>
      <c r="H264" s="61">
        <f>IFERROR(__xludf.DUMMYFUNCTION("MIN(QUERY(SORT(GOOGLEFINANCE(A264,""low"",TODAY()-40,TODAY()),1,0),""select Col2 limit 20""))"),1152.7)</f>
        <v>1152.7</v>
      </c>
      <c r="I264" s="61">
        <f t="shared" si="1"/>
        <v>12.69202928</v>
      </c>
      <c r="J264" s="35" t="str">
        <f t="shared" si="2"/>
        <v>Start GTT Order</v>
      </c>
    </row>
    <row r="265">
      <c r="A265" s="7" t="s">
        <v>280</v>
      </c>
      <c r="B265" s="59">
        <f>IFERROR(__xludf.DUMMYFUNCTION("GOOGLEFINANCE(A265,""price"")"),958.75)</f>
        <v>958.75</v>
      </c>
      <c r="C265" s="60">
        <f>IFERROR(__xludf.DUMMYFUNCTION("MAX(QUERY(SORT(GOOGLEFINANCE(A265,""high"",TODAY()-100,TODAY()),1,0),""select Col2 limit 55""))"),992.7)</f>
        <v>992.7</v>
      </c>
      <c r="D265" s="32">
        <f>IFERROR(__xludf.DUMMYFUNCTION("GOOGLEFINANCE(A265,""high52"")"),1104.3)</f>
        <v>1104.3</v>
      </c>
      <c r="E265" s="33">
        <f>IFERROR(__xludf.DUMMYFUNCTION("to_date(index(sort(GOOGLEFINANCE(A265, ""high"", today()-52*7, today(), ""DAILY""),2,0),2,1))"),45947.64583333333)</f>
        <v>45947.64583</v>
      </c>
      <c r="F265" s="32">
        <f>IFERROR(__xludf.DUMMYFUNCTION("GOOGLEFINANCE(A265,""low52"")"),698.7)</f>
        <v>698.7</v>
      </c>
      <c r="G265" s="33">
        <f>IFERROR(__xludf.DUMMYFUNCTION("to_date(index(sort(GOOGLEFINANCE(A265, ""low"", today()-52*7, today(), ""DAILY""),2,1),1,1))"),45810.64583333333)</f>
        <v>45810.64583</v>
      </c>
      <c r="H265" s="61">
        <f>IFERROR(__xludf.DUMMYFUNCTION("MIN(QUERY(SORT(GOOGLEFINANCE(A265,""low"",TODAY()-40,TODAY()),1,0),""select Col2 limit 20""))"),910.55)</f>
        <v>910.55</v>
      </c>
      <c r="I265" s="61">
        <f t="shared" si="1"/>
        <v>3.5410691</v>
      </c>
      <c r="J265" s="35" t="str">
        <f t="shared" si="2"/>
        <v>No need to fresh start</v>
      </c>
    </row>
    <row r="266">
      <c r="A266" s="7" t="s">
        <v>488</v>
      </c>
      <c r="B266" s="59">
        <f>IFERROR(__xludf.DUMMYFUNCTION("GOOGLEFINANCE(A266,""price"")"),227.35)</f>
        <v>227.35</v>
      </c>
      <c r="C266" s="60">
        <f>IFERROR(__xludf.DUMMYFUNCTION("MAX(QUERY(SORT(GOOGLEFINANCE(A266,""high"",TODAY()-100,TODAY()),1,0),""select Col2 limit 55""))"),242.0)</f>
        <v>242</v>
      </c>
      <c r="D266" s="32">
        <f>IFERROR(__xludf.DUMMYFUNCTION("GOOGLEFINANCE(A266,""high52"")"),293.25)</f>
        <v>293.25</v>
      </c>
      <c r="E266" s="33">
        <f>IFERROR(__xludf.DUMMYFUNCTION("to_date(index(sort(GOOGLEFINANCE(A266, ""high"", today()-52*7, today(), ""DAILY""),2,0),2,1))"),45960.64583333333)</f>
        <v>45960.64583</v>
      </c>
      <c r="F266" s="32">
        <f>IFERROR(__xludf.DUMMYFUNCTION("GOOGLEFINANCE(A266,""low52"")"),174.13)</f>
        <v>174.13</v>
      </c>
      <c r="G266" s="33">
        <f>IFERROR(__xludf.DUMMYFUNCTION("to_date(index(sort(GOOGLEFINANCE(A266, ""low"", today()-52*7, today(), ""DAILY""),2,1),1,1))"),46111.64583333333)</f>
        <v>46111.64583</v>
      </c>
      <c r="H266" s="61">
        <f>IFERROR(__xludf.DUMMYFUNCTION("MIN(QUERY(SORT(GOOGLEFINANCE(A266,""low"",TODAY()-40,TODAY()),1,0),""select Col2 limit 20""))"),204.15)</f>
        <v>204.15</v>
      </c>
      <c r="I266" s="61">
        <f t="shared" si="1"/>
        <v>6.443809105</v>
      </c>
      <c r="J266" s="35" t="str">
        <f t="shared" si="2"/>
        <v>No need to fresh start</v>
      </c>
    </row>
    <row r="267">
      <c r="A267" s="7" t="s">
        <v>235</v>
      </c>
      <c r="B267" s="59">
        <f>IFERROR(__xludf.DUMMYFUNCTION("GOOGLEFINANCE(A267,""price"")"),388.85)</f>
        <v>388.85</v>
      </c>
      <c r="C267" s="60">
        <f>IFERROR(__xludf.DUMMYFUNCTION("MAX(QUERY(SORT(GOOGLEFINANCE(A267,""high"",TODAY()-100,TODAY()),1,0),""select Col2 limit 55""))"),379.9)</f>
        <v>379.9</v>
      </c>
      <c r="D267" s="32">
        <f>IFERROR(__xludf.DUMMYFUNCTION("GOOGLEFINANCE(A267,""high52"")"),431.0)</f>
        <v>431</v>
      </c>
      <c r="E267" s="33">
        <f>IFERROR(__xludf.DUMMYFUNCTION("to_date(index(sort(GOOGLEFINANCE(A267, ""high"", today()-52*7, today(), ""DAILY""),2,0),2,1))"),45910.64583333333)</f>
        <v>45910.64583</v>
      </c>
      <c r="F267" s="32">
        <f>IFERROR(__xludf.DUMMYFUNCTION("GOOGLEFINANCE(A267,""low52"")"),287.0)</f>
        <v>287</v>
      </c>
      <c r="G267" s="33">
        <f>IFERROR(__xludf.DUMMYFUNCTION("to_date(index(sort(GOOGLEFINANCE(A267, ""low"", today()-52*7, today(), ""DAILY""),2,1),1,1))"),46111.64583333333)</f>
        <v>46111.64583</v>
      </c>
      <c r="H267" s="61">
        <f>IFERROR(__xludf.DUMMYFUNCTION("MIN(QUERY(SORT(GOOGLEFINANCE(A267,""low"",TODAY()-40,TODAY()),1,0),""select Col2 limit 20""))"),333.5)</f>
        <v>333.5</v>
      </c>
      <c r="I267" s="61">
        <f t="shared" si="1"/>
        <v>-2.301658737</v>
      </c>
      <c r="J267" s="35" t="str">
        <f t="shared" si="2"/>
        <v>No need to fresh start</v>
      </c>
    </row>
    <row r="268">
      <c r="A268" s="7" t="s">
        <v>73</v>
      </c>
      <c r="B268" s="59">
        <f>IFERROR(__xludf.DUMMYFUNCTION("GOOGLEFINANCE(A268,""price"")"),97.78)</f>
        <v>97.78</v>
      </c>
      <c r="C268" s="60">
        <f>IFERROR(__xludf.DUMMYFUNCTION("MAX(QUERY(SORT(GOOGLEFINANCE(A268,""high"",TODAY()-100,TODAY()),1,0),""select Col2 limit 55""))"),101.95)</f>
        <v>101.95</v>
      </c>
      <c r="D268" s="32">
        <f>IFERROR(__xludf.DUMMYFUNCTION("GOOGLEFINANCE(A268,""high52"")"),130.7)</f>
        <v>130.7</v>
      </c>
      <c r="E268" s="33">
        <f>IFERROR(__xludf.DUMMYFUNCTION("to_date(index(sort(GOOGLEFINANCE(A268, ""high"", today()-52*7, today(), ""DAILY""),2,0),2,1))"),45817.64583333333)</f>
        <v>45817.64583</v>
      </c>
      <c r="F268" s="32">
        <f>IFERROR(__xludf.DUMMYFUNCTION("GOOGLEFINANCE(A268,""low52"")"),77.18)</f>
        <v>77.18</v>
      </c>
      <c r="G268" s="33">
        <f>IFERROR(__xludf.DUMMYFUNCTION("to_date(index(sort(GOOGLEFINANCE(A268, ""low"", today()-52*7, today(), ""DAILY""),2,1),1,1))"),46111.64583333333)</f>
        <v>46111.64583</v>
      </c>
      <c r="H268" s="61">
        <f>IFERROR(__xludf.DUMMYFUNCTION("MIN(QUERY(SORT(GOOGLEFINANCE(A268,""low"",TODAY()-40,TODAY()),1,0),""select Col2 limit 20""))"),89.83)</f>
        <v>89.83</v>
      </c>
      <c r="I268" s="61">
        <f t="shared" si="1"/>
        <v>4.264675803</v>
      </c>
      <c r="J268" s="35" t="str">
        <f t="shared" si="2"/>
        <v>No need to fresh start</v>
      </c>
    </row>
    <row r="269">
      <c r="A269" s="7" t="s">
        <v>489</v>
      </c>
      <c r="B269" s="59" t="str">
        <f>IFERROR(__xludf.DUMMYFUNCTION("GOOGLEFINANCE(A269,""price"")"),"#N/A")</f>
        <v>#N/A</v>
      </c>
      <c r="C269" s="60" t="str">
        <f>IFERROR(__xludf.DUMMYFUNCTION("MAX(QUERY(SORT(GOOGLEFINANCE(A269,""high"",TODAY()-100,TODAY()),1,0),""select Col2 limit 55""))"),"#N/A")</f>
        <v>#N/A</v>
      </c>
      <c r="D269" s="32" t="str">
        <f>IFERROR(__xludf.DUMMYFUNCTION("GOOGLEFINANCE(A269,""high52"")"),"#N/A")</f>
        <v>#N/A</v>
      </c>
      <c r="E269" s="33" t="str">
        <f>IFERROR(__xludf.DUMMYFUNCTION("to_date(index(sort(GOOGLEFINANCE(A269, ""high"", today()-52*7, today(), ""DAILY""),2,0),2,1))"),"#N/A")</f>
        <v>#N/A</v>
      </c>
      <c r="F269" s="32" t="str">
        <f>IFERROR(__xludf.DUMMYFUNCTION("GOOGLEFINANCE(A269,""low52"")"),"#N/A")</f>
        <v>#N/A</v>
      </c>
      <c r="G269" s="33" t="str">
        <f>IFERROR(__xludf.DUMMYFUNCTION("to_date(index(sort(GOOGLEFINANCE(A269, ""low"", today()-52*7, today(), ""DAILY""),2,1),1,1))"),"#N/A")</f>
        <v>#N/A</v>
      </c>
      <c r="H269" s="61" t="str">
        <f>IFERROR(__xludf.DUMMYFUNCTION("MIN(QUERY(SORT(GOOGLEFINANCE(A269,""low"",TODAY()-40,TODAY()),1,0),""select Col2 limit 20""))"),"#N/A")</f>
        <v>#N/A</v>
      </c>
      <c r="I269" s="61" t="str">
        <f t="shared" si="1"/>
        <v>#N/A</v>
      </c>
      <c r="J269" s="35" t="str">
        <f t="shared" si="2"/>
        <v>#N/A</v>
      </c>
    </row>
    <row r="270">
      <c r="A270" s="7" t="s">
        <v>490</v>
      </c>
      <c r="B270" s="59">
        <f>IFERROR(__xludf.DUMMYFUNCTION("GOOGLEFINANCE(A270,""price"")"),1516.8)</f>
        <v>1516.8</v>
      </c>
      <c r="C270" s="60">
        <f>IFERROR(__xludf.DUMMYFUNCTION("MAX(QUERY(SORT(GOOGLEFINANCE(A270,""high"",TODAY()-100,TODAY()),1,0),""select Col2 limit 55""))"),1800.0)</f>
        <v>1800</v>
      </c>
      <c r="D270" s="32">
        <f>IFERROR(__xludf.DUMMYFUNCTION("GOOGLEFINANCE(A270,""high52"")"),1800.0)</f>
        <v>1800</v>
      </c>
      <c r="E270" s="33">
        <f>IFERROR(__xludf.DUMMYFUNCTION("to_date(index(sort(GOOGLEFINANCE(A270, ""high"", today()-52*7, today(), ""DAILY""),2,0),2,1))"),46155.64583333333)</f>
        <v>46155.64583</v>
      </c>
      <c r="F270" s="32">
        <f>IFERROR(__xludf.DUMMYFUNCTION("GOOGLEFINANCE(A270,""low52"")"),1165.0)</f>
        <v>1165</v>
      </c>
      <c r="G270" s="33">
        <f>IFERROR(__xludf.DUMMYFUNCTION("to_date(index(sort(GOOGLEFINANCE(A270, ""low"", today()-52*7, today(), ""DAILY""),2,1),1,1))"),46111.64583333333)</f>
        <v>46111.64583</v>
      </c>
      <c r="H270" s="61">
        <f>IFERROR(__xludf.DUMMYFUNCTION("MIN(QUERY(SORT(GOOGLEFINANCE(A270,""low"",TODAY()-40,TODAY()),1,0),""select Col2 limit 20""))"),1493.3)</f>
        <v>1493.3</v>
      </c>
      <c r="I270" s="61">
        <f t="shared" si="1"/>
        <v>18.67088608</v>
      </c>
      <c r="J270" s="35" t="str">
        <f t="shared" si="2"/>
        <v>No need to fresh start</v>
      </c>
    </row>
    <row r="271">
      <c r="A271" s="7" t="s">
        <v>226</v>
      </c>
      <c r="B271" s="59">
        <f>IFERROR(__xludf.DUMMYFUNCTION("GOOGLEFINANCE(A271,""price"")"),1095.2)</f>
        <v>1095.2</v>
      </c>
      <c r="C271" s="60">
        <f>IFERROR(__xludf.DUMMYFUNCTION("MAX(QUERY(SORT(GOOGLEFINANCE(A271,""high"",TODAY()-100,TODAY()),1,0),""select Col2 limit 55""))"),1125.0)</f>
        <v>1125</v>
      </c>
      <c r="D271" s="32">
        <f>IFERROR(__xludf.DUMMYFUNCTION("GOOGLEFINANCE(A271,""high52"")"),1125.0)</f>
        <v>1125</v>
      </c>
      <c r="E271" s="33">
        <f>IFERROR(__xludf.DUMMYFUNCTION("to_date(index(sort(GOOGLEFINANCE(A271, ""high"", today()-52*7, today(), ""DAILY""),2,0),2,1))"),46163.64583333333)</f>
        <v>46163.64583</v>
      </c>
      <c r="F271" s="32">
        <f>IFERROR(__xludf.DUMMYFUNCTION("GOOGLEFINANCE(A271,""low52"")"),714.05)</f>
        <v>714.05</v>
      </c>
      <c r="G271" s="33">
        <f>IFERROR(__xludf.DUMMYFUNCTION("to_date(index(sort(GOOGLEFINANCE(A271, ""low"", today()-52*7, today(), ""DAILY""),2,1),1,1))"),45821.64583333333)</f>
        <v>45821.64583</v>
      </c>
      <c r="H271" s="61">
        <f>IFERROR(__xludf.DUMMYFUNCTION("MIN(QUERY(SORT(GOOGLEFINANCE(A271,""low"",TODAY()-40,TODAY()),1,0),""select Col2 limit 20""))"),984.8)</f>
        <v>984.8</v>
      </c>
      <c r="I271" s="61">
        <f t="shared" si="1"/>
        <v>2.720964207</v>
      </c>
      <c r="J271" s="35" t="str">
        <f t="shared" si="2"/>
        <v>No need to fresh start</v>
      </c>
    </row>
    <row r="272">
      <c r="A272" s="7" t="s">
        <v>491</v>
      </c>
      <c r="B272" s="59">
        <f>IFERROR(__xludf.DUMMYFUNCTION("GOOGLEFINANCE(A272,""price"")"),1726.0)</f>
        <v>1726</v>
      </c>
      <c r="C272" s="60">
        <f>IFERROR(__xludf.DUMMYFUNCTION("MAX(QUERY(SORT(GOOGLEFINANCE(A272,""high"",TODAY()-100,TODAY()),1,0),""select Col2 limit 55""))"),1778.0)</f>
        <v>1778</v>
      </c>
      <c r="D272" s="32">
        <f>IFERROR(__xludf.DUMMYFUNCTION("GOOGLEFINANCE(A272,""high52"")"),1868.8)</f>
        <v>1868.8</v>
      </c>
      <c r="E272" s="33">
        <f>IFERROR(__xludf.DUMMYFUNCTION("to_date(index(sort(GOOGLEFINANCE(A272, ""high"", today()-52*7, today(), ""DAILY""),2,0),2,1))"),45820.64583333333)</f>
        <v>45820.64583</v>
      </c>
      <c r="F272" s="32">
        <f>IFERROR(__xludf.DUMMYFUNCTION("GOOGLEFINANCE(A272,""low52"")"),1086.7)</f>
        <v>1086.7</v>
      </c>
      <c r="G272" s="33">
        <f>IFERROR(__xludf.DUMMYFUNCTION("to_date(index(sort(GOOGLEFINANCE(A272, ""low"", today()-52*7, today(), ""DAILY""),2,1),1,1))"),46104.64583333333)</f>
        <v>46104.64583</v>
      </c>
      <c r="H272" s="61">
        <f>IFERROR(__xludf.DUMMYFUNCTION("MIN(QUERY(SORT(GOOGLEFINANCE(A272,""low"",TODAY()-40,TODAY()),1,0),""select Col2 limit 20""))"),1382.0)</f>
        <v>1382</v>
      </c>
      <c r="I272" s="61">
        <f t="shared" si="1"/>
        <v>3.012746234</v>
      </c>
      <c r="J272" s="35" t="str">
        <f t="shared" si="2"/>
        <v>No need to fresh start</v>
      </c>
    </row>
    <row r="273">
      <c r="A273" s="7" t="s">
        <v>492</v>
      </c>
      <c r="B273" s="59">
        <f>IFERROR(__xludf.DUMMYFUNCTION("GOOGLEFINANCE(A273,""price"")"),351.65)</f>
        <v>351.65</v>
      </c>
      <c r="C273" s="60">
        <f>IFERROR(__xludf.DUMMYFUNCTION("MAX(QUERY(SORT(GOOGLEFINANCE(A273,""high"",TODAY()-100,TODAY()),1,0),""select Col2 limit 55""))"),373.75)</f>
        <v>373.75</v>
      </c>
      <c r="D273" s="32">
        <f>IFERROR(__xludf.DUMMYFUNCTION("GOOGLEFINANCE(A273,""high52"")"),588.75)</f>
        <v>588.75</v>
      </c>
      <c r="E273" s="33">
        <f>IFERROR(__xludf.DUMMYFUNCTION("to_date(index(sort(GOOGLEFINANCE(A273, ""high"", today()-52*7, today(), ""DAILY""),2,0),2,1))"),45855.64583333333)</f>
        <v>45855.64583</v>
      </c>
      <c r="F273" s="32">
        <f>IFERROR(__xludf.DUMMYFUNCTION("GOOGLEFINANCE(A273,""low52"")"),275.95)</f>
        <v>275.95</v>
      </c>
      <c r="G273" s="33">
        <f>IFERROR(__xludf.DUMMYFUNCTION("to_date(index(sort(GOOGLEFINANCE(A273, ""low"", today()-52*7, today(), ""DAILY""),2,1),1,1))"),46083.64583333333)</f>
        <v>46083.64583</v>
      </c>
      <c r="H273" s="61">
        <f>IFERROR(__xludf.DUMMYFUNCTION("MIN(QUERY(SORT(GOOGLEFINANCE(A273,""low"",TODAY()-40,TODAY()),1,0),""select Col2 limit 20""))"),285.3)</f>
        <v>285.3</v>
      </c>
      <c r="I273" s="61">
        <f t="shared" si="1"/>
        <v>6.284658041</v>
      </c>
      <c r="J273" s="35" t="str">
        <f t="shared" si="2"/>
        <v>No need to fresh start</v>
      </c>
    </row>
    <row r="274">
      <c r="A274" s="7" t="s">
        <v>245</v>
      </c>
      <c r="B274" s="59">
        <f>IFERROR(__xludf.DUMMYFUNCTION("GOOGLEFINANCE(A274,""price"")"),2845.9)</f>
        <v>2845.9</v>
      </c>
      <c r="C274" s="60">
        <f>IFERROR(__xludf.DUMMYFUNCTION("MAX(QUERY(SORT(GOOGLEFINANCE(A274,""high"",TODAY()-100,TODAY()),1,0),""select Col2 limit 55""))"),3194.1)</f>
        <v>3194.1</v>
      </c>
      <c r="D274" s="32">
        <f>IFERROR(__xludf.DUMMYFUNCTION("GOOGLEFINANCE(A274,""high52"")"),4330.0)</f>
        <v>4330</v>
      </c>
      <c r="E274" s="33">
        <f>IFERROR(__xludf.DUMMYFUNCTION("to_date(index(sort(GOOGLEFINANCE(A274, ""high"", today()-52*7, today(), ""DAILY""),2,0),2,1))"),45868.64583333333)</f>
        <v>45868.64583</v>
      </c>
      <c r="F274" s="32">
        <f>IFERROR(__xludf.DUMMYFUNCTION("GOOGLEFINANCE(A274,""low52"")"),2700.0)</f>
        <v>2700</v>
      </c>
      <c r="G274" s="33">
        <f>IFERROR(__xludf.DUMMYFUNCTION("to_date(index(sort(GOOGLEFINANCE(A274, ""low"", today()-52*7, today(), ""DAILY""),2,1),1,1))"),46111.64583333333)</f>
        <v>46111.64583</v>
      </c>
      <c r="H274" s="61">
        <f>IFERROR(__xludf.DUMMYFUNCTION("MIN(QUERY(SORT(GOOGLEFINANCE(A274,""low"",TODAY()-40,TODAY()),1,0),""select Col2 limit 20""))"),2700.0)</f>
        <v>2700</v>
      </c>
      <c r="I274" s="61">
        <f t="shared" si="1"/>
        <v>12.2351453</v>
      </c>
      <c r="J274" s="35" t="str">
        <f t="shared" si="2"/>
        <v>Start GTT Order</v>
      </c>
    </row>
    <row r="275">
      <c r="A275" s="7" t="s">
        <v>493</v>
      </c>
      <c r="B275" s="59" t="str">
        <f>IFERROR(__xludf.DUMMYFUNCTION("GOOGLEFINANCE(A275,""price"")"),"#N/A")</f>
        <v>#N/A</v>
      </c>
      <c r="C275" s="60" t="str">
        <f>IFERROR(__xludf.DUMMYFUNCTION("MAX(QUERY(SORT(GOOGLEFINANCE(A275,""high"",TODAY()-100,TODAY()),1,0),""select Col2 limit 55""))"),"#N/A")</f>
        <v>#N/A</v>
      </c>
      <c r="D275" s="32" t="str">
        <f>IFERROR(__xludf.DUMMYFUNCTION("GOOGLEFINANCE(A275,""high52"")"),"#N/A")</f>
        <v>#N/A</v>
      </c>
      <c r="E275" s="33" t="str">
        <f>IFERROR(__xludf.DUMMYFUNCTION("to_date(index(sort(GOOGLEFINANCE(A275, ""high"", today()-52*7, today(), ""DAILY""),2,0),2,1))"),"#N/A")</f>
        <v>#N/A</v>
      </c>
      <c r="F275" s="32" t="str">
        <f>IFERROR(__xludf.DUMMYFUNCTION("GOOGLEFINANCE(A275,""low52"")"),"#N/A")</f>
        <v>#N/A</v>
      </c>
      <c r="G275" s="33" t="str">
        <f>IFERROR(__xludf.DUMMYFUNCTION("to_date(index(sort(GOOGLEFINANCE(A275, ""low"", today()-52*7, today(), ""DAILY""),2,1),1,1))"),"#N/A")</f>
        <v>#N/A</v>
      </c>
      <c r="H275" s="61" t="str">
        <f>IFERROR(__xludf.DUMMYFUNCTION("MIN(QUERY(SORT(GOOGLEFINANCE(A275,""low"",TODAY()-40,TODAY()),1,0),""select Col2 limit 20""))"),"#N/A")</f>
        <v>#N/A</v>
      </c>
      <c r="I275" s="61" t="str">
        <f t="shared" si="1"/>
        <v>#N/A</v>
      </c>
      <c r="J275" s="35" t="str">
        <f t="shared" si="2"/>
        <v>#N/A</v>
      </c>
    </row>
    <row r="276">
      <c r="A276" s="7" t="s">
        <v>242</v>
      </c>
      <c r="B276" s="59">
        <f>IFERROR(__xludf.DUMMYFUNCTION("GOOGLEFINANCE(A276,""price"")"),7310.5)</f>
        <v>7310.5</v>
      </c>
      <c r="C276" s="60">
        <f>IFERROR(__xludf.DUMMYFUNCTION("MAX(QUERY(SORT(GOOGLEFINANCE(A276,""high"",TODAY()-100,TODAY()),1,0),""select Col2 limit 55""))"),7525.0)</f>
        <v>7525</v>
      </c>
      <c r="D276" s="32">
        <f>IFERROR(__xludf.DUMMYFUNCTION("GOOGLEFINANCE(A276,""high52"")"),7470.0)</f>
        <v>7470</v>
      </c>
      <c r="E276" s="33">
        <f>IFERROR(__xludf.DUMMYFUNCTION("to_date(index(sort(GOOGLEFINANCE(A276, ""high"", today()-52*7, today(), ""DAILY""),2,0),2,1))"),46168.64583333333)</f>
        <v>46168.64583</v>
      </c>
      <c r="F276" s="32">
        <f>IFERROR(__xludf.DUMMYFUNCTION("GOOGLEFINANCE(A276,""low52"")"),4225.0)</f>
        <v>4225</v>
      </c>
      <c r="G276" s="33">
        <f>IFERROR(__xludf.DUMMYFUNCTION("to_date(index(sort(GOOGLEFINANCE(A276, ""low"", today()-52*7, today(), ""DAILY""),2,1),1,1))"),45810.64583333333)</f>
        <v>45810.64583</v>
      </c>
      <c r="H276" s="61">
        <f>IFERROR(__xludf.DUMMYFUNCTION("MIN(QUERY(SORT(GOOGLEFINANCE(A276,""low"",TODAY()-40,TODAY()),1,0),""select Col2 limit 20""))"),6567.5)</f>
        <v>6567.5</v>
      </c>
      <c r="I276" s="61">
        <f t="shared" si="1"/>
        <v>2.934135832</v>
      </c>
      <c r="J276" s="35" t="str">
        <f t="shared" si="2"/>
        <v>No need to fresh start</v>
      </c>
    </row>
    <row r="277">
      <c r="A277" s="7" t="s">
        <v>217</v>
      </c>
      <c r="B277" s="59">
        <f>IFERROR(__xludf.DUMMYFUNCTION("GOOGLEFINANCE(A277,""price"")"),2982.0)</f>
        <v>2982</v>
      </c>
      <c r="C277" s="60">
        <f>IFERROR(__xludf.DUMMYFUNCTION("MAX(QUERY(SORT(GOOGLEFINANCE(A277,""high"",TODAY()-100,TODAY()),1,0),""select Col2 limit 55""))"),2979.4)</f>
        <v>2979.4</v>
      </c>
      <c r="D277" s="32">
        <f>IFERROR(__xludf.DUMMYFUNCTION("GOOGLEFINANCE(A277,""high52"")"),3027.5)</f>
        <v>3027.5</v>
      </c>
      <c r="E277" s="33">
        <f>IFERROR(__xludf.DUMMYFUNCTION("to_date(index(sort(GOOGLEFINANCE(A277, ""high"", today()-52*7, today(), ""DAILY""),2,0),2,1))"),46168.64583333333)</f>
        <v>46168.64583</v>
      </c>
      <c r="F277" s="32">
        <f>IFERROR(__xludf.DUMMYFUNCTION("GOOGLEFINANCE(A277,""low52"")"),1753.0)</f>
        <v>1753</v>
      </c>
      <c r="G277" s="33">
        <f>IFERROR(__xludf.DUMMYFUNCTION("to_date(index(sort(GOOGLEFINANCE(A277, ""low"", today()-52*7, today(), ""DAILY""),2,1),1,1))"),46111.64583333333)</f>
        <v>46111.64583</v>
      </c>
      <c r="H277" s="61">
        <f>IFERROR(__xludf.DUMMYFUNCTION("MIN(QUERY(SORT(GOOGLEFINANCE(A277,""low"",TODAY()-40,TODAY()),1,0),""select Col2 limit 20""))"),2320.9)</f>
        <v>2320.9</v>
      </c>
      <c r="I277" s="61">
        <f t="shared" si="1"/>
        <v>-0.0871898055</v>
      </c>
      <c r="J277" s="35" t="str">
        <f t="shared" si="2"/>
        <v>No need to fresh start</v>
      </c>
    </row>
    <row r="278">
      <c r="A278" s="7" t="s">
        <v>289</v>
      </c>
      <c r="B278" s="59" t="str">
        <f>IFERROR(__xludf.DUMMYFUNCTION("GOOGLEFINANCE(A278,""price"")"),"#N/A")</f>
        <v>#N/A</v>
      </c>
      <c r="C278" s="60" t="str">
        <f>IFERROR(__xludf.DUMMYFUNCTION("MAX(QUERY(SORT(GOOGLEFINANCE(A278,""high"",TODAY()-100,TODAY()),1,0),""select Col2 limit 55""))"),"#N/A")</f>
        <v>#N/A</v>
      </c>
      <c r="D278" s="32" t="str">
        <f>IFERROR(__xludf.DUMMYFUNCTION("GOOGLEFINANCE(A278,""high52"")"),"#N/A")</f>
        <v>#N/A</v>
      </c>
      <c r="E278" s="33" t="str">
        <f>IFERROR(__xludf.DUMMYFUNCTION("to_date(index(sort(GOOGLEFINANCE(A278, ""high"", today()-52*7, today(), ""DAILY""),2,0),2,1))"),"#N/A")</f>
        <v>#N/A</v>
      </c>
      <c r="F278" s="32" t="str">
        <f>IFERROR(__xludf.DUMMYFUNCTION("GOOGLEFINANCE(A278,""low52"")"),"#N/A")</f>
        <v>#N/A</v>
      </c>
      <c r="G278" s="33" t="str">
        <f>IFERROR(__xludf.DUMMYFUNCTION("to_date(index(sort(GOOGLEFINANCE(A278, ""low"", today()-52*7, today(), ""DAILY""),2,1),1,1))"),"#N/A")</f>
        <v>#N/A</v>
      </c>
      <c r="H278" s="61" t="str">
        <f>IFERROR(__xludf.DUMMYFUNCTION("MIN(QUERY(SORT(GOOGLEFINANCE(A278,""low"",TODAY()-40,TODAY()),1,0),""select Col2 limit 20""))"),"#N/A")</f>
        <v>#N/A</v>
      </c>
      <c r="I278" s="61" t="str">
        <f t="shared" si="1"/>
        <v>#N/A</v>
      </c>
      <c r="J278" s="35" t="str">
        <f t="shared" si="2"/>
        <v>#N/A</v>
      </c>
    </row>
    <row r="279">
      <c r="A279" s="7" t="s">
        <v>232</v>
      </c>
      <c r="B279" s="59">
        <f>IFERROR(__xludf.DUMMYFUNCTION("GOOGLEFINANCE(A279,""price"")"),4637.5)</f>
        <v>4637.5</v>
      </c>
      <c r="C279" s="60">
        <f>IFERROR(__xludf.DUMMYFUNCTION("MAX(QUERY(SORT(GOOGLEFINANCE(A279,""high"",TODAY()-100,TODAY()),1,0),""select Col2 limit 55""))"),5045.0)</f>
        <v>5045</v>
      </c>
      <c r="D279" s="32">
        <f>IFERROR(__xludf.DUMMYFUNCTION("GOOGLEFINANCE(A279,""high52"")"),5993.0)</f>
        <v>5993</v>
      </c>
      <c r="E279" s="33">
        <f>IFERROR(__xludf.DUMMYFUNCTION("to_date(index(sort(GOOGLEFINANCE(A279, ""high"", today()-52*7, today(), ""DAILY""),2,0),2,1))"),45824.64583333333)</f>
        <v>45824.64583</v>
      </c>
      <c r="F279" s="32">
        <f>IFERROR(__xludf.DUMMYFUNCTION("GOOGLEFINANCE(A279,""low52"")"),4460.0)</f>
        <v>4460</v>
      </c>
      <c r="G279" s="33">
        <f>IFERROR(__xludf.DUMMYFUNCTION("to_date(index(sort(GOOGLEFINANCE(A279, ""low"", today()-52*7, today(), ""DAILY""),2,1),1,1))"),46055.64583333333)</f>
        <v>46055.64583</v>
      </c>
      <c r="H279" s="61">
        <f>IFERROR(__xludf.DUMMYFUNCTION("MIN(QUERY(SORT(GOOGLEFINANCE(A279,""low"",TODAY()-40,TODAY()),1,0),""select Col2 limit 20""))"),4521.0)</f>
        <v>4521</v>
      </c>
      <c r="I279" s="61">
        <f t="shared" si="1"/>
        <v>8.787061995</v>
      </c>
      <c r="J279" s="35" t="str">
        <f t="shared" si="2"/>
        <v>No need to fresh start</v>
      </c>
    </row>
    <row r="280">
      <c r="A280" s="7" t="s">
        <v>494</v>
      </c>
      <c r="B280" s="59">
        <f>IFERROR(__xludf.DUMMYFUNCTION("GOOGLEFINANCE(A280,""price"")"),131.79)</f>
        <v>131.79</v>
      </c>
      <c r="C280" s="60">
        <f>IFERROR(__xludf.DUMMYFUNCTION("MAX(QUERY(SORT(GOOGLEFINANCE(A280,""high"",TODAY()-100,TODAY()),1,0),""select Col2 limit 55""))"),147.2)</f>
        <v>147.2</v>
      </c>
      <c r="D280" s="32">
        <f>IFERROR(__xludf.DUMMYFUNCTION("GOOGLEFINANCE(A280,""high52"")"),199.8)</f>
        <v>199.8</v>
      </c>
      <c r="E280" s="33">
        <f>IFERROR(__xludf.DUMMYFUNCTION("to_date(index(sort(GOOGLEFINANCE(A280, ""high"", today()-52*7, today(), ""DAILY""),2,0),2,1))"),45891.64583333333)</f>
        <v>45891.64583</v>
      </c>
      <c r="F280" s="32">
        <f>IFERROR(__xludf.DUMMYFUNCTION("GOOGLEFINANCE(A280,""low52"")"),112.0)</f>
        <v>112</v>
      </c>
      <c r="G280" s="33">
        <f>IFERROR(__xludf.DUMMYFUNCTION("to_date(index(sort(GOOGLEFINANCE(A280, ""low"", today()-52*7, today(), ""DAILY""),2,1),1,1))"),46111.64583333333)</f>
        <v>46111.64583</v>
      </c>
      <c r="H280" s="61">
        <f>IFERROR(__xludf.DUMMYFUNCTION("MIN(QUERY(SORT(GOOGLEFINANCE(A280,""low"",TODAY()-40,TODAY()),1,0),""select Col2 limit 20""))"),125.74)</f>
        <v>125.74</v>
      </c>
      <c r="I280" s="61">
        <f t="shared" si="1"/>
        <v>11.69284468</v>
      </c>
      <c r="J280" s="35" t="str">
        <f t="shared" si="2"/>
        <v>Start GTT Order</v>
      </c>
    </row>
    <row r="281">
      <c r="A281" s="7" t="s">
        <v>495</v>
      </c>
      <c r="B281" s="59">
        <f>IFERROR(__xludf.DUMMYFUNCTION("GOOGLEFINANCE(A281,""price"")"),176.83)</f>
        <v>176.83</v>
      </c>
      <c r="C281" s="60">
        <f>IFERROR(__xludf.DUMMYFUNCTION("MAX(QUERY(SORT(GOOGLEFINANCE(A281,""high"",TODAY()-100,TODAY()),1,0),""select Col2 limit 55""))"),202.95)</f>
        <v>202.95</v>
      </c>
      <c r="D281" s="32">
        <f>IFERROR(__xludf.DUMMYFUNCTION("GOOGLEFINANCE(A281,""high52"")"),287.0)</f>
        <v>287</v>
      </c>
      <c r="E281" s="33">
        <f>IFERROR(__xludf.DUMMYFUNCTION("to_date(index(sort(GOOGLEFINANCE(A281, ""high"", today()-52*7, today(), ""DAILY""),2,0),2,1))"),45863.64583333333)</f>
        <v>45863.64583</v>
      </c>
      <c r="F281" s="32">
        <f>IFERROR(__xludf.DUMMYFUNCTION("GOOGLEFINANCE(A281,""low52"")"),162.1)</f>
        <v>162.1</v>
      </c>
      <c r="G281" s="33">
        <f>IFERROR(__xludf.DUMMYFUNCTION("to_date(index(sort(GOOGLEFINANCE(A281, ""low"", today()-52*7, today(), ""DAILY""),2,1),1,1))"),46111.64583333333)</f>
        <v>46111.64583</v>
      </c>
      <c r="H281" s="61">
        <f>IFERROR(__xludf.DUMMYFUNCTION("MIN(QUERY(SORT(GOOGLEFINANCE(A281,""low"",TODAY()-40,TODAY()),1,0),""select Col2 limit 20""))"),166.21)</f>
        <v>166.21</v>
      </c>
      <c r="I281" s="61">
        <f t="shared" si="1"/>
        <v>14.77124922</v>
      </c>
      <c r="J281" s="35" t="str">
        <f t="shared" si="2"/>
        <v>Start GTT Order</v>
      </c>
    </row>
    <row r="282">
      <c r="A282" s="7" t="s">
        <v>496</v>
      </c>
      <c r="B282" s="59">
        <f>IFERROR(__xludf.DUMMYFUNCTION("GOOGLEFINANCE(A282,""price"")"),333.55)</f>
        <v>333.55</v>
      </c>
      <c r="C282" s="60">
        <f>IFERROR(__xludf.DUMMYFUNCTION("MAX(QUERY(SORT(GOOGLEFINANCE(A282,""high"",TODAY()-100,TODAY()),1,0),""select Col2 limit 55""))"),432.55)</f>
        <v>432.55</v>
      </c>
      <c r="D282" s="32">
        <f>IFERROR(__xludf.DUMMYFUNCTION("GOOGLEFINANCE(A282,""high52"")"),711.0)</f>
        <v>711</v>
      </c>
      <c r="E282" s="33">
        <f>IFERROR(__xludf.DUMMYFUNCTION("to_date(index(sort(GOOGLEFINANCE(A282, ""high"", today()-52*7, today(), ""DAILY""),2,0),2,1))"),45842.64583333333)</f>
        <v>45842.64583</v>
      </c>
      <c r="F282" s="32">
        <f>IFERROR(__xludf.DUMMYFUNCTION("GOOGLEFINANCE(A282,""low52"")"),330.0)</f>
        <v>330</v>
      </c>
      <c r="G282" s="33">
        <f>IFERROR(__xludf.DUMMYFUNCTION("to_date(index(sort(GOOGLEFINANCE(A282, ""low"", today()-52*7, today(), ""DAILY""),2,1),1,1))"),46111.64583333333)</f>
        <v>46111.64583</v>
      </c>
      <c r="H282" s="61">
        <f>IFERROR(__xludf.DUMMYFUNCTION("MIN(QUERY(SORT(GOOGLEFINANCE(A282,""low"",TODAY()-40,TODAY()),1,0),""select Col2 limit 20""))"),334.0)</f>
        <v>334</v>
      </c>
      <c r="I282" s="61">
        <f t="shared" si="1"/>
        <v>29.68070754</v>
      </c>
      <c r="J282" s="35" t="str">
        <f t="shared" si="2"/>
        <v>No need to fresh start</v>
      </c>
    </row>
    <row r="283">
      <c r="A283" s="7" t="s">
        <v>497</v>
      </c>
      <c r="B283" s="59">
        <f>IFERROR(__xludf.DUMMYFUNCTION("GOOGLEFINANCE(A283,""price"")"),810.05)</f>
        <v>810.05</v>
      </c>
      <c r="C283" s="60">
        <f>IFERROR(__xludf.DUMMYFUNCTION("MAX(QUERY(SORT(GOOGLEFINANCE(A283,""high"",TODAY()-100,TODAY()),1,0),""select Col2 limit 55""))"),1028.3)</f>
        <v>1028.3</v>
      </c>
      <c r="D283" s="32">
        <f>IFERROR(__xludf.DUMMYFUNCTION("GOOGLEFINANCE(A283,""high52"")"),1028.3)</f>
        <v>1028.3</v>
      </c>
      <c r="E283" s="33">
        <f>IFERROR(__xludf.DUMMYFUNCTION("to_date(index(sort(GOOGLEFINANCE(A283, ""high"", today()-52*7, today(), ""DAILY""),2,0),2,1))"),46140.64583333333)</f>
        <v>46140.64583</v>
      </c>
      <c r="F283" s="32">
        <f>IFERROR(__xludf.DUMMYFUNCTION("GOOGLEFINANCE(A283,""low52"")"),666.65)</f>
        <v>666.65</v>
      </c>
      <c r="G283" s="33">
        <f>IFERROR(__xludf.DUMMYFUNCTION("to_date(index(sort(GOOGLEFINANCE(A283, ""low"", today()-52*7, today(), ""DAILY""),2,1),1,1))"),46049.64583333333)</f>
        <v>46049.64583</v>
      </c>
      <c r="H283" s="61">
        <f>IFERROR(__xludf.DUMMYFUNCTION("MIN(QUERY(SORT(GOOGLEFINANCE(A283,""low"",TODAY()-40,TODAY()),1,0),""select Col2 limit 20""))"),808.45)</f>
        <v>808.45</v>
      </c>
      <c r="I283" s="61">
        <f t="shared" si="1"/>
        <v>26.94278131</v>
      </c>
      <c r="J283" s="35" t="str">
        <f t="shared" si="2"/>
        <v>No need to fresh start</v>
      </c>
    </row>
    <row r="284">
      <c r="A284" s="7" t="s">
        <v>498</v>
      </c>
      <c r="B284" s="59">
        <f>IFERROR(__xludf.DUMMYFUNCTION("GOOGLEFINANCE(A284,""price"")"),1098.8)</f>
        <v>1098.8</v>
      </c>
      <c r="C284" s="60">
        <f>IFERROR(__xludf.DUMMYFUNCTION("MAX(QUERY(SORT(GOOGLEFINANCE(A284,""high"",TODAY()-100,TODAY()),1,0),""select Col2 limit 55""))"),1325.0)</f>
        <v>1325</v>
      </c>
      <c r="D284" s="32">
        <f>IFERROR(__xludf.DUMMYFUNCTION("GOOGLEFINANCE(A284,""high52"")"),1502.3)</f>
        <v>1502.3</v>
      </c>
      <c r="E284" s="33">
        <f>IFERROR(__xludf.DUMMYFUNCTION("to_date(index(sort(GOOGLEFINANCE(A284, ""high"", today()-52*7, today(), ""DAILY""),2,0),2,1))"),45862.64583333333)</f>
        <v>45862.64583</v>
      </c>
      <c r="F284" s="32">
        <f>IFERROR(__xludf.DUMMYFUNCTION("GOOGLEFINANCE(A284,""low52"")"),945.1)</f>
        <v>945.1</v>
      </c>
      <c r="G284" s="33">
        <f>IFERROR(__xludf.DUMMYFUNCTION("to_date(index(sort(GOOGLEFINANCE(A284, ""low"", today()-52*7, today(), ""DAILY""),2,1),1,1))"),46090.64583333333)</f>
        <v>46090.64583</v>
      </c>
      <c r="H284" s="61">
        <f>IFERROR(__xludf.DUMMYFUNCTION("MIN(QUERY(SORT(GOOGLEFINANCE(A284,""low"",TODAY()-40,TODAY()),1,0),""select Col2 limit 20""))"),1081.9)</f>
        <v>1081.9</v>
      </c>
      <c r="I284" s="61">
        <f t="shared" si="1"/>
        <v>20.58609392</v>
      </c>
      <c r="J284" s="35" t="str">
        <f t="shared" si="2"/>
        <v>No need to fresh start</v>
      </c>
    </row>
    <row r="285">
      <c r="A285" s="7" t="s">
        <v>499</v>
      </c>
      <c r="B285" s="59" t="str">
        <f>IFERROR(__xludf.DUMMYFUNCTION("GOOGLEFINANCE(A285,""price"")"),"#N/A")</f>
        <v>#N/A</v>
      </c>
      <c r="C285" s="60" t="str">
        <f>IFERROR(__xludf.DUMMYFUNCTION("MAX(QUERY(SORT(GOOGLEFINANCE(A285,""high"",TODAY()-100,TODAY()),1,0),""select Col2 limit 55""))"),"#N/A")</f>
        <v>#N/A</v>
      </c>
      <c r="D285" s="32" t="str">
        <f>IFERROR(__xludf.DUMMYFUNCTION("GOOGLEFINANCE(A285,""high52"")"),"#N/A")</f>
        <v>#N/A</v>
      </c>
      <c r="E285" s="33" t="str">
        <f>IFERROR(__xludf.DUMMYFUNCTION("to_date(index(sort(GOOGLEFINANCE(A285, ""high"", today()-52*7, today(), ""DAILY""),2,0),2,1))"),"#N/A")</f>
        <v>#N/A</v>
      </c>
      <c r="F285" s="32" t="str">
        <f>IFERROR(__xludf.DUMMYFUNCTION("GOOGLEFINANCE(A285,""low52"")"),"#N/A")</f>
        <v>#N/A</v>
      </c>
      <c r="G285" s="33" t="str">
        <f>IFERROR(__xludf.DUMMYFUNCTION("to_date(index(sort(GOOGLEFINANCE(A285, ""low"", today()-52*7, today(), ""DAILY""),2,1),1,1))"),"#N/A")</f>
        <v>#N/A</v>
      </c>
      <c r="H285" s="61" t="str">
        <f>IFERROR(__xludf.DUMMYFUNCTION("MIN(QUERY(SORT(GOOGLEFINANCE(A285,""low"",TODAY()-40,TODAY()),1,0),""select Col2 limit 20""))"),"#N/A")</f>
        <v>#N/A</v>
      </c>
      <c r="I285" s="61" t="str">
        <f t="shared" si="1"/>
        <v>#N/A</v>
      </c>
      <c r="J285" s="35" t="str">
        <f t="shared" si="2"/>
        <v>#N/A</v>
      </c>
    </row>
    <row r="286">
      <c r="A286" s="7" t="s">
        <v>75</v>
      </c>
      <c r="B286" s="59">
        <f>IFERROR(__xludf.DUMMYFUNCTION("GOOGLEFINANCE(A286,""price"")"),65.85)</f>
        <v>65.85</v>
      </c>
      <c r="C286" s="60">
        <f>IFERROR(__xludf.DUMMYFUNCTION("MAX(QUERY(SORT(GOOGLEFINANCE(A286,""high"",TODAY()-100,TODAY()),1,0),""select Col2 limit 55""))"),71.64)</f>
        <v>71.64</v>
      </c>
      <c r="D286" s="32">
        <f>IFERROR(__xludf.DUMMYFUNCTION("GOOGLEFINANCE(A286,""high52"")"),88.19)</f>
        <v>88.19</v>
      </c>
      <c r="E286" s="33">
        <f>IFERROR(__xludf.DUMMYFUNCTION("to_date(index(sort(GOOGLEFINANCE(A286, ""high"", today()-52*7, today(), ""DAILY""),2,0),2,1))"),45807.64583333333)</f>
        <v>45807.64583</v>
      </c>
      <c r="F286" s="32">
        <f>IFERROR(__xludf.DUMMYFUNCTION("GOOGLEFINANCE(A286,""low52"")"),50.1)</f>
        <v>50.1</v>
      </c>
      <c r="G286" s="33">
        <f>IFERROR(__xludf.DUMMYFUNCTION("to_date(index(sort(GOOGLEFINANCE(A286, ""low"", today()-52*7, today(), ""DAILY""),2,1),1,1))"),46111.64583333333)</f>
        <v>46111.64583</v>
      </c>
      <c r="H286" s="61">
        <f>IFERROR(__xludf.DUMMYFUNCTION("MIN(QUERY(SORT(GOOGLEFINANCE(A286,""low"",TODAY()-40,TODAY()),1,0),""select Col2 limit 20""))"),60.31)</f>
        <v>60.31</v>
      </c>
      <c r="I286" s="61">
        <f t="shared" si="1"/>
        <v>8.792710706</v>
      </c>
      <c r="J286" s="35" t="str">
        <f t="shared" si="2"/>
        <v>No need to fresh start</v>
      </c>
    </row>
    <row r="287">
      <c r="A287" s="7" t="s">
        <v>228</v>
      </c>
      <c r="B287" s="59">
        <f>IFERROR(__xludf.DUMMYFUNCTION("GOOGLEFINANCE(A287,""price"")"),402.0)</f>
        <v>402</v>
      </c>
      <c r="C287" s="60">
        <f>IFERROR(__xludf.DUMMYFUNCTION("MAX(QUERY(SORT(GOOGLEFINANCE(A287,""high"",TODAY()-100,TODAY()),1,0),""select Col2 limit 55""))"),477.0)</f>
        <v>477</v>
      </c>
      <c r="D287" s="32">
        <f>IFERROR(__xludf.DUMMYFUNCTION("GOOGLEFINANCE(A287,""high52"")"),634.2)</f>
        <v>634.2</v>
      </c>
      <c r="E287" s="33">
        <f>IFERROR(__xludf.DUMMYFUNCTION("to_date(index(sort(GOOGLEFINANCE(A287, ""high"", today()-52*7, today(), ""DAILY""),2,0),2,1))"),45890.64583333333)</f>
        <v>45890.64583</v>
      </c>
      <c r="F287" s="32">
        <f>IFERROR(__xludf.DUMMYFUNCTION("GOOGLEFINANCE(A287,""low52"")"),385.5)</f>
        <v>385.5</v>
      </c>
      <c r="G287" s="33">
        <f>IFERROR(__xludf.DUMMYFUNCTION("to_date(index(sort(GOOGLEFINANCE(A287, ""low"", today()-52*7, today(), ""DAILY""),2,1),1,1))"),46114.64583333333)</f>
        <v>46114.64583</v>
      </c>
      <c r="H287" s="61">
        <f>IFERROR(__xludf.DUMMYFUNCTION("MIN(QUERY(SORT(GOOGLEFINANCE(A287,""low"",TODAY()-40,TODAY()),1,0),""select Col2 limit 20""))"),401.3)</f>
        <v>401.3</v>
      </c>
      <c r="I287" s="61">
        <f t="shared" si="1"/>
        <v>18.65671642</v>
      </c>
      <c r="J287" s="35" t="str">
        <f t="shared" si="2"/>
        <v>Start GTT Order</v>
      </c>
    </row>
    <row r="288">
      <c r="A288" s="7" t="s">
        <v>500</v>
      </c>
      <c r="B288" s="59">
        <f>IFERROR(__xludf.DUMMYFUNCTION("GOOGLEFINANCE(A288,""price"")"),1655.0)</f>
        <v>1655</v>
      </c>
      <c r="C288" s="60">
        <f>IFERROR(__xludf.DUMMYFUNCTION("MAX(QUERY(SORT(GOOGLEFINANCE(A288,""high"",TODAY()-100,TODAY()),1,0),""select Col2 limit 55""))"),1984.0)</f>
        <v>1984</v>
      </c>
      <c r="D288" s="32">
        <f>IFERROR(__xludf.DUMMYFUNCTION("GOOGLEFINANCE(A288,""high52"")"),2040.0)</f>
        <v>2040</v>
      </c>
      <c r="E288" s="33">
        <f>IFERROR(__xludf.DUMMYFUNCTION("to_date(index(sort(GOOGLEFINANCE(A288, ""high"", today()-52*7, today(), ""DAILY""),2,0),2,1))"),45904.64583333333)</f>
        <v>45904.64583</v>
      </c>
      <c r="F288" s="32">
        <f>IFERROR(__xludf.DUMMYFUNCTION("GOOGLEFINANCE(A288,""low52"")"),1450.0)</f>
        <v>1450</v>
      </c>
      <c r="G288" s="33">
        <f>IFERROR(__xludf.DUMMYFUNCTION("to_date(index(sort(GOOGLEFINANCE(A288, ""low"", today()-52*7, today(), ""DAILY""),2,1),1,1))"),46114.64583333333)</f>
        <v>46114.64583</v>
      </c>
      <c r="H288" s="61">
        <f>IFERROR(__xludf.DUMMYFUNCTION("MIN(QUERY(SORT(GOOGLEFINANCE(A288,""low"",TODAY()-40,TODAY()),1,0),""select Col2 limit 20""))"),1582.0)</f>
        <v>1582</v>
      </c>
      <c r="I288" s="61">
        <f t="shared" si="1"/>
        <v>19.87915408</v>
      </c>
      <c r="J288" s="35" t="str">
        <f t="shared" si="2"/>
        <v>Start GTT Order</v>
      </c>
    </row>
    <row r="289">
      <c r="A289" s="7" t="s">
        <v>274</v>
      </c>
      <c r="B289" s="59">
        <f>IFERROR(__xludf.DUMMYFUNCTION("GOOGLEFINANCE(A289,""price"")"),160.75)</f>
        <v>160.75</v>
      </c>
      <c r="C289" s="60">
        <f>IFERROR(__xludf.DUMMYFUNCTION("MAX(QUERY(SORT(GOOGLEFINANCE(A289,""high"",TODAY()-100,TODAY()),1,0),""select Col2 limit 55""))"),207.18)</f>
        <v>207.18</v>
      </c>
      <c r="D289" s="32">
        <f>IFERROR(__xludf.DUMMYFUNCTION("GOOGLEFINANCE(A289,""high52"")"),215.42)</f>
        <v>215.42</v>
      </c>
      <c r="E289" s="33">
        <f>IFERROR(__xludf.DUMMYFUNCTION("to_date(index(sort(GOOGLEFINANCE(A289, ""high"", today()-52*7, today(), ""DAILY""),2,0),2,1))"),46064.64583333333)</f>
        <v>46064.64583</v>
      </c>
      <c r="F289" s="32">
        <f>IFERROR(__xludf.DUMMYFUNCTION("GOOGLEFINANCE(A289,""low52"")"),114.96)</f>
        <v>114.96</v>
      </c>
      <c r="G289" s="33">
        <f>IFERROR(__xludf.DUMMYFUNCTION("to_date(index(sort(GOOGLEFINANCE(A289, ""low"", today()-52*7, today(), ""DAILY""),2,1),1,1))"),45880.64583333333)</f>
        <v>45880.64583</v>
      </c>
      <c r="H289" s="61">
        <f>IFERROR(__xludf.DUMMYFUNCTION("MIN(QUERY(SORT(GOOGLEFINANCE(A289,""low"",TODAY()-40,TODAY()),1,0),""select Col2 limit 20""))"),148.76)</f>
        <v>148.76</v>
      </c>
      <c r="I289" s="61">
        <f t="shared" si="1"/>
        <v>28.88335925</v>
      </c>
      <c r="J289" s="35" t="str">
        <f t="shared" si="2"/>
        <v>No need to fresh start</v>
      </c>
    </row>
    <row r="290">
      <c r="A290" s="7" t="s">
        <v>292</v>
      </c>
      <c r="B290" s="59">
        <f>IFERROR(__xludf.DUMMYFUNCTION("GOOGLEFINANCE(A290,""price"")"),1795.6)</f>
        <v>1795.6</v>
      </c>
      <c r="C290" s="60">
        <f>IFERROR(__xludf.DUMMYFUNCTION("MAX(QUERY(SORT(GOOGLEFINANCE(A290,""high"",TODAY()-100,TODAY()),1,0),""select Col2 limit 55""))"),2007.6)</f>
        <v>2007.6</v>
      </c>
      <c r="D290" s="32">
        <f>IFERROR(__xludf.DUMMYFUNCTION("GOOGLEFINANCE(A290,""high52"")"),2496.3)</f>
        <v>2496.3</v>
      </c>
      <c r="E290" s="33">
        <f>IFERROR(__xludf.DUMMYFUNCTION("to_date(index(sort(GOOGLEFINANCE(A290, ""high"", today()-52*7, today(), ""DAILY""),2,0),2,1))"),45917.64583333333)</f>
        <v>45917.64583</v>
      </c>
      <c r="F290" s="32">
        <f>IFERROR(__xludf.DUMMYFUNCTION("GOOGLEFINANCE(A290,""low52"")"),1675.1)</f>
        <v>1675.1</v>
      </c>
      <c r="G290" s="33">
        <f>IFERROR(__xludf.DUMMYFUNCTION("to_date(index(sort(GOOGLEFINANCE(A290, ""low"", today()-52*7, today(), ""DAILY""),2,1),1,1))"),46160.64583333333)</f>
        <v>46160.64583</v>
      </c>
      <c r="H290" s="61">
        <f>IFERROR(__xludf.DUMMYFUNCTION("MIN(QUERY(SORT(GOOGLEFINANCE(A290,""low"",TODAY()-40,TODAY()),1,0),""select Col2 limit 20""))"),1675.1)</f>
        <v>1675.1</v>
      </c>
      <c r="I290" s="61">
        <f t="shared" si="1"/>
        <v>11.80663845</v>
      </c>
      <c r="J290" s="35" t="str">
        <f t="shared" si="2"/>
        <v>Start GTT Order</v>
      </c>
    </row>
    <row r="291">
      <c r="A291" s="7" t="s">
        <v>501</v>
      </c>
      <c r="B291" s="59">
        <f>IFERROR(__xludf.DUMMYFUNCTION("GOOGLEFINANCE(A291,""price"")"),160.26)</f>
        <v>160.26</v>
      </c>
      <c r="C291" s="60">
        <f>IFERROR(__xludf.DUMMYFUNCTION("MAX(QUERY(SORT(GOOGLEFINANCE(A291,""high"",TODAY()-100,TODAY()),1,0),""select Col2 limit 55""))"),166.0)</f>
        <v>166</v>
      </c>
      <c r="D291" s="32">
        <f>IFERROR(__xludf.DUMMYFUNCTION("GOOGLEFINANCE(A291,""high52"")"),224.8)</f>
        <v>224.8</v>
      </c>
      <c r="E291" s="33">
        <f>IFERROR(__xludf.DUMMYFUNCTION("to_date(index(sort(GOOGLEFINANCE(A291, ""high"", today()-52*7, today(), ""DAILY""),2,0),2,1))"),45888.64583333333)</f>
        <v>45888.64583</v>
      </c>
      <c r="F291" s="32">
        <f>IFERROR(__xludf.DUMMYFUNCTION("GOOGLEFINANCE(A291,""low52"")"),136.1)</f>
        <v>136.1</v>
      </c>
      <c r="G291" s="33">
        <f>IFERROR(__xludf.DUMMYFUNCTION("to_date(index(sort(GOOGLEFINANCE(A291, ""low"", today()-52*7, today(), ""DAILY""),2,1),1,1))"),46111.64583333333)</f>
        <v>46111.64583</v>
      </c>
      <c r="H291" s="61">
        <f>IFERROR(__xludf.DUMMYFUNCTION("MIN(QUERY(SORT(GOOGLEFINANCE(A291,""low"",TODAY()-40,TODAY()),1,0),""select Col2 limit 20""))"),150.5)</f>
        <v>150.5</v>
      </c>
      <c r="I291" s="61">
        <f t="shared" si="1"/>
        <v>3.58167977</v>
      </c>
      <c r="J291" s="35" t="str">
        <f t="shared" si="2"/>
        <v>No need to fresh start</v>
      </c>
    </row>
    <row r="292">
      <c r="A292" s="7" t="s">
        <v>502</v>
      </c>
      <c r="B292" s="59">
        <f>IFERROR(__xludf.DUMMYFUNCTION("GOOGLEFINANCE(A292,""price"")"),1190.0)</f>
        <v>1190</v>
      </c>
      <c r="C292" s="60">
        <f>IFERROR(__xludf.DUMMYFUNCTION("MAX(QUERY(SORT(GOOGLEFINANCE(A292,""high"",TODAY()-100,TODAY()),1,0),""select Col2 limit 55""))"),1250.0)</f>
        <v>1250</v>
      </c>
      <c r="D292" s="32">
        <f>IFERROR(__xludf.DUMMYFUNCTION("GOOGLEFINANCE(A292,""high52"")"),2019.8)</f>
        <v>2019.8</v>
      </c>
      <c r="E292" s="33">
        <f>IFERROR(__xludf.DUMMYFUNCTION("to_date(index(sort(GOOGLEFINANCE(A292, ""high"", today()-52*7, today(), ""DAILY""),2,0),2,1))"),45961.64583333333)</f>
        <v>45961.64583</v>
      </c>
      <c r="F292" s="32">
        <f>IFERROR(__xludf.DUMMYFUNCTION("GOOGLEFINANCE(A292,""low52"")"),883.2)</f>
        <v>883.2</v>
      </c>
      <c r="G292" s="33">
        <f>IFERROR(__xludf.DUMMYFUNCTION("to_date(index(sort(GOOGLEFINANCE(A292, ""low"", today()-52*7, today(), ""DAILY""),2,1),1,1))"),46111.64583333333)</f>
        <v>46111.64583</v>
      </c>
      <c r="H292" s="61">
        <f>IFERROR(__xludf.DUMMYFUNCTION("MIN(QUERY(SORT(GOOGLEFINANCE(A292,""low"",TODAY()-40,TODAY()),1,0),""select Col2 limit 20""))"),1030.2)</f>
        <v>1030.2</v>
      </c>
      <c r="I292" s="61">
        <f t="shared" si="1"/>
        <v>5.042016807</v>
      </c>
      <c r="J292" s="35" t="str">
        <f t="shared" si="2"/>
        <v>No need to fresh start</v>
      </c>
    </row>
    <row r="293">
      <c r="A293" s="7" t="s">
        <v>503</v>
      </c>
      <c r="B293" s="59">
        <f>IFERROR(__xludf.DUMMYFUNCTION("GOOGLEFINANCE(A293,""price"")"),620.5)</f>
        <v>620.5</v>
      </c>
      <c r="C293" s="60">
        <f>IFERROR(__xludf.DUMMYFUNCTION("MAX(QUERY(SORT(GOOGLEFINANCE(A293,""high"",TODAY()-100,TODAY()),1,0),""select Col2 limit 55""))"),654.45)</f>
        <v>654.45</v>
      </c>
      <c r="D293" s="32">
        <f>IFERROR(__xludf.DUMMYFUNCTION("GOOGLEFINANCE(A293,""high52"")"),654.45)</f>
        <v>654.45</v>
      </c>
      <c r="E293" s="33">
        <f>IFERROR(__xludf.DUMMYFUNCTION("to_date(index(sort(GOOGLEFINANCE(A293, ""high"", today()-52*7, today(), ""DAILY""),2,0),2,1))"),46148.64583333333)</f>
        <v>46148.64583</v>
      </c>
      <c r="F293" s="32">
        <f>IFERROR(__xludf.DUMMYFUNCTION("GOOGLEFINANCE(A293,""low52"")"),418.5)</f>
        <v>418.5</v>
      </c>
      <c r="G293" s="33">
        <f>IFERROR(__xludf.DUMMYFUNCTION("to_date(index(sort(GOOGLEFINANCE(A293, ""low"", today()-52*7, today(), ""DAILY""),2,1),1,1))"),45985.64583333333)</f>
        <v>45985.64583</v>
      </c>
      <c r="H293" s="61">
        <f>IFERROR(__xludf.DUMMYFUNCTION("MIN(QUERY(SORT(GOOGLEFINANCE(A293,""low"",TODAY()-40,TODAY()),1,0),""select Col2 limit 20""))"),539.6)</f>
        <v>539.6</v>
      </c>
      <c r="I293" s="61">
        <f t="shared" si="1"/>
        <v>5.471394037</v>
      </c>
      <c r="J293" s="35" t="str">
        <f t="shared" si="2"/>
        <v>No need to fresh start</v>
      </c>
    </row>
    <row r="294">
      <c r="A294" s="7" t="s">
        <v>504</v>
      </c>
      <c r="B294" s="59">
        <f>IFERROR(__xludf.DUMMYFUNCTION("GOOGLEFINANCE(A294,""price"")"),3242.8)</f>
        <v>3242.8</v>
      </c>
      <c r="C294" s="60">
        <f>IFERROR(__xludf.DUMMYFUNCTION("MAX(QUERY(SORT(GOOGLEFINANCE(A294,""high"",TODAY()-100,TODAY()),1,0),""select Col2 limit 55""))"),3480.0)</f>
        <v>3480</v>
      </c>
      <c r="D294" s="32">
        <f>IFERROR(__xludf.DUMMYFUNCTION("GOOGLEFINANCE(A294,""high52"")"),3480.0)</f>
        <v>3480</v>
      </c>
      <c r="E294" s="33">
        <f>IFERROR(__xludf.DUMMYFUNCTION("to_date(index(sort(GOOGLEFINANCE(A294, ""high"", today()-52*7, today(), ""DAILY""),2,0),2,1))"),46163.64583333333)</f>
        <v>46163.64583</v>
      </c>
      <c r="F294" s="32">
        <f>IFERROR(__xludf.DUMMYFUNCTION("GOOGLEFINANCE(A294,""low52"")"),1278.1)</f>
        <v>1278.1</v>
      </c>
      <c r="G294" s="33">
        <f>IFERROR(__xludf.DUMMYFUNCTION("to_date(index(sort(GOOGLEFINANCE(A294, ""low"", today()-52*7, today(), ""DAILY""),2,1),1,1))"),45805.64583333333)</f>
        <v>45805.64583</v>
      </c>
      <c r="H294" s="61">
        <f>IFERROR(__xludf.DUMMYFUNCTION("MIN(QUERY(SORT(GOOGLEFINANCE(A294,""low"",TODAY()-40,TODAY()),1,0),""select Col2 limit 20""))"),2833.1)</f>
        <v>2833.1</v>
      </c>
      <c r="I294" s="61">
        <f t="shared" si="1"/>
        <v>7.314666338</v>
      </c>
      <c r="J294" s="35" t="str">
        <f t="shared" si="2"/>
        <v>No need to fresh start</v>
      </c>
    </row>
    <row r="295">
      <c r="A295" s="7" t="s">
        <v>270</v>
      </c>
      <c r="B295" s="59">
        <f>IFERROR(__xludf.DUMMYFUNCTION("GOOGLEFINANCE(A295,""price"")"),1099.0)</f>
        <v>1099</v>
      </c>
      <c r="C295" s="60">
        <f>IFERROR(__xludf.DUMMYFUNCTION("MAX(QUERY(SORT(GOOGLEFINANCE(A295,""high"",TODAY()-100,TODAY()),1,0),""select Col2 limit 55""))"),1190.7)</f>
        <v>1190.7</v>
      </c>
      <c r="D295" s="32">
        <f>IFERROR(__xludf.DUMMYFUNCTION("GOOGLEFINANCE(A295,""high52"")"),1586.9)</f>
        <v>1586.9</v>
      </c>
      <c r="E295" s="33">
        <f>IFERROR(__xludf.DUMMYFUNCTION("to_date(index(sort(GOOGLEFINANCE(A295, ""high"", today()-52*7, today(), ""DAILY""),2,0),2,1))"),45842.64583333333)</f>
        <v>45842.64583</v>
      </c>
      <c r="F295" s="32">
        <f>IFERROR(__xludf.DUMMYFUNCTION("GOOGLEFINANCE(A295,""low52"")"),900.0)</f>
        <v>900</v>
      </c>
      <c r="G295" s="33">
        <f>IFERROR(__xludf.DUMMYFUNCTION("to_date(index(sort(GOOGLEFINANCE(A295, ""low"", today()-52*7, today(), ""DAILY""),2,1),1,1))"),46104.64583333333)</f>
        <v>46104.64583</v>
      </c>
      <c r="H295" s="61">
        <f>IFERROR(__xludf.DUMMYFUNCTION("MIN(QUERY(SORT(GOOGLEFINANCE(A295,""low"",TODAY()-40,TODAY()),1,0),""select Col2 limit 20""))"),1024.0)</f>
        <v>1024</v>
      </c>
      <c r="I295" s="61">
        <f t="shared" si="1"/>
        <v>8.343949045</v>
      </c>
      <c r="J295" s="35" t="str">
        <f t="shared" si="2"/>
        <v>No need to fresh start</v>
      </c>
    </row>
    <row r="296">
      <c r="A296" s="7" t="s">
        <v>249</v>
      </c>
      <c r="B296" s="59">
        <f>IFERROR(__xludf.DUMMYFUNCTION("GOOGLEFINANCE(A296,""price"")"),855.0)</f>
        <v>855</v>
      </c>
      <c r="C296" s="60">
        <f>IFERROR(__xludf.DUMMYFUNCTION("MAX(QUERY(SORT(GOOGLEFINANCE(A296,""high"",TODAY()-100,TODAY()),1,0),""select Col2 limit 55""))"),1029.95)</f>
        <v>1029.95</v>
      </c>
      <c r="D296" s="32">
        <f>IFERROR(__xludf.DUMMYFUNCTION("GOOGLEFINANCE(A296,""high52"")"),1473.8)</f>
        <v>1473.8</v>
      </c>
      <c r="E296" s="33">
        <f>IFERROR(__xludf.DUMMYFUNCTION("to_date(index(sort(GOOGLEFINANCE(A296, ""high"", today()-52*7, today(), ""DAILY""),2,0),2,1))"),45861.64583333333)</f>
        <v>45861.64583</v>
      </c>
      <c r="F296" s="32">
        <f>IFERROR(__xludf.DUMMYFUNCTION("GOOGLEFINANCE(A296,""low52"")"),756.85)</f>
        <v>756.85</v>
      </c>
      <c r="G296" s="33">
        <f>IFERROR(__xludf.DUMMYFUNCTION("to_date(index(sort(GOOGLEFINANCE(A296, ""low"", today()-52*7, today(), ""DAILY""),2,1),1,1))"),46055.64583333333)</f>
        <v>46055.64583</v>
      </c>
      <c r="H296" s="61">
        <f>IFERROR(__xludf.DUMMYFUNCTION("MIN(QUERY(SORT(GOOGLEFINANCE(A296,""low"",TODAY()-40,TODAY()),1,0),""select Col2 limit 20""))"),826.35)</f>
        <v>826.35</v>
      </c>
      <c r="I296" s="61">
        <f t="shared" si="1"/>
        <v>20.4619883</v>
      </c>
      <c r="J296" s="35" t="str">
        <f t="shared" si="2"/>
        <v>No need to fresh start</v>
      </c>
    </row>
    <row r="297">
      <c r="A297" s="7" t="s">
        <v>505</v>
      </c>
      <c r="B297" s="59">
        <f>IFERROR(__xludf.DUMMYFUNCTION("GOOGLEFINANCE(A297,""price"")"),1450.8)</f>
        <v>1450.8</v>
      </c>
      <c r="C297" s="60">
        <f>IFERROR(__xludf.DUMMYFUNCTION("MAX(QUERY(SORT(GOOGLEFINANCE(A297,""high"",TODAY()-100,TODAY()),1,0),""select Col2 limit 55""))"),1823.35)</f>
        <v>1823.35</v>
      </c>
      <c r="D297" s="32">
        <f>IFERROR(__xludf.DUMMYFUNCTION("GOOGLEFINANCE(A297,""high52"")"),1823.35)</f>
        <v>1823.35</v>
      </c>
      <c r="E297" s="33">
        <f>IFERROR(__xludf.DUMMYFUNCTION("to_date(index(sort(GOOGLEFINANCE(A297, ""high"", today()-52*7, today(), ""DAILY""),2,0),2,1))"),46136.64583333333)</f>
        <v>46136.64583</v>
      </c>
      <c r="F297" s="32">
        <f>IFERROR(__xludf.DUMMYFUNCTION("GOOGLEFINANCE(A297,""low52"")"),824.05)</f>
        <v>824.05</v>
      </c>
      <c r="G297" s="33">
        <f>IFERROR(__xludf.DUMMYFUNCTION("to_date(index(sort(GOOGLEFINANCE(A297, ""low"", today()-52*7, today(), ""DAILY""),2,1),1,1))"),46111.64583333333)</f>
        <v>46111.64583</v>
      </c>
      <c r="H297" s="61">
        <f>IFERROR(__xludf.DUMMYFUNCTION("MIN(QUERY(SORT(GOOGLEFINANCE(A297,""low"",TODAY()-40,TODAY()),1,0),""select Col2 limit 20""))"),1282.0)</f>
        <v>1282</v>
      </c>
      <c r="I297" s="61">
        <f t="shared" si="1"/>
        <v>25.67893576</v>
      </c>
      <c r="J297" s="35" t="str">
        <f t="shared" si="2"/>
        <v>No need to fresh start</v>
      </c>
    </row>
    <row r="298">
      <c r="A298" s="7" t="s">
        <v>506</v>
      </c>
      <c r="B298" s="59">
        <f>IFERROR(__xludf.DUMMYFUNCTION("GOOGLEFINANCE(A298,""price"")"),117.0)</f>
        <v>117</v>
      </c>
      <c r="C298" s="60">
        <f>IFERROR(__xludf.DUMMYFUNCTION("MAX(QUERY(SORT(GOOGLEFINANCE(A298,""high"",TODAY()-100,TODAY()),1,0),""select Col2 limit 55""))"),128.38)</f>
        <v>128.38</v>
      </c>
      <c r="D298" s="32">
        <f>IFERROR(__xludf.DUMMYFUNCTION("GOOGLEFINANCE(A298,""high52"")"),180.68)</f>
        <v>180.68</v>
      </c>
      <c r="E298" s="33">
        <f>IFERROR(__xludf.DUMMYFUNCTION("to_date(index(sort(GOOGLEFINANCE(A298, ""high"", today()-52*7, today(), ""DAILY""),2,0),2,1))"),45908.64583333333)</f>
        <v>45908.64583</v>
      </c>
      <c r="F298" s="32">
        <f>IFERROR(__xludf.DUMMYFUNCTION("GOOGLEFINANCE(A298,""low52"")"),99.61)</f>
        <v>99.61</v>
      </c>
      <c r="G298" s="33">
        <f>IFERROR(__xludf.DUMMYFUNCTION("to_date(index(sort(GOOGLEFINANCE(A298, ""low"", today()-52*7, today(), ""DAILY""),2,1),1,1))"),46097.64583333333)</f>
        <v>46097.64583</v>
      </c>
      <c r="H298" s="61">
        <f>IFERROR(__xludf.DUMMYFUNCTION("MIN(QUERY(SORT(GOOGLEFINANCE(A298,""low"",TODAY()-40,TODAY()),1,0),""select Col2 limit 20""))"),106.9)</f>
        <v>106.9</v>
      </c>
      <c r="I298" s="61">
        <f t="shared" si="1"/>
        <v>9.726495726</v>
      </c>
      <c r="J298" s="35" t="str">
        <f t="shared" si="2"/>
        <v>No need to fresh start</v>
      </c>
    </row>
    <row r="299">
      <c r="A299" s="7" t="s">
        <v>507</v>
      </c>
      <c r="B299" s="59">
        <f>IFERROR(__xludf.DUMMYFUNCTION("GOOGLEFINANCE(A299,""price"")"),78.14)</f>
        <v>78.14</v>
      </c>
      <c r="C299" s="60">
        <f>IFERROR(__xludf.DUMMYFUNCTION("MAX(QUERY(SORT(GOOGLEFINANCE(A299,""high"",TODAY()-100,TODAY()),1,0),""select Col2 limit 55""))"),93.7)</f>
        <v>93.7</v>
      </c>
      <c r="D299" s="32">
        <f>IFERROR(__xludf.DUMMYFUNCTION("GOOGLEFINANCE(A299,""high52"")"),113.4)</f>
        <v>113.4</v>
      </c>
      <c r="E299" s="33">
        <f>IFERROR(__xludf.DUMMYFUNCTION("to_date(index(sort(GOOGLEFINANCE(A299, ""high"", today()-52*7, today(), ""DAILY""),2,0),2,1))"),45826.64583333333)</f>
        <v>45826.64583</v>
      </c>
      <c r="F299" s="32">
        <f>IFERROR(__xludf.DUMMYFUNCTION("GOOGLEFINANCE(A299,""low52"")"),62.5)</f>
        <v>62.5</v>
      </c>
      <c r="G299" s="33">
        <f>IFERROR(__xludf.DUMMYFUNCTION("to_date(index(sort(GOOGLEFINANCE(A299, ""low"", today()-52*7, today(), ""DAILY""),2,1),1,1))"),46000.64583333333)</f>
        <v>46000.64583</v>
      </c>
      <c r="H299" s="61">
        <f>IFERROR(__xludf.DUMMYFUNCTION("MIN(QUERY(SORT(GOOGLEFINANCE(A299,""low"",TODAY()-40,TODAY()),1,0),""select Col2 limit 20""))"),72.71)</f>
        <v>72.71</v>
      </c>
      <c r="I299" s="61">
        <f t="shared" si="1"/>
        <v>19.91297671</v>
      </c>
      <c r="J299" s="35" t="str">
        <f t="shared" si="2"/>
        <v>Start GTT Order</v>
      </c>
    </row>
    <row r="300">
      <c r="A300" s="7" t="s">
        <v>508</v>
      </c>
      <c r="B300" s="59">
        <f>IFERROR(__xludf.DUMMYFUNCTION("GOOGLEFINANCE(A300,""price"")"),267.7)</f>
        <v>267.7</v>
      </c>
      <c r="C300" s="60">
        <f>IFERROR(__xludf.DUMMYFUNCTION("MAX(QUERY(SORT(GOOGLEFINANCE(A300,""high"",TODAY()-100,TODAY()),1,0),""select Col2 limit 55""))"),307.9)</f>
        <v>307.9</v>
      </c>
      <c r="D300" s="32">
        <f>IFERROR(__xludf.DUMMYFUNCTION("GOOGLEFINANCE(A300,""high52"")"),452.8)</f>
        <v>452.8</v>
      </c>
      <c r="E300" s="33">
        <f>IFERROR(__xludf.DUMMYFUNCTION("to_date(index(sort(GOOGLEFINANCE(A300, ""high"", today()-52*7, today(), ""DAILY""),2,0),2,1))"),45846.64583333333)</f>
        <v>45846.64583</v>
      </c>
      <c r="F300" s="32">
        <f>IFERROR(__xludf.DUMMYFUNCTION("GOOGLEFINANCE(A300,""low52"")"),207.15)</f>
        <v>207.15</v>
      </c>
      <c r="G300" s="33">
        <f>IFERROR(__xludf.DUMMYFUNCTION("to_date(index(sort(GOOGLEFINANCE(A300, ""low"", today()-52*7, today(), ""DAILY""),2,1),1,1))"),46111.64583333333)</f>
        <v>46111.64583</v>
      </c>
      <c r="H300" s="61">
        <f>IFERROR(__xludf.DUMMYFUNCTION("MIN(QUERY(SORT(GOOGLEFINANCE(A300,""low"",TODAY()-40,TODAY()),1,0),""select Col2 limit 20""))"),252.3)</f>
        <v>252.3</v>
      </c>
      <c r="I300" s="61">
        <f t="shared" si="1"/>
        <v>15.01680986</v>
      </c>
      <c r="J300" s="35" t="str">
        <f t="shared" si="2"/>
        <v>Start GTT Order</v>
      </c>
    </row>
    <row r="301">
      <c r="A301" s="7" t="s">
        <v>509</v>
      </c>
      <c r="B301" s="59">
        <f>IFERROR(__xludf.DUMMYFUNCTION("GOOGLEFINANCE(A301,""price"")"),328.5)</f>
        <v>328.5</v>
      </c>
      <c r="C301" s="60">
        <f>IFERROR(__xludf.DUMMYFUNCTION("MAX(QUERY(SORT(GOOGLEFINANCE(A301,""high"",TODAY()-100,TODAY()),1,0),""select Col2 limit 55""))"),399.85)</f>
        <v>399.85</v>
      </c>
      <c r="D301" s="32">
        <f>IFERROR(__xludf.DUMMYFUNCTION("GOOGLEFINANCE(A301,""high52"")"),474.0)</f>
        <v>474</v>
      </c>
      <c r="E301" s="33">
        <f>IFERROR(__xludf.DUMMYFUNCTION("to_date(index(sort(GOOGLEFINANCE(A301, ""high"", today()-52*7, today(), ""DAILY""),2,0),2,1))"),46064.64583333333)</f>
        <v>46064.64583</v>
      </c>
      <c r="F301" s="32">
        <f>IFERROR(__xludf.DUMMYFUNCTION("GOOGLEFINANCE(A301,""low52"")"),306.4)</f>
        <v>306.4</v>
      </c>
      <c r="G301" s="33">
        <f>IFERROR(__xludf.DUMMYFUNCTION("to_date(index(sort(GOOGLEFINANCE(A301, ""low"", today()-52*7, today(), ""DAILY""),2,1),1,1))"),46160.64583333333)</f>
        <v>46160.64583</v>
      </c>
      <c r="H301" s="61">
        <f>IFERROR(__xludf.DUMMYFUNCTION("MIN(QUERY(SORT(GOOGLEFINANCE(A301,""low"",TODAY()-40,TODAY()),1,0),""select Col2 limit 20""))"),306.4)</f>
        <v>306.4</v>
      </c>
      <c r="I301" s="61">
        <f t="shared" si="1"/>
        <v>21.71993912</v>
      </c>
      <c r="J301" s="35" t="str">
        <f t="shared" si="2"/>
        <v>No need to fresh start</v>
      </c>
    </row>
    <row r="302">
      <c r="A302" s="7" t="s">
        <v>510</v>
      </c>
      <c r="B302" s="59">
        <f>IFERROR(__xludf.DUMMYFUNCTION("GOOGLEFINANCE(A302,""price"")"),268.58)</f>
        <v>268.58</v>
      </c>
      <c r="C302" s="60">
        <f>IFERROR(__xludf.DUMMYFUNCTION("MAX(QUERY(SORT(GOOGLEFINANCE(A302,""high"",TODAY()-100,TODAY()),1,0),""select Col2 limit 55""))"),282.05)</f>
        <v>282.05</v>
      </c>
      <c r="D302" s="32">
        <f>IFERROR(__xludf.DUMMYFUNCTION("GOOGLEFINANCE(A302,""high52"")"),403.8)</f>
        <v>403.8</v>
      </c>
      <c r="E302" s="33">
        <f>IFERROR(__xludf.DUMMYFUNCTION("to_date(index(sort(GOOGLEFINANCE(A302, ""high"", today()-52*7, today(), ""DAILY""),2,0),2,1))"),45833.64583333333)</f>
        <v>45833.64583</v>
      </c>
      <c r="F302" s="32">
        <f>IFERROR(__xludf.DUMMYFUNCTION("GOOGLEFINANCE(A302,""low52"")"),202.0)</f>
        <v>202</v>
      </c>
      <c r="G302" s="33">
        <f>IFERROR(__xludf.DUMMYFUNCTION("to_date(index(sort(GOOGLEFINANCE(A302, ""low"", today()-52*7, today(), ""DAILY""),2,1),1,1))"),46083.64583333333)</f>
        <v>46083.64583</v>
      </c>
      <c r="H302" s="61">
        <f>IFERROR(__xludf.DUMMYFUNCTION("MIN(QUERY(SORT(GOOGLEFINANCE(A302,""low"",TODAY()-40,TODAY()),1,0),""select Col2 limit 20""))"),211.5)</f>
        <v>211.5</v>
      </c>
      <c r="I302" s="61">
        <f t="shared" si="1"/>
        <v>5.01526547</v>
      </c>
      <c r="J302" s="35" t="str">
        <f t="shared" si="2"/>
        <v>No need to fresh start</v>
      </c>
    </row>
    <row r="303">
      <c r="A303" s="7" t="s">
        <v>285</v>
      </c>
      <c r="B303" s="59">
        <f>IFERROR(__xludf.DUMMYFUNCTION("GOOGLEFINANCE(A303,""price"")"),345.55)</f>
        <v>345.55</v>
      </c>
      <c r="C303" s="60">
        <f>IFERROR(__xludf.DUMMYFUNCTION("MAX(QUERY(SORT(GOOGLEFINANCE(A303,""high"",TODAY()-100,TODAY()),1,0),""select Col2 limit 55""))"),349.9)</f>
        <v>349.9</v>
      </c>
      <c r="D303" s="32">
        <f>IFERROR(__xludf.DUMMYFUNCTION("GOOGLEFINANCE(A303,""high52"")"),349.9)</f>
        <v>349.9</v>
      </c>
      <c r="E303" s="33">
        <f>IFERROR(__xludf.DUMMYFUNCTION("to_date(index(sort(GOOGLEFINANCE(A303, ""high"", today()-52*7, today(), ""DAILY""),2,0),2,1))"),46149.64583333333)</f>
        <v>46149.64583</v>
      </c>
      <c r="F303" s="32">
        <f>IFERROR(__xludf.DUMMYFUNCTION("GOOGLEFINANCE(A303,""low52"")"),204.01)</f>
        <v>204.01</v>
      </c>
      <c r="G303" s="33">
        <f>IFERROR(__xludf.DUMMYFUNCTION("to_date(index(sort(GOOGLEFINANCE(A303, ""low"", today()-52*7, today(), ""DAILY""),2,1),1,1))"),45814.64583333333)</f>
        <v>45814.64583</v>
      </c>
      <c r="H303" s="61">
        <f>IFERROR(__xludf.DUMMYFUNCTION("MIN(QUERY(SORT(GOOGLEFINANCE(A303,""low"",TODAY()-40,TODAY()),1,0),""select Col2 limit 20""))"),310.0)</f>
        <v>310</v>
      </c>
      <c r="I303" s="61">
        <f t="shared" si="1"/>
        <v>1.258862683</v>
      </c>
      <c r="J303" s="35" t="str">
        <f t="shared" si="2"/>
        <v>No need to fresh start</v>
      </c>
    </row>
    <row r="304">
      <c r="A304" s="7" t="s">
        <v>263</v>
      </c>
      <c r="B304" s="59" t="str">
        <f>IFERROR(__xludf.DUMMYFUNCTION("GOOGLEFINANCE(A304,""price"")"),"#N/A")</f>
        <v>#N/A</v>
      </c>
      <c r="C304" s="60" t="str">
        <f>IFERROR(__xludf.DUMMYFUNCTION("MAX(QUERY(SORT(GOOGLEFINANCE(A304,""high"",TODAY()-100,TODAY()),1,0),""select Col2 limit 55""))"),"#N/A")</f>
        <v>#N/A</v>
      </c>
      <c r="D304" s="32" t="str">
        <f>IFERROR(__xludf.DUMMYFUNCTION("GOOGLEFINANCE(A304,""high52"")"),"#N/A")</f>
        <v>#N/A</v>
      </c>
      <c r="E304" s="33" t="str">
        <f>IFERROR(__xludf.DUMMYFUNCTION("to_date(index(sort(GOOGLEFINANCE(A304, ""high"", today()-52*7, today(), ""DAILY""),2,0),2,1))"),"#N/A")</f>
        <v>#N/A</v>
      </c>
      <c r="F304" s="32" t="str">
        <f>IFERROR(__xludf.DUMMYFUNCTION("GOOGLEFINANCE(A304,""low52"")"),"#N/A")</f>
        <v>#N/A</v>
      </c>
      <c r="G304" s="33" t="str">
        <f>IFERROR(__xludf.DUMMYFUNCTION("to_date(index(sort(GOOGLEFINANCE(A304, ""low"", today()-52*7, today(), ""DAILY""),2,1),1,1))"),"#N/A")</f>
        <v>#N/A</v>
      </c>
      <c r="H304" s="61" t="str">
        <f>IFERROR(__xludf.DUMMYFUNCTION("MIN(QUERY(SORT(GOOGLEFINANCE(A304,""low"",TODAY()-40,TODAY()),1,0),""select Col2 limit 20""))"),"#N/A")</f>
        <v>#N/A</v>
      </c>
      <c r="I304" s="61" t="str">
        <f t="shared" si="1"/>
        <v>#N/A</v>
      </c>
      <c r="J304" s="35" t="str">
        <f t="shared" si="2"/>
        <v>#N/A</v>
      </c>
    </row>
    <row r="305">
      <c r="A305" s="7" t="s">
        <v>282</v>
      </c>
      <c r="B305" s="59">
        <f>IFERROR(__xludf.DUMMYFUNCTION("GOOGLEFINANCE(A305,""price"")"),697.7)</f>
        <v>697.7</v>
      </c>
      <c r="C305" s="60">
        <f>IFERROR(__xludf.DUMMYFUNCTION("MAX(QUERY(SORT(GOOGLEFINANCE(A305,""high"",TODAY()-100,TODAY()),1,0),""select Col2 limit 55""))"),779.0)</f>
        <v>779</v>
      </c>
      <c r="D305" s="32">
        <f>IFERROR(__xludf.DUMMYFUNCTION("GOOGLEFINANCE(A305,""high52"")"),1294.2)</f>
        <v>1294.2</v>
      </c>
      <c r="E305" s="33">
        <f>IFERROR(__xludf.DUMMYFUNCTION("to_date(index(sort(GOOGLEFINANCE(A305, ""high"", today()-52*7, today(), ""DAILY""),2,0),2,1))"),45806.64583333333)</f>
        <v>45806.64583</v>
      </c>
      <c r="F305" s="32">
        <f>IFERROR(__xludf.DUMMYFUNCTION("GOOGLEFINANCE(A305,""low52"")"),605.0)</f>
        <v>605</v>
      </c>
      <c r="G305" s="33">
        <f>IFERROR(__xludf.DUMMYFUNCTION("to_date(index(sort(GOOGLEFINANCE(A305, ""low"", today()-52*7, today(), ""DAILY""),2,1),1,1))"),46111.64583333333)</f>
        <v>46111.64583</v>
      </c>
      <c r="H305" s="61">
        <f>IFERROR(__xludf.DUMMYFUNCTION("MIN(QUERY(SORT(GOOGLEFINANCE(A305,""low"",TODAY()-40,TODAY()),1,0),""select Col2 limit 20""))"),676.05)</f>
        <v>676.05</v>
      </c>
      <c r="I305" s="61">
        <f t="shared" si="1"/>
        <v>11.65257274</v>
      </c>
      <c r="J305" s="35" t="str">
        <f t="shared" si="2"/>
        <v>Start GTT Order</v>
      </c>
    </row>
    <row r="306">
      <c r="A306" s="7" t="s">
        <v>79</v>
      </c>
      <c r="B306" s="59">
        <f>IFERROR(__xludf.DUMMYFUNCTION("GOOGLEFINANCE(A306,""price"")"),302.2)</f>
        <v>302.2</v>
      </c>
      <c r="C306" s="60">
        <f>IFERROR(__xludf.DUMMYFUNCTION("MAX(QUERY(SORT(GOOGLEFINANCE(A306,""high"",TODAY()-100,TODAY()),1,0),""select Col2 limit 55""))"),319.9)</f>
        <v>319.9</v>
      </c>
      <c r="D306" s="32">
        <f>IFERROR(__xludf.DUMMYFUNCTION("GOOGLEFINANCE(A306,""high52"")"),372.85)</f>
        <v>372.85</v>
      </c>
      <c r="E306" s="33">
        <f>IFERROR(__xludf.DUMMYFUNCTION("to_date(index(sort(GOOGLEFINANCE(A306, ""high"", today()-52*7, today(), ""DAILY""),2,0),2,1))"),45938.64583333333)</f>
        <v>45938.64583</v>
      </c>
      <c r="F306" s="32">
        <f>IFERROR(__xludf.DUMMYFUNCTION("GOOGLEFINANCE(A306,""low52"")"),237.0)</f>
        <v>237</v>
      </c>
      <c r="G306" s="33">
        <f>IFERROR(__xludf.DUMMYFUNCTION("to_date(index(sort(GOOGLEFINANCE(A306, ""low"", today()-52*7, today(), ""DAILY""),2,1),1,1))"),46111.64583333333)</f>
        <v>46111.64583</v>
      </c>
      <c r="H306" s="61">
        <f>IFERROR(__xludf.DUMMYFUNCTION("MIN(QUERY(SORT(GOOGLEFINANCE(A306,""low"",TODAY()-40,TODAY()),1,0),""select Col2 limit 20""))"),277.5)</f>
        <v>277.5</v>
      </c>
      <c r="I306" s="61">
        <f t="shared" si="1"/>
        <v>5.857048312</v>
      </c>
      <c r="J306" s="35" t="str">
        <f t="shared" si="2"/>
        <v>No need to fresh start</v>
      </c>
    </row>
    <row r="307">
      <c r="A307" s="7" t="s">
        <v>511</v>
      </c>
      <c r="B307" s="59">
        <f>IFERROR(__xludf.DUMMYFUNCTION("GOOGLEFINANCE(A307,""price"")"),492.5)</f>
        <v>492.5</v>
      </c>
      <c r="C307" s="60">
        <f>IFERROR(__xludf.DUMMYFUNCTION("MAX(QUERY(SORT(GOOGLEFINANCE(A307,""high"",TODAY()-100,TODAY()),1,0),""select Col2 limit 55""))"),529.8)</f>
        <v>529.8</v>
      </c>
      <c r="D307" s="32">
        <f>IFERROR(__xludf.DUMMYFUNCTION("GOOGLEFINANCE(A307,""high52"")"),529.8)</f>
        <v>529.8</v>
      </c>
      <c r="E307" s="33">
        <f>IFERROR(__xludf.DUMMYFUNCTION("to_date(index(sort(GOOGLEFINANCE(A307, ""high"", today()-52*7, today(), ""DAILY""),2,0),2,1))"),46167.64583333333)</f>
        <v>46167.64583</v>
      </c>
      <c r="F307" s="32">
        <f>IFERROR(__xludf.DUMMYFUNCTION("GOOGLEFINANCE(A307,""low52"")"),259.5)</f>
        <v>259.5</v>
      </c>
      <c r="G307" s="33">
        <f>IFERROR(__xludf.DUMMYFUNCTION("to_date(index(sort(GOOGLEFINANCE(A307, ""low"", today()-52*7, today(), ""DAILY""),2,1),1,1))"),46049.64583333333)</f>
        <v>46049.64583</v>
      </c>
      <c r="H307" s="61">
        <f>IFERROR(__xludf.DUMMYFUNCTION("MIN(QUERY(SORT(GOOGLEFINANCE(A307,""low"",TODAY()-40,TODAY()),1,0),""select Col2 limit 20""))"),400.6)</f>
        <v>400.6</v>
      </c>
      <c r="I307" s="61">
        <f t="shared" si="1"/>
        <v>7.573604061</v>
      </c>
      <c r="J307" s="35" t="str">
        <f t="shared" si="2"/>
        <v>No need to fresh start</v>
      </c>
    </row>
    <row r="308">
      <c r="A308" s="7" t="s">
        <v>512</v>
      </c>
      <c r="B308" s="59" t="str">
        <f>IFERROR(__xludf.DUMMYFUNCTION("GOOGLEFINANCE(A308,""price"")"),"#N/A")</f>
        <v>#N/A</v>
      </c>
      <c r="C308" s="60" t="str">
        <f>IFERROR(__xludf.DUMMYFUNCTION("MAX(QUERY(SORT(GOOGLEFINANCE(A308,""high"",TODAY()-100,TODAY()),1,0),""select Col2 limit 55""))"),"#N/A")</f>
        <v>#N/A</v>
      </c>
      <c r="D308" s="32" t="str">
        <f>IFERROR(__xludf.DUMMYFUNCTION("GOOGLEFINANCE(A308,""high52"")"),"#N/A")</f>
        <v>#N/A</v>
      </c>
      <c r="E308" s="33" t="str">
        <f>IFERROR(__xludf.DUMMYFUNCTION("to_date(index(sort(GOOGLEFINANCE(A308, ""high"", today()-52*7, today(), ""DAILY""),2,0),2,1))"),"#N/A")</f>
        <v>#N/A</v>
      </c>
      <c r="F308" s="32" t="str">
        <f>IFERROR(__xludf.DUMMYFUNCTION("GOOGLEFINANCE(A308,""low52"")"),"#N/A")</f>
        <v>#N/A</v>
      </c>
      <c r="G308" s="33" t="str">
        <f>IFERROR(__xludf.DUMMYFUNCTION("to_date(index(sort(GOOGLEFINANCE(A308, ""low"", today()-52*7, today(), ""DAILY""),2,1),1,1))"),"#N/A")</f>
        <v>#N/A</v>
      </c>
      <c r="H308" s="61" t="str">
        <f>IFERROR(__xludf.DUMMYFUNCTION("MIN(QUERY(SORT(GOOGLEFINANCE(A308,""low"",TODAY()-40,TODAY()),1,0),""select Col2 limit 20""))"),"#N/A")</f>
        <v>#N/A</v>
      </c>
      <c r="I308" s="61" t="str">
        <f t="shared" si="1"/>
        <v>#N/A</v>
      </c>
      <c r="J308" s="35" t="str">
        <f t="shared" si="2"/>
        <v>#N/A</v>
      </c>
    </row>
    <row r="309">
      <c r="A309" s="7" t="s">
        <v>58</v>
      </c>
      <c r="B309" s="59">
        <f>IFERROR(__xludf.DUMMYFUNCTION("GOOGLEFINANCE(A309,""price"")"),161.39)</f>
        <v>161.39</v>
      </c>
      <c r="C309" s="60">
        <f>IFERROR(__xludf.DUMMYFUNCTION("MAX(QUERY(SORT(GOOGLEFINANCE(A309,""high"",TODAY()-100,TODAY()),1,0),""select Col2 limit 55""))"),180.4)</f>
        <v>180.4</v>
      </c>
      <c r="D309" s="32">
        <f>IFERROR(__xludf.DUMMYFUNCTION("GOOGLEFINANCE(A309,""high52"")"),214.74)</f>
        <v>214.74</v>
      </c>
      <c r="E309" s="33">
        <f>IFERROR(__xludf.DUMMYFUNCTION("to_date(index(sort(GOOGLEFINANCE(A309, ""high"", today()-52*7, today(), ""DAILY""),2,0),2,1))"),45869.64583333333)</f>
        <v>45869.64583</v>
      </c>
      <c r="F309" s="32">
        <f>IFERROR(__xludf.DUMMYFUNCTION("GOOGLEFINANCE(A309,""low52"")"),116.97)</f>
        <v>116.97</v>
      </c>
      <c r="G309" s="33">
        <f>IFERROR(__xludf.DUMMYFUNCTION("to_date(index(sort(GOOGLEFINANCE(A309, ""low"", today()-52*7, today(), ""DAILY""),2,1),1,1))"),46111.64583333333)</f>
        <v>46111.64583</v>
      </c>
      <c r="H309" s="61">
        <f>IFERROR(__xludf.DUMMYFUNCTION("MIN(QUERY(SORT(GOOGLEFINANCE(A309,""low"",TODAY()-40,TODAY()),1,0),""select Col2 limit 20""))"),154.0)</f>
        <v>154</v>
      </c>
      <c r="I309" s="61">
        <f t="shared" si="1"/>
        <v>11.77892063</v>
      </c>
      <c r="J309" s="35" t="str">
        <f t="shared" si="2"/>
        <v>Start GTT Order</v>
      </c>
    </row>
    <row r="310">
      <c r="A310" s="7" t="s">
        <v>253</v>
      </c>
      <c r="B310" s="59">
        <f>IFERROR(__xludf.DUMMYFUNCTION("GOOGLEFINANCE(A310,""price"")"),394.0)</f>
        <v>394</v>
      </c>
      <c r="C310" s="60">
        <f>IFERROR(__xludf.DUMMYFUNCTION("MAX(QUERY(SORT(GOOGLEFINANCE(A310,""high"",TODAY()-100,TODAY()),1,0),""select Col2 limit 55""))"),447.5)</f>
        <v>447.5</v>
      </c>
      <c r="D310" s="32">
        <f>IFERROR(__xludf.DUMMYFUNCTION("GOOGLEFINANCE(A310,""high52"")"),540.5)</f>
        <v>540.5</v>
      </c>
      <c r="E310" s="33">
        <f>IFERROR(__xludf.DUMMYFUNCTION("to_date(index(sort(GOOGLEFINANCE(A310, ""high"", today()-52*7, today(), ""DAILY""),2,0),2,1))"),45975.64583333333)</f>
        <v>45975.64583</v>
      </c>
      <c r="F310" s="32">
        <f>IFERROR(__xludf.DUMMYFUNCTION("GOOGLEFINANCE(A310,""low52"")"),365.3)</f>
        <v>365.3</v>
      </c>
      <c r="G310" s="33">
        <f>IFERROR(__xludf.DUMMYFUNCTION("to_date(index(sort(GOOGLEFINANCE(A310, ""low"", today()-52*7, today(), ""DAILY""),2,1),1,1))"),46162.64583333333)</f>
        <v>46162.64583</v>
      </c>
      <c r="H310" s="61">
        <f>IFERROR(__xludf.DUMMYFUNCTION("MIN(QUERY(SORT(GOOGLEFINANCE(A310,""low"",TODAY()-40,TODAY()),1,0),""select Col2 limit 20""))"),365.3)</f>
        <v>365.3</v>
      </c>
      <c r="I310" s="61">
        <f t="shared" si="1"/>
        <v>13.5786802</v>
      </c>
      <c r="J310" s="35" t="str">
        <f t="shared" si="2"/>
        <v>Start GTT Order</v>
      </c>
    </row>
    <row r="311">
      <c r="A311" s="7" t="s">
        <v>239</v>
      </c>
      <c r="B311" s="59">
        <f>IFERROR(__xludf.DUMMYFUNCTION("GOOGLEFINANCE(A311,""price"")"),3018.8)</f>
        <v>3018.8</v>
      </c>
      <c r="C311" s="60">
        <f>IFERROR(__xludf.DUMMYFUNCTION("MAX(QUERY(SORT(GOOGLEFINANCE(A311,""high"",TODAY()-100,TODAY()),1,0),""select Col2 limit 55""))"),3314.9)</f>
        <v>3314.9</v>
      </c>
      <c r="D311" s="32">
        <f>IFERROR(__xludf.DUMMYFUNCTION("GOOGLEFINANCE(A311,""high52"")"),3314.9)</f>
        <v>3314.9</v>
      </c>
      <c r="E311" s="33">
        <f>IFERROR(__xludf.DUMMYFUNCTION("to_date(index(sort(GOOGLEFINANCE(A311, ""high"", today()-52*7, today(), ""DAILY""),2,0),2,1))"),46161.64583333333)</f>
        <v>46161.64583</v>
      </c>
      <c r="F311" s="32">
        <f>IFERROR(__xludf.DUMMYFUNCTION("GOOGLEFINANCE(A311,""low52"")"),2329.9)</f>
        <v>2329.9</v>
      </c>
      <c r="G311" s="33">
        <f>IFERROR(__xludf.DUMMYFUNCTION("to_date(index(sort(GOOGLEFINANCE(A311, ""low"", today()-52*7, today(), ""DAILY""),2,1),1,1))"),45930.64583333333)</f>
        <v>45930.64583</v>
      </c>
      <c r="H311" s="61">
        <f>IFERROR(__xludf.DUMMYFUNCTION("MIN(QUERY(SORT(GOOGLEFINANCE(A311,""low"",TODAY()-40,TODAY()),1,0),""select Col2 limit 20""))"),2740.8)</f>
        <v>2740.8</v>
      </c>
      <c r="I311" s="61">
        <f t="shared" si="1"/>
        <v>9.808533192</v>
      </c>
      <c r="J311" s="35" t="str">
        <f t="shared" si="2"/>
        <v>No need to fresh start</v>
      </c>
    </row>
    <row r="312">
      <c r="A312" s="7" t="s">
        <v>293</v>
      </c>
      <c r="B312" s="59">
        <f>IFERROR(__xludf.DUMMYFUNCTION("GOOGLEFINANCE(A312,""price"")"),3444.7)</f>
        <v>3444.7</v>
      </c>
      <c r="C312" s="60">
        <f>IFERROR(__xludf.DUMMYFUNCTION("MAX(QUERY(SORT(GOOGLEFINANCE(A312,""high"",TODAY()-100,TODAY()),1,0),""select Col2 limit 55""))"),3907.2)</f>
        <v>3907.2</v>
      </c>
      <c r="D312" s="32">
        <f>IFERROR(__xludf.DUMMYFUNCTION("GOOGLEFINANCE(A312,""high52"")"),3970.0)</f>
        <v>3970</v>
      </c>
      <c r="E312" s="33">
        <f>IFERROR(__xludf.DUMMYFUNCTION("to_date(index(sort(GOOGLEFINANCE(A312, ""high"", today()-52*7, today(), ""DAILY""),2,0),2,1))"),46079.64583333333)</f>
        <v>46079.64583</v>
      </c>
      <c r="F312" s="32">
        <f>IFERROR(__xludf.DUMMYFUNCTION("GOOGLEFINANCE(A312,""low52"")"),2655.1)</f>
        <v>2655.1</v>
      </c>
      <c r="G312" s="33">
        <f>IFERROR(__xludf.DUMMYFUNCTION("to_date(index(sort(GOOGLEFINANCE(A312, ""low"", today()-52*7, today(), ""DAILY""),2,1),1,1))"),45821.64583333333)</f>
        <v>45821.64583</v>
      </c>
      <c r="H312" s="61">
        <f>IFERROR(__xludf.DUMMYFUNCTION("MIN(QUERY(SORT(GOOGLEFINANCE(A312,""low"",TODAY()-40,TODAY()),1,0),""select Col2 limit 20""))"),3228.0)</f>
        <v>3228</v>
      </c>
      <c r="I312" s="61">
        <f t="shared" si="1"/>
        <v>13.4264232</v>
      </c>
      <c r="J312" s="35" t="str">
        <f t="shared" si="2"/>
        <v>No need to fresh start</v>
      </c>
    </row>
    <row r="313">
      <c r="A313" s="7" t="s">
        <v>513</v>
      </c>
      <c r="B313" s="59">
        <f>IFERROR(__xludf.DUMMYFUNCTION("GOOGLEFINANCE(A313,""price"")"),299.6)</f>
        <v>299.6</v>
      </c>
      <c r="C313" s="60">
        <f>IFERROR(__xludf.DUMMYFUNCTION("MAX(QUERY(SORT(GOOGLEFINANCE(A313,""high"",TODAY()-100,TODAY()),1,0),""select Col2 limit 55""))"),404.5)</f>
        <v>404.5</v>
      </c>
      <c r="D313" s="32">
        <f>IFERROR(__xludf.DUMMYFUNCTION("GOOGLEFINANCE(A313,""high52"")"),478.75)</f>
        <v>478.75</v>
      </c>
      <c r="E313" s="33">
        <f>IFERROR(__xludf.DUMMYFUNCTION("to_date(index(sort(GOOGLEFINANCE(A313, ""high"", today()-52*7, today(), ""DAILY""),2,0),2,1))"),45817.64583333333)</f>
        <v>45817.64583</v>
      </c>
      <c r="F313" s="32">
        <f>IFERROR(__xludf.DUMMYFUNCTION("GOOGLEFINANCE(A313,""low52"")"),270.75)</f>
        <v>270.75</v>
      </c>
      <c r="G313" s="33">
        <f>IFERROR(__xludf.DUMMYFUNCTION("to_date(index(sort(GOOGLEFINANCE(A313, ""low"", today()-52*7, today(), ""DAILY""),2,1),1,1))"),46111.64583333333)</f>
        <v>46111.64583</v>
      </c>
      <c r="H313" s="61">
        <f>IFERROR(__xludf.DUMMYFUNCTION("MIN(QUERY(SORT(GOOGLEFINANCE(A313,""low"",TODAY()-40,TODAY()),1,0),""select Col2 limit 20""))"),282.4)</f>
        <v>282.4</v>
      </c>
      <c r="I313" s="61">
        <f t="shared" si="1"/>
        <v>35.01335113</v>
      </c>
      <c r="J313" s="35" t="str">
        <f t="shared" si="2"/>
        <v>No need to fresh start</v>
      </c>
    </row>
    <row r="314">
      <c r="A314" s="7" t="s">
        <v>514</v>
      </c>
      <c r="B314" s="59">
        <f>IFERROR(__xludf.DUMMYFUNCTION("GOOGLEFINANCE(A314,""price"")"),124.4)</f>
        <v>124.4</v>
      </c>
      <c r="C314" s="60">
        <f>IFERROR(__xludf.DUMMYFUNCTION("MAX(QUERY(SORT(GOOGLEFINANCE(A314,""high"",TODAY()-100,TODAY()),1,0),""select Col2 limit 55""))"),141.19)</f>
        <v>141.19</v>
      </c>
      <c r="D314" s="32">
        <f>IFERROR(__xludf.DUMMYFUNCTION("GOOGLEFINANCE(A314,""high52"")"),230.8)</f>
        <v>230.8</v>
      </c>
      <c r="E314" s="33">
        <f>IFERROR(__xludf.DUMMYFUNCTION("to_date(index(sort(GOOGLEFINANCE(A314, ""high"", today()-52*7, today(), ""DAILY""),2,0),2,1))"),45814.64583333333)</f>
        <v>45814.64583</v>
      </c>
      <c r="F314" s="32">
        <f>IFERROR(__xludf.DUMMYFUNCTION("GOOGLEFINANCE(A314,""low52"")"),101.0)</f>
        <v>101</v>
      </c>
      <c r="G314" s="33">
        <f>IFERROR(__xludf.DUMMYFUNCTION("to_date(index(sort(GOOGLEFINANCE(A314, ""low"", today()-52*7, today(), ""DAILY""),2,1),1,1))"),46111.64583333333)</f>
        <v>46111.64583</v>
      </c>
      <c r="H314" s="61">
        <f>IFERROR(__xludf.DUMMYFUNCTION("MIN(QUERY(SORT(GOOGLEFINANCE(A314,""low"",TODAY()-40,TODAY()),1,0),""select Col2 limit 20""))"),122.2)</f>
        <v>122.2</v>
      </c>
      <c r="I314" s="61">
        <f t="shared" si="1"/>
        <v>13.49678457</v>
      </c>
      <c r="J314" s="35" t="str">
        <f t="shared" si="2"/>
        <v>Start GTT Order</v>
      </c>
    </row>
    <row r="315">
      <c r="A315" s="7" t="s">
        <v>515</v>
      </c>
      <c r="B315" s="59">
        <f>IFERROR(__xludf.DUMMYFUNCTION("GOOGLEFINANCE(A315,""price"")"),224.1)</f>
        <v>224.1</v>
      </c>
      <c r="C315" s="60">
        <f>IFERROR(__xludf.DUMMYFUNCTION("MAX(QUERY(SORT(GOOGLEFINANCE(A315,""high"",TODAY()-100,TODAY()),1,0),""select Col2 limit 55""))"),248.75)</f>
        <v>248.75</v>
      </c>
      <c r="D315" s="32">
        <f>IFERROR(__xludf.DUMMYFUNCTION("GOOGLEFINANCE(A315,""high52"")"),239.4)</f>
        <v>239.4</v>
      </c>
      <c r="E315" s="33">
        <f>IFERROR(__xludf.DUMMYFUNCTION("to_date(index(sort(GOOGLEFINANCE(A315, ""high"", today()-52*7, today(), ""DAILY""),2,0),2,1))"),46168.64583333333)</f>
        <v>46168.64583</v>
      </c>
      <c r="F315" s="32">
        <f>IFERROR(__xludf.DUMMYFUNCTION("GOOGLEFINANCE(A315,""low52"")"),108.0)</f>
        <v>108</v>
      </c>
      <c r="G315" s="33">
        <f>IFERROR(__xludf.DUMMYFUNCTION("to_date(index(sort(GOOGLEFINANCE(A315, ""low"", today()-52*7, today(), ""DAILY""),2,1),1,1))"),46104.64583333333)</f>
        <v>46104.64583</v>
      </c>
      <c r="H315" s="61">
        <f>IFERROR(__xludf.DUMMYFUNCTION("MIN(QUERY(SORT(GOOGLEFINANCE(A315,""low"",TODAY()-40,TODAY()),1,0),""select Col2 limit 20""))"),138.92)</f>
        <v>138.92</v>
      </c>
      <c r="I315" s="61">
        <f t="shared" si="1"/>
        <v>10.99955377</v>
      </c>
      <c r="J315" s="35" t="str">
        <f t="shared" si="2"/>
        <v>No need to fresh start</v>
      </c>
    </row>
    <row r="316">
      <c r="A316" s="7" t="s">
        <v>213</v>
      </c>
      <c r="B316" s="59">
        <f>IFERROR(__xludf.DUMMYFUNCTION("GOOGLEFINANCE(A316,""price"")"),1238.0)</f>
        <v>1238</v>
      </c>
      <c r="C316" s="60">
        <f>IFERROR(__xludf.DUMMYFUNCTION("MAX(QUERY(SORT(GOOGLEFINANCE(A316,""high"",TODAY()-100,TODAY()),1,0),""select Col2 limit 55""))"),1306.2)</f>
        <v>1306.2</v>
      </c>
      <c r="D316" s="32">
        <f>IFERROR(__xludf.DUMMYFUNCTION("GOOGLEFINANCE(A316,""high52"")"),1306.2)</f>
        <v>1306.2</v>
      </c>
      <c r="E316" s="33">
        <f>IFERROR(__xludf.DUMMYFUNCTION("to_date(index(sort(GOOGLEFINANCE(A316, ""high"", today()-52*7, today(), ""DAILY""),2,0),2,1))"),46133.64583333333)</f>
        <v>46133.64583</v>
      </c>
      <c r="F316" s="32">
        <f>IFERROR(__xludf.DUMMYFUNCTION("GOOGLEFINANCE(A316,""low52"")"),882.65)</f>
        <v>882.65</v>
      </c>
      <c r="G316" s="33">
        <f>IFERROR(__xludf.DUMMYFUNCTION("to_date(index(sort(GOOGLEFINANCE(A316, ""low"", today()-52*7, today(), ""DAILY""),2,1),1,1))"),45827.64583333333)</f>
        <v>45827.64583</v>
      </c>
      <c r="H316" s="61">
        <f>IFERROR(__xludf.DUMMYFUNCTION("MIN(QUERY(SORT(GOOGLEFINANCE(A316,""low"",TODAY()-40,TODAY()),1,0),""select Col2 limit 20""))"),1192.3)</f>
        <v>1192.3</v>
      </c>
      <c r="I316" s="61">
        <f t="shared" si="1"/>
        <v>5.508885299</v>
      </c>
      <c r="J316" s="35" t="str">
        <f t="shared" si="2"/>
        <v>No need to fresh start</v>
      </c>
    </row>
    <row r="317">
      <c r="A317" s="7" t="s">
        <v>516</v>
      </c>
      <c r="B317" s="59" t="str">
        <f>IFERROR(__xludf.DUMMYFUNCTION("GOOGLEFINANCE(A317,""price"")"),"#N/A")</f>
        <v>#N/A</v>
      </c>
      <c r="C317" s="60" t="str">
        <f>IFERROR(__xludf.DUMMYFUNCTION("MAX(QUERY(SORT(GOOGLEFINANCE(A317,""high"",TODAY()-100,TODAY()),1,0),""select Col2 limit 55""))"),"#N/A")</f>
        <v>#N/A</v>
      </c>
      <c r="D317" s="32" t="str">
        <f>IFERROR(__xludf.DUMMYFUNCTION("GOOGLEFINANCE(A317,""high52"")"),"#N/A")</f>
        <v>#N/A</v>
      </c>
      <c r="E317" s="33" t="str">
        <f>IFERROR(__xludf.DUMMYFUNCTION("to_date(index(sort(GOOGLEFINANCE(A317, ""high"", today()-52*7, today(), ""DAILY""),2,0),2,1))"),"#N/A")</f>
        <v>#N/A</v>
      </c>
      <c r="F317" s="32" t="str">
        <f>IFERROR(__xludf.DUMMYFUNCTION("GOOGLEFINANCE(A317,""low52"")"),"#N/A")</f>
        <v>#N/A</v>
      </c>
      <c r="G317" s="33" t="str">
        <f>IFERROR(__xludf.DUMMYFUNCTION("to_date(index(sort(GOOGLEFINANCE(A317, ""low"", today()-52*7, today(), ""DAILY""),2,1),1,1))"),"#N/A")</f>
        <v>#N/A</v>
      </c>
      <c r="H317" s="61" t="str">
        <f>IFERROR(__xludf.DUMMYFUNCTION("MIN(QUERY(SORT(GOOGLEFINANCE(A317,""low"",TODAY()-40,TODAY()),1,0),""select Col2 limit 20""))"),"#N/A")</f>
        <v>#N/A</v>
      </c>
      <c r="I317" s="61" t="str">
        <f t="shared" si="1"/>
        <v>#N/A</v>
      </c>
      <c r="J317" s="35" t="str">
        <f t="shared" si="2"/>
        <v>#N/A</v>
      </c>
    </row>
    <row r="318">
      <c r="A318" s="7" t="s">
        <v>298</v>
      </c>
      <c r="B318" s="59">
        <f>IFERROR(__xludf.DUMMYFUNCTION("GOOGLEFINANCE(A318,""price"")"),84.5)</f>
        <v>84.5</v>
      </c>
      <c r="C318" s="60">
        <f>IFERROR(__xludf.DUMMYFUNCTION("MAX(QUERY(SORT(GOOGLEFINANCE(A318,""high"",TODAY()-100,TODAY()),1,0),""select Col2 limit 55""))"),97.0)</f>
        <v>97</v>
      </c>
      <c r="D318" s="32">
        <f>IFERROR(__xludf.DUMMYFUNCTION("GOOGLEFINANCE(A318,""high52"")"),151.7)</f>
        <v>151.7</v>
      </c>
      <c r="E318" s="33">
        <f>IFERROR(__xludf.DUMMYFUNCTION("to_date(index(sort(GOOGLEFINANCE(A318, ""high"", today()-52*7, today(), ""DAILY""),2,0),2,1))"),45842.64583333333)</f>
        <v>45842.64583</v>
      </c>
      <c r="F318" s="32">
        <f>IFERROR(__xludf.DUMMYFUNCTION("GOOGLEFINANCE(A318,""low52"")"),68.0)</f>
        <v>68</v>
      </c>
      <c r="G318" s="33">
        <f>IFERROR(__xludf.DUMMYFUNCTION("to_date(index(sort(GOOGLEFINANCE(A318, ""low"", today()-52*7, today(), ""DAILY""),2,1),1,1))"),46104.64583333333)</f>
        <v>46104.64583</v>
      </c>
      <c r="H318" s="61">
        <f>IFERROR(__xludf.DUMMYFUNCTION("MIN(QUERY(SORT(GOOGLEFINANCE(A318,""low"",TODAY()-40,TODAY()),1,0),""select Col2 limit 20""))"),81.82)</f>
        <v>81.82</v>
      </c>
      <c r="I318" s="61">
        <f t="shared" si="1"/>
        <v>14.79289941</v>
      </c>
      <c r="J318" s="35" t="str">
        <f t="shared" si="2"/>
        <v>Start GTT Order</v>
      </c>
    </row>
    <row r="319">
      <c r="A319" s="7" t="s">
        <v>212</v>
      </c>
      <c r="B319" s="59">
        <f>IFERROR(__xludf.DUMMYFUNCTION("GOOGLEFINANCE(A319,""price"")"),22.86)</f>
        <v>22.86</v>
      </c>
      <c r="C319" s="60">
        <f>IFERROR(__xludf.DUMMYFUNCTION("MAX(QUERY(SORT(GOOGLEFINANCE(A319,""high"",TODAY()-100,TODAY()),1,0),""select Col2 limit 55""))"),23.18)</f>
        <v>23.18</v>
      </c>
      <c r="D319" s="32">
        <f>IFERROR(__xludf.DUMMYFUNCTION("GOOGLEFINANCE(A319,""high52"")"),24.3)</f>
        <v>24.3</v>
      </c>
      <c r="E319" s="33">
        <f>IFERROR(__xludf.DUMMYFUNCTION("to_date(index(sort(GOOGLEFINANCE(A319, ""high"", today()-52*7, today(), ""DAILY""),2,0),2,1))"),45940.64583333333)</f>
        <v>45940.64583</v>
      </c>
      <c r="F319" s="32">
        <f>IFERROR(__xludf.DUMMYFUNCTION("GOOGLEFINANCE(A319,""low52"")"),17.2)</f>
        <v>17.2</v>
      </c>
      <c r="G319" s="33">
        <f>IFERROR(__xludf.DUMMYFUNCTION("to_date(index(sort(GOOGLEFINANCE(A319, ""low"", today()-52*7, today(), ""DAILY""),2,1),1,1))"),46111.64583333333)</f>
        <v>46111.64583</v>
      </c>
      <c r="H319" s="61">
        <f>IFERROR(__xludf.DUMMYFUNCTION("MIN(QUERY(SORT(GOOGLEFINANCE(A319,""low"",TODAY()-40,TODAY()),1,0),""select Col2 limit 20""))"),19.76)</f>
        <v>19.76</v>
      </c>
      <c r="I319" s="61">
        <f t="shared" si="1"/>
        <v>1.399825022</v>
      </c>
      <c r="J319" s="35" t="str">
        <f t="shared" si="2"/>
        <v>No need to fresh start</v>
      </c>
    </row>
    <row r="320">
      <c r="A320" s="7" t="s">
        <v>517</v>
      </c>
      <c r="B320" s="59">
        <f>IFERROR(__xludf.DUMMYFUNCTION("GOOGLEFINANCE(A320,""price"")"),169.03)</f>
        <v>169.03</v>
      </c>
      <c r="C320" s="60">
        <f>IFERROR(__xludf.DUMMYFUNCTION("MAX(QUERY(SORT(GOOGLEFINANCE(A320,""high"",TODAY()-100,TODAY()),1,0),""select Col2 limit 55""))"),168.24)</f>
        <v>168.24</v>
      </c>
      <c r="D320" s="32">
        <f>IFERROR(__xludf.DUMMYFUNCTION("GOOGLEFINANCE(A320,""high52"")"),172.0)</f>
        <v>172</v>
      </c>
      <c r="E320" s="33">
        <f>IFERROR(__xludf.DUMMYFUNCTION("to_date(index(sort(GOOGLEFINANCE(A320, ""high"", today()-52*7, today(), ""DAILY""),2,0),2,1))"),46168.64583333333)</f>
        <v>46168.64583</v>
      </c>
      <c r="F320" s="32">
        <f>IFERROR(__xludf.DUMMYFUNCTION("GOOGLEFINANCE(A320,""low52"")"),59.82)</f>
        <v>59.82</v>
      </c>
      <c r="G320" s="33">
        <f>IFERROR(__xludf.DUMMYFUNCTION("to_date(index(sort(GOOGLEFINANCE(A320, ""low"", today()-52*7, today(), ""DAILY""),2,1),1,1))"),46129.64583333333)</f>
        <v>46129.64583</v>
      </c>
      <c r="H320" s="61">
        <f>IFERROR(__xludf.DUMMYFUNCTION("MIN(QUERY(SORT(GOOGLEFINANCE(A320,""low"",TODAY()-40,TODAY()),1,0),""select Col2 limit 20""))"),104.61)</f>
        <v>104.61</v>
      </c>
      <c r="I320" s="61">
        <f t="shared" si="1"/>
        <v>-0.4673726557</v>
      </c>
      <c r="J320" s="35" t="str">
        <f t="shared" si="2"/>
        <v>No need to fresh start</v>
      </c>
    </row>
    <row r="321">
      <c r="A321" s="7" t="s">
        <v>518</v>
      </c>
      <c r="B321" s="59" t="str">
        <f>IFERROR(__xludf.DUMMYFUNCTION("GOOGLEFINANCE(A321,""price"")"),"#N/A")</f>
        <v>#N/A</v>
      </c>
      <c r="C321" s="60" t="str">
        <f>IFERROR(__xludf.DUMMYFUNCTION("MAX(QUERY(SORT(GOOGLEFINANCE(A321,""high"",TODAY()-100,TODAY()),1,0),""select Col2 limit 55""))"),"#N/A")</f>
        <v>#N/A</v>
      </c>
      <c r="D321" s="32" t="str">
        <f>IFERROR(__xludf.DUMMYFUNCTION("GOOGLEFINANCE(A321,""high52"")"),"#N/A")</f>
        <v>#N/A</v>
      </c>
      <c r="E321" s="33" t="str">
        <f>IFERROR(__xludf.DUMMYFUNCTION("to_date(index(sort(GOOGLEFINANCE(A321, ""high"", today()-52*7, today(), ""DAILY""),2,0),2,1))"),"#N/A")</f>
        <v>#N/A</v>
      </c>
      <c r="F321" s="32" t="str">
        <f>IFERROR(__xludf.DUMMYFUNCTION("GOOGLEFINANCE(A321,""low52"")"),"#N/A")</f>
        <v>#N/A</v>
      </c>
      <c r="G321" s="33" t="str">
        <f>IFERROR(__xludf.DUMMYFUNCTION("to_date(index(sort(GOOGLEFINANCE(A321, ""low"", today()-52*7, today(), ""DAILY""),2,1),1,1))"),"#N/A")</f>
        <v>#N/A</v>
      </c>
      <c r="H321" s="61" t="str">
        <f>IFERROR(__xludf.DUMMYFUNCTION("MIN(QUERY(SORT(GOOGLEFINANCE(A321,""low"",TODAY()-40,TODAY()),1,0),""select Col2 limit 20""))"),"#N/A")</f>
        <v>#N/A</v>
      </c>
      <c r="I321" s="61" t="str">
        <f t="shared" si="1"/>
        <v>#N/A</v>
      </c>
      <c r="J321" s="35" t="str">
        <f t="shared" si="2"/>
        <v>#N/A</v>
      </c>
    </row>
    <row r="322">
      <c r="A322" s="7" t="s">
        <v>519</v>
      </c>
      <c r="B322" s="59">
        <f>IFERROR(__xludf.DUMMYFUNCTION("GOOGLEFINANCE(A322,""price"")"),7522.0)</f>
        <v>7522</v>
      </c>
      <c r="C322" s="60">
        <f>IFERROR(__xludf.DUMMYFUNCTION("MAX(QUERY(SORT(GOOGLEFINANCE(A322,""high"",TODAY()-100,TODAY()),1,0),""select Col2 limit 55""))"),8974.0)</f>
        <v>8974</v>
      </c>
      <c r="D322" s="32">
        <f>IFERROR(__xludf.DUMMYFUNCTION("GOOGLEFINANCE(A322,""high52"")"),8974.0)</f>
        <v>8974</v>
      </c>
      <c r="E322" s="33">
        <f>IFERROR(__xludf.DUMMYFUNCTION("to_date(index(sort(GOOGLEFINANCE(A322, ""high"", today()-52*7, today(), ""DAILY""),2,0),2,1))"),46149.64583333333)</f>
        <v>46149.64583</v>
      </c>
      <c r="F322" s="32">
        <f>IFERROR(__xludf.DUMMYFUNCTION("GOOGLEFINANCE(A322,""low52"")"),5400.5)</f>
        <v>5400.5</v>
      </c>
      <c r="G322" s="33">
        <f>IFERROR(__xludf.DUMMYFUNCTION("to_date(index(sort(GOOGLEFINANCE(A322, ""low"", today()-52*7, today(), ""DAILY""),2,1),1,1))"),46049.64583333333)</f>
        <v>46049.64583</v>
      </c>
      <c r="H322" s="61">
        <f>IFERROR(__xludf.DUMMYFUNCTION("MIN(QUERY(SORT(GOOGLEFINANCE(A322,""low"",TODAY()-40,TODAY()),1,0),""select Col2 limit 20""))"),6938.0)</f>
        <v>6938</v>
      </c>
      <c r="I322" s="61">
        <f t="shared" si="1"/>
        <v>19.30337676</v>
      </c>
      <c r="J322" s="35" t="str">
        <f t="shared" si="2"/>
        <v>No need to fresh start</v>
      </c>
    </row>
    <row r="323">
      <c r="A323" s="7" t="s">
        <v>240</v>
      </c>
      <c r="B323" s="59">
        <f>IFERROR(__xludf.DUMMYFUNCTION("GOOGLEFINANCE(A323,""price"")"),495.45)</f>
        <v>495.45</v>
      </c>
      <c r="C323" s="60">
        <f>IFERROR(__xludf.DUMMYFUNCTION("MAX(QUERY(SORT(GOOGLEFINANCE(A323,""high"",TODAY()-100,TODAY()),1,0),""select Col2 limit 55""))"),523.1)</f>
        <v>523.1</v>
      </c>
      <c r="D323" s="32">
        <f>IFERROR(__xludf.DUMMYFUNCTION("GOOGLEFINANCE(A323,""high52"")"),523.1)</f>
        <v>523.1</v>
      </c>
      <c r="E323" s="33">
        <f>IFERROR(__xludf.DUMMYFUNCTION("to_date(index(sort(GOOGLEFINANCE(A323, ""high"", today()-52*7, today(), ""DAILY""),2,0),2,1))"),46146.64583333333)</f>
        <v>46146.64583</v>
      </c>
      <c r="F323" s="32">
        <f>IFERROR(__xludf.DUMMYFUNCTION("GOOGLEFINANCE(A323,""low52"")"),338.05)</f>
        <v>338.05</v>
      </c>
      <c r="G323" s="33">
        <f>IFERROR(__xludf.DUMMYFUNCTION("to_date(index(sort(GOOGLEFINANCE(A323, ""low"", today()-52*7, today(), ""DAILY""),2,1),1,1))"),46043.64583333333)</f>
        <v>46043.64583</v>
      </c>
      <c r="H323" s="61">
        <f>IFERROR(__xludf.DUMMYFUNCTION("MIN(QUERY(SORT(GOOGLEFINANCE(A323,""low"",TODAY()-40,TODAY()),1,0),""select Col2 limit 20""))"),440.6)</f>
        <v>440.6</v>
      </c>
      <c r="I323" s="61">
        <f t="shared" si="1"/>
        <v>5.580785145</v>
      </c>
      <c r="J323" s="35" t="str">
        <f t="shared" si="2"/>
        <v>No need to fresh start</v>
      </c>
    </row>
    <row r="324">
      <c r="A324" s="7" t="s">
        <v>261</v>
      </c>
      <c r="B324" s="59">
        <f>IFERROR(__xludf.DUMMYFUNCTION("GOOGLEFINANCE(A324,""price"")"),127385.0)</f>
        <v>127385</v>
      </c>
      <c r="C324" s="60">
        <f>IFERROR(__xludf.DUMMYFUNCTION("MAX(QUERY(SORT(GOOGLEFINANCE(A324,""high"",TODAY()-100,TODAY()),1,0),""select Col2 limit 55""))"),142500.0)</f>
        <v>142500</v>
      </c>
      <c r="D324" s="32">
        <f>IFERROR(__xludf.DUMMYFUNCTION("GOOGLEFINANCE(A324,""high52"")"),163600.0)</f>
        <v>163600</v>
      </c>
      <c r="E324" s="33">
        <f>IFERROR(__xludf.DUMMYFUNCTION("to_date(index(sort(GOOGLEFINANCE(A324, ""high"", today()-52*7, today(), ""DAILY""),2,0),2,1))"),45954.64583333333)</f>
        <v>45954.64583</v>
      </c>
      <c r="F324" s="32">
        <f>IFERROR(__xludf.DUMMYFUNCTION("GOOGLEFINANCE(A324,""low52"")"),123455.0)</f>
        <v>123455</v>
      </c>
      <c r="G324" s="33">
        <f>IFERROR(__xludf.DUMMYFUNCTION("to_date(index(sort(GOOGLEFINANCE(A324, ""low"", today()-52*7, today(), ""DAILY""),2,1),1,1))"),46104.64583333333)</f>
        <v>46104.64583</v>
      </c>
      <c r="H324" s="61">
        <f>IFERROR(__xludf.DUMMYFUNCTION("MIN(QUERY(SORT(GOOGLEFINANCE(A324,""low"",TODAY()-40,TODAY()),1,0),""select Col2 limit 20""))"),124900.0)</f>
        <v>124900</v>
      </c>
      <c r="I324" s="61">
        <f t="shared" si="1"/>
        <v>11.86560427</v>
      </c>
      <c r="J324" s="35" t="str">
        <f t="shared" si="2"/>
        <v>Start GTT Order</v>
      </c>
    </row>
    <row r="325">
      <c r="A325" s="7" t="s">
        <v>236</v>
      </c>
      <c r="B325" s="59">
        <f>IFERROR(__xludf.DUMMYFUNCTION("GOOGLEFINANCE(A325,""price"")"),2913.3)</f>
        <v>2913.3</v>
      </c>
      <c r="C325" s="60">
        <f>IFERROR(__xludf.DUMMYFUNCTION("MAX(QUERY(SORT(GOOGLEFINANCE(A325,""high"",TODAY()-100,TODAY()),1,0),""select Col2 limit 55""))"),3414.0)</f>
        <v>3414</v>
      </c>
      <c r="D325" s="32">
        <f>IFERROR(__xludf.DUMMYFUNCTION("GOOGLEFINANCE(A325,""high52"")"),4180.0)</f>
        <v>4180</v>
      </c>
      <c r="E325" s="33">
        <f>IFERROR(__xludf.DUMMYFUNCTION("to_date(index(sort(GOOGLEFINANCE(A325, ""high"", today()-52*7, today(), ""DAILY""),2,0),2,1))"),45904.64583333333)</f>
        <v>45904.64583</v>
      </c>
      <c r="F325" s="32">
        <f>IFERROR(__xludf.DUMMYFUNCTION("GOOGLEFINANCE(A325,""low52"")"),2710.1)</f>
        <v>2710.1</v>
      </c>
      <c r="G325" s="33">
        <f>IFERROR(__xludf.DUMMYFUNCTION("to_date(index(sort(GOOGLEFINANCE(A325, ""low"", today()-52*7, today(), ""DAILY""),2,1),1,1))"),46114.64583333333)</f>
        <v>46114.64583</v>
      </c>
      <c r="H325" s="61">
        <f>IFERROR(__xludf.DUMMYFUNCTION("MIN(QUERY(SORT(GOOGLEFINANCE(A325,""low"",TODAY()-40,TODAY()),1,0),""select Col2 limit 20""))"),2864.0)</f>
        <v>2864</v>
      </c>
      <c r="I325" s="61">
        <f t="shared" si="1"/>
        <v>17.1866955</v>
      </c>
      <c r="J325" s="35" t="str">
        <f t="shared" si="2"/>
        <v>Start GTT Order</v>
      </c>
    </row>
    <row r="326">
      <c r="A326" s="7" t="s">
        <v>268</v>
      </c>
      <c r="B326" s="59">
        <f>IFERROR(__xludf.DUMMYFUNCTION("GOOGLEFINANCE(A326,""price"")"),1540.0)</f>
        <v>1540</v>
      </c>
      <c r="C326" s="60">
        <f>IFERROR(__xludf.DUMMYFUNCTION("MAX(QUERY(SORT(GOOGLEFINANCE(A326,""high"",TODAY()-100,TODAY()),1,0),""select Col2 limit 55""))"),1640.0)</f>
        <v>1640</v>
      </c>
      <c r="D326" s="32">
        <f>IFERROR(__xludf.DUMMYFUNCTION("GOOGLEFINANCE(A326,""high52"")"),2155.0)</f>
        <v>2155</v>
      </c>
      <c r="E326" s="33">
        <f>IFERROR(__xludf.DUMMYFUNCTION("to_date(index(sort(GOOGLEFINANCE(A326, ""high"", today()-52*7, today(), ""DAILY""),2,0),2,1))"),45820.64583333333)</f>
        <v>45820.64583</v>
      </c>
      <c r="F326" s="32">
        <f>IFERROR(__xludf.DUMMYFUNCTION("GOOGLEFINANCE(A326,""low52"")"),1314.6)</f>
        <v>1314.6</v>
      </c>
      <c r="G326" s="33">
        <f>IFERROR(__xludf.DUMMYFUNCTION("to_date(index(sort(GOOGLEFINANCE(A326, ""low"", today()-52*7, today(), ""DAILY""),2,1),1,1))"),46111.64583333333)</f>
        <v>46111.64583</v>
      </c>
      <c r="H326" s="61">
        <f>IFERROR(__xludf.DUMMYFUNCTION("MIN(QUERY(SORT(GOOGLEFINANCE(A326,""low"",TODAY()-40,TODAY()),1,0),""select Col2 limit 20""))"),1455.1)</f>
        <v>1455.1</v>
      </c>
      <c r="I326" s="61">
        <f t="shared" si="1"/>
        <v>6.493506494</v>
      </c>
      <c r="J326" s="35" t="str">
        <f t="shared" si="2"/>
        <v>No need to fresh start</v>
      </c>
    </row>
    <row r="327">
      <c r="A327" s="7" t="s">
        <v>520</v>
      </c>
      <c r="B327" s="59">
        <f>IFERROR(__xludf.DUMMYFUNCTION("GOOGLEFINANCE(A327,""price"")"),4320.9)</f>
        <v>4320.9</v>
      </c>
      <c r="C327" s="60">
        <f>IFERROR(__xludf.DUMMYFUNCTION("MAX(QUERY(SORT(GOOGLEFINANCE(A327,""high"",TODAY()-100,TODAY()),1,0),""select Col2 limit 55""))"),5642.0)</f>
        <v>5642</v>
      </c>
      <c r="D327" s="32">
        <f>IFERROR(__xludf.DUMMYFUNCTION("GOOGLEFINANCE(A327,""high52"")"),5642.0)</f>
        <v>5642</v>
      </c>
      <c r="E327" s="33">
        <f>IFERROR(__xludf.DUMMYFUNCTION("to_date(index(sort(GOOGLEFINANCE(A327, ""high"", today()-52*7, today(), ""DAILY""),2,0),2,1))"),46085.64583333333)</f>
        <v>46085.64583</v>
      </c>
      <c r="F327" s="32">
        <f>IFERROR(__xludf.DUMMYFUNCTION("GOOGLEFINANCE(A327,""low52"")"),4200.0)</f>
        <v>4200</v>
      </c>
      <c r="G327" s="33">
        <f>IFERROR(__xludf.DUMMYFUNCTION("to_date(index(sort(GOOGLEFINANCE(A327, ""low"", today()-52*7, today(), ""DAILY""),2,1),1,1))"),45930.64583333333)</f>
        <v>45930.64583</v>
      </c>
      <c r="H327" s="61">
        <f>IFERROR(__xludf.DUMMYFUNCTION("MIN(QUERY(SORT(GOOGLEFINANCE(A327,""low"",TODAY()-40,TODAY()),1,0),""select Col2 limit 20""))"),4302.0)</f>
        <v>4302</v>
      </c>
      <c r="I327" s="61">
        <f t="shared" si="1"/>
        <v>30.5746488</v>
      </c>
      <c r="J327" s="35" t="str">
        <f t="shared" si="2"/>
        <v>No need to fresh start</v>
      </c>
    </row>
    <row r="328">
      <c r="A328" s="7" t="s">
        <v>231</v>
      </c>
      <c r="B328" s="59">
        <f>IFERROR(__xludf.DUMMYFUNCTION("GOOGLEFINANCE(A328,""price"")"),5513.0)</f>
        <v>5513</v>
      </c>
      <c r="C328" s="60">
        <f>IFERROR(__xludf.DUMMYFUNCTION("MAX(QUERY(SORT(GOOGLEFINANCE(A328,""high"",TODAY()-100,TODAY()),1,0),""select Col2 limit 55""))"),5470.5)</f>
        <v>5470.5</v>
      </c>
      <c r="D328" s="32">
        <f>IFERROR(__xludf.DUMMYFUNCTION("GOOGLEFINANCE(A328,""high52"")"),5539.0)</f>
        <v>5539</v>
      </c>
      <c r="E328" s="33">
        <f>IFERROR(__xludf.DUMMYFUNCTION("to_date(index(sort(GOOGLEFINANCE(A328, ""high"", today()-52*7, today(), ""DAILY""),2,0),2,1))"),46150.64583333333)</f>
        <v>46150.64583</v>
      </c>
      <c r="F328" s="32">
        <f>IFERROR(__xludf.DUMMYFUNCTION("GOOGLEFINANCE(A328,""low52"")"),2921.1)</f>
        <v>2921.1</v>
      </c>
      <c r="G328" s="33">
        <f>IFERROR(__xludf.DUMMYFUNCTION("to_date(index(sort(GOOGLEFINANCE(A328, ""low"", today()-52*7, today(), ""DAILY""),2,1),1,1))"),46085.64583333333)</f>
        <v>46085.64583</v>
      </c>
      <c r="H328" s="61">
        <f>IFERROR(__xludf.DUMMYFUNCTION("MIN(QUERY(SORT(GOOGLEFINANCE(A328,""low"",TODAY()-40,TODAY()),1,0),""select Col2 limit 20""))"),5120.0)</f>
        <v>5120</v>
      </c>
      <c r="I328" s="61">
        <f t="shared" si="1"/>
        <v>-0.7709051333</v>
      </c>
      <c r="J328" s="35" t="str">
        <f t="shared" si="2"/>
        <v>No need to fresh start</v>
      </c>
    </row>
    <row r="329">
      <c r="A329" s="7" t="s">
        <v>227</v>
      </c>
      <c r="B329" s="59" t="str">
        <f>IFERROR(__xludf.DUMMYFUNCTION("GOOGLEFINANCE(A329,""price"")"),"#N/A")</f>
        <v>#N/A</v>
      </c>
      <c r="C329" s="60" t="str">
        <f>IFERROR(__xludf.DUMMYFUNCTION("MAX(QUERY(SORT(GOOGLEFINANCE(A329,""high"",TODAY()-100,TODAY()),1,0),""select Col2 limit 55""))"),"#N/A")</f>
        <v>#N/A</v>
      </c>
      <c r="D329" s="32" t="str">
        <f>IFERROR(__xludf.DUMMYFUNCTION("GOOGLEFINANCE(A329,""high52"")"),"#N/A")</f>
        <v>#N/A</v>
      </c>
      <c r="E329" s="33" t="str">
        <f>IFERROR(__xludf.DUMMYFUNCTION("to_date(index(sort(GOOGLEFINANCE(A329, ""high"", today()-52*7, today(), ""DAILY""),2,0),2,1))"),"#N/A")</f>
        <v>#N/A</v>
      </c>
      <c r="F329" s="32" t="str">
        <f>IFERROR(__xludf.DUMMYFUNCTION("GOOGLEFINANCE(A329,""low52"")"),"#N/A")</f>
        <v>#N/A</v>
      </c>
      <c r="G329" s="33" t="str">
        <f>IFERROR(__xludf.DUMMYFUNCTION("to_date(index(sort(GOOGLEFINANCE(A329, ""low"", today()-52*7, today(), ""DAILY""),2,1),1,1))"),"#N/A")</f>
        <v>#N/A</v>
      </c>
      <c r="H329" s="61" t="str">
        <f>IFERROR(__xludf.DUMMYFUNCTION("MIN(QUERY(SORT(GOOGLEFINANCE(A329,""low"",TODAY()-40,TODAY()),1,0),""select Col2 limit 20""))"),"#N/A")</f>
        <v>#N/A</v>
      </c>
      <c r="I329" s="61" t="str">
        <f t="shared" si="1"/>
        <v>#N/A</v>
      </c>
      <c r="J329" s="35" t="str">
        <f t="shared" si="2"/>
        <v>#N/A</v>
      </c>
    </row>
    <row r="330">
      <c r="A330" s="7" t="s">
        <v>275</v>
      </c>
      <c r="B330" s="59">
        <f>IFERROR(__xludf.DUMMYFUNCTION("GOOGLEFINANCE(A330,""price"")"),594.95)</f>
        <v>594.95</v>
      </c>
      <c r="C330" s="60">
        <f>IFERROR(__xludf.DUMMYFUNCTION("MAX(QUERY(SORT(GOOGLEFINANCE(A330,""high"",TODAY()-100,TODAY()),1,0),""select Col2 limit 55""))"),585.65)</f>
        <v>585.65</v>
      </c>
      <c r="D330" s="32">
        <f>IFERROR(__xludf.DUMMYFUNCTION("GOOGLEFINANCE(A330,""high52"")"),598.7)</f>
        <v>598.7</v>
      </c>
      <c r="E330" s="33">
        <f>IFERROR(__xludf.DUMMYFUNCTION("to_date(index(sort(GOOGLEFINANCE(A330, ""high"", today()-52*7, today(), ""DAILY""),2,0),2,1))"),46140.64583333333)</f>
        <v>46140.64583</v>
      </c>
      <c r="F330" s="32">
        <f>IFERROR(__xludf.DUMMYFUNCTION("GOOGLEFINANCE(A330,""low52"")"),427.75)</f>
        <v>427.75</v>
      </c>
      <c r="G330" s="33">
        <f>IFERROR(__xludf.DUMMYFUNCTION("to_date(index(sort(GOOGLEFINANCE(A330, ""low"", today()-52*7, today(), ""DAILY""),2,1),1,1))"),46049.64583333333)</f>
        <v>46049.64583</v>
      </c>
      <c r="H330" s="61">
        <f>IFERROR(__xludf.DUMMYFUNCTION("MIN(QUERY(SORT(GOOGLEFINANCE(A330,""low"",TODAY()-40,TODAY()),1,0),""select Col2 limit 20""))"),505.2)</f>
        <v>505.2</v>
      </c>
      <c r="I330" s="61">
        <f t="shared" si="1"/>
        <v>-1.563156568</v>
      </c>
      <c r="J330" s="35" t="str">
        <f t="shared" si="2"/>
        <v>No need to fresh start</v>
      </c>
    </row>
    <row r="331">
      <c r="A331" s="7" t="s">
        <v>521</v>
      </c>
      <c r="B331" s="59">
        <f>IFERROR(__xludf.DUMMYFUNCTION("GOOGLEFINANCE(A331,""price"")"),3160.2)</f>
        <v>3160.2</v>
      </c>
      <c r="C331" s="60">
        <f>IFERROR(__xludf.DUMMYFUNCTION("MAX(QUERY(SORT(GOOGLEFINANCE(A331,""high"",TODAY()-100,TODAY()),1,0),""select Col2 limit 55""))"),3153.0)</f>
        <v>3153</v>
      </c>
      <c r="D331" s="32">
        <f>IFERROR(__xludf.DUMMYFUNCTION("GOOGLEFINANCE(A331,""high52"")"),3419.9)</f>
        <v>3419.9</v>
      </c>
      <c r="E331" s="33">
        <f>IFERROR(__xludf.DUMMYFUNCTION("to_date(index(sort(GOOGLEFINANCE(A331, ""high"", today()-52*7, today(), ""DAILY""),2,0),2,1))"),45916.64583333333)</f>
        <v>45916.64583</v>
      </c>
      <c r="F331" s="32">
        <f>IFERROR(__xludf.DUMMYFUNCTION("GOOGLEFINANCE(A331,""low52"")"),2164.9)</f>
        <v>2164.9</v>
      </c>
      <c r="G331" s="33">
        <f>IFERROR(__xludf.DUMMYFUNCTION("to_date(index(sort(GOOGLEFINANCE(A331, ""low"", today()-52*7, today(), ""DAILY""),2,1),1,1))"),46049.64583333333)</f>
        <v>46049.64583</v>
      </c>
      <c r="H331" s="61">
        <f>IFERROR(__xludf.DUMMYFUNCTION("MIN(QUERY(SORT(GOOGLEFINANCE(A331,""low"",TODAY()-40,TODAY()),1,0),""select Col2 limit 20""))"),2729.3)</f>
        <v>2729.3</v>
      </c>
      <c r="I331" s="61">
        <f t="shared" si="1"/>
        <v>-0.2278336814</v>
      </c>
      <c r="J331" s="35" t="str">
        <f t="shared" si="2"/>
        <v>No need to fresh start</v>
      </c>
    </row>
    <row r="332">
      <c r="A332" s="7" t="s">
        <v>522</v>
      </c>
      <c r="B332" s="59" t="str">
        <f>IFERROR(__xludf.DUMMYFUNCTION("GOOGLEFINANCE(A332,""price"")"),"#N/A")</f>
        <v>#N/A</v>
      </c>
      <c r="C332" s="60" t="str">
        <f>IFERROR(__xludf.DUMMYFUNCTION("MAX(QUERY(SORT(GOOGLEFINANCE(A332,""high"",TODAY()-100,TODAY()),1,0),""select Col2 limit 55""))"),"#N/A")</f>
        <v>#N/A</v>
      </c>
      <c r="D332" s="32" t="str">
        <f>IFERROR(__xludf.DUMMYFUNCTION("GOOGLEFINANCE(A332,""high52"")"),"#N/A")</f>
        <v>#N/A</v>
      </c>
      <c r="E332" s="33" t="str">
        <f>IFERROR(__xludf.DUMMYFUNCTION("to_date(index(sort(GOOGLEFINANCE(A332, ""high"", today()-52*7, today(), ""DAILY""),2,0),2,1))"),"#N/A")</f>
        <v>#N/A</v>
      </c>
      <c r="F332" s="32" t="str">
        <f>IFERROR(__xludf.DUMMYFUNCTION("GOOGLEFINANCE(A332,""low52"")"),"#N/A")</f>
        <v>#N/A</v>
      </c>
      <c r="G332" s="33" t="str">
        <f>IFERROR(__xludf.DUMMYFUNCTION("to_date(index(sort(GOOGLEFINANCE(A332, ""low"", today()-52*7, today(), ""DAILY""),2,1),1,1))"),"#N/A")</f>
        <v>#N/A</v>
      </c>
      <c r="H332" s="61" t="str">
        <f>IFERROR(__xludf.DUMMYFUNCTION("MIN(QUERY(SORT(GOOGLEFINANCE(A332,""low"",TODAY()-40,TODAY()),1,0),""select Col2 limit 20""))"),"#N/A")</f>
        <v>#N/A</v>
      </c>
      <c r="I332" s="61" t="str">
        <f t="shared" si="1"/>
        <v>#N/A</v>
      </c>
      <c r="J332" s="35" t="str">
        <f t="shared" si="2"/>
        <v>#N/A</v>
      </c>
    </row>
    <row r="333">
      <c r="A333" s="7" t="s">
        <v>247</v>
      </c>
      <c r="B333" s="59">
        <f>IFERROR(__xludf.DUMMYFUNCTION("GOOGLEFINANCE(A333,""price"")"),38100.0)</f>
        <v>38100</v>
      </c>
      <c r="C333" s="60">
        <f>IFERROR(__xludf.DUMMYFUNCTION("MAX(QUERY(SORT(GOOGLEFINANCE(A333,""high"",TODAY()-100,TODAY()),1,0),""select Col2 limit 55""))"),40490.0)</f>
        <v>40490</v>
      </c>
      <c r="D333" s="32">
        <f>IFERROR(__xludf.DUMMYFUNCTION("GOOGLEFINANCE(A333,""high52"")"),50590.0)</f>
        <v>50590</v>
      </c>
      <c r="E333" s="33">
        <f>IFERROR(__xludf.DUMMYFUNCTION("to_date(index(sort(GOOGLEFINANCE(A333, ""high"", today()-52*7, today(), ""DAILY""),2,0),2,1))"),45835.64583333333)</f>
        <v>45835.64583</v>
      </c>
      <c r="F333" s="32">
        <f>IFERROR(__xludf.DUMMYFUNCTION("GOOGLEFINANCE(A333,""low52"")"),29805.0)</f>
        <v>29805</v>
      </c>
      <c r="G333" s="33">
        <f>IFERROR(__xludf.DUMMYFUNCTION("to_date(index(sort(GOOGLEFINANCE(A333, ""low"", today()-52*7, today(), ""DAILY""),2,1),1,1))"),46097.64583333333)</f>
        <v>46097.64583</v>
      </c>
      <c r="H333" s="61">
        <f>IFERROR(__xludf.DUMMYFUNCTION("MIN(QUERY(SORT(GOOGLEFINANCE(A333,""low"",TODAY()-40,TODAY()),1,0),""select Col2 limit 20""))"),34720.0)</f>
        <v>34720</v>
      </c>
      <c r="I333" s="61">
        <f t="shared" si="1"/>
        <v>6.272965879</v>
      </c>
      <c r="J333" s="35" t="str">
        <f t="shared" si="2"/>
        <v>No need to fresh start</v>
      </c>
    </row>
    <row r="334">
      <c r="A334" s="7" t="s">
        <v>523</v>
      </c>
      <c r="B334" s="59">
        <f>IFERROR(__xludf.DUMMYFUNCTION("GOOGLEFINANCE(A334,""price"")"),1006.15)</f>
        <v>1006.15</v>
      </c>
      <c r="C334" s="60">
        <f>IFERROR(__xludf.DUMMYFUNCTION("MAX(QUERY(SORT(GOOGLEFINANCE(A334,""high"",TODAY()-100,TODAY()),1,0),""select Col2 limit 55""))"),1129.9)</f>
        <v>1129.9</v>
      </c>
      <c r="D334" s="32">
        <f>IFERROR(__xludf.DUMMYFUNCTION("GOOGLEFINANCE(A334,""high52"")"),1603.0)</f>
        <v>1603</v>
      </c>
      <c r="E334" s="33">
        <f>IFERROR(__xludf.DUMMYFUNCTION("to_date(index(sort(GOOGLEFINANCE(A334, ""high"", today()-52*7, today(), ""DAILY""),2,0),2,1))"),45924.64583333333)</f>
        <v>45924.64583</v>
      </c>
      <c r="F334" s="32">
        <f>IFERROR(__xludf.DUMMYFUNCTION("GOOGLEFINANCE(A334,""low52"")"),726.4)</f>
        <v>726.4</v>
      </c>
      <c r="G334" s="33">
        <f>IFERROR(__xludf.DUMMYFUNCTION("to_date(index(sort(GOOGLEFINANCE(A334, ""low"", today()-52*7, today(), ""DAILY""),2,1),1,1))"),46111.64583333333)</f>
        <v>46111.64583</v>
      </c>
      <c r="H334" s="61">
        <f>IFERROR(__xludf.DUMMYFUNCTION("MIN(QUERY(SORT(GOOGLEFINANCE(A334,""low"",TODAY()-40,TODAY()),1,0),""select Col2 limit 20""))"),834.8)</f>
        <v>834.8</v>
      </c>
      <c r="I334" s="61">
        <f t="shared" si="1"/>
        <v>12.29935894</v>
      </c>
      <c r="J334" s="35" t="str">
        <f t="shared" si="2"/>
        <v>Start GTT Order</v>
      </c>
    </row>
    <row r="335">
      <c r="A335" s="7" t="s">
        <v>524</v>
      </c>
      <c r="B335" s="59">
        <f>IFERROR(__xludf.DUMMYFUNCTION("GOOGLEFINANCE(A335,""price"")"),600.35)</f>
        <v>600.35</v>
      </c>
      <c r="C335" s="60">
        <f>IFERROR(__xludf.DUMMYFUNCTION("MAX(QUERY(SORT(GOOGLEFINANCE(A335,""high"",TODAY()-100,TODAY()),1,0),""select Col2 limit 55""))"),647.0)</f>
        <v>647</v>
      </c>
      <c r="D335" s="32">
        <f>IFERROR(__xludf.DUMMYFUNCTION("GOOGLEFINANCE(A335,""high52"")"),647.0)</f>
        <v>647</v>
      </c>
      <c r="E335" s="33">
        <f>IFERROR(__xludf.DUMMYFUNCTION("to_date(index(sort(GOOGLEFINANCE(A335, ""high"", today()-52*7, today(), ""DAILY""),2,0),2,1))"),46148.64583333333)</f>
        <v>46148.64583</v>
      </c>
      <c r="F335" s="32">
        <f>IFERROR(__xludf.DUMMYFUNCTION("GOOGLEFINANCE(A335,""low52"")"),383.7)</f>
        <v>383.7</v>
      </c>
      <c r="G335" s="33">
        <f>IFERROR(__xludf.DUMMYFUNCTION("to_date(index(sort(GOOGLEFINANCE(A335, ""low"", today()-52*7, today(), ""DAILY""),2,1),1,1))"),45880.64583333333)</f>
        <v>45880.64583</v>
      </c>
      <c r="H335" s="61">
        <f>IFERROR(__xludf.DUMMYFUNCTION("MIN(QUERY(SORT(GOOGLEFINANCE(A335,""low"",TODAY()-40,TODAY()),1,0),""select Col2 limit 20""))"),562.3)</f>
        <v>562.3</v>
      </c>
      <c r="I335" s="61">
        <f t="shared" si="1"/>
        <v>7.770467227</v>
      </c>
      <c r="J335" s="35" t="str">
        <f t="shared" si="2"/>
        <v>No need to fresh start</v>
      </c>
    </row>
    <row r="336">
      <c r="A336" s="7" t="s">
        <v>266</v>
      </c>
      <c r="B336" s="59">
        <f>IFERROR(__xludf.DUMMYFUNCTION("GOOGLEFINANCE(A336,""price"")"),1868.0)</f>
        <v>1868</v>
      </c>
      <c r="C336" s="60">
        <f>IFERROR(__xludf.DUMMYFUNCTION("MAX(QUERY(SORT(GOOGLEFINANCE(A336,""high"",TODAY()-100,TODAY()),1,0),""select Col2 limit 55""))"),2197.9)</f>
        <v>2197.9</v>
      </c>
      <c r="D336" s="32">
        <f>IFERROR(__xludf.DUMMYFUNCTION("GOOGLEFINANCE(A336,""high52"")"),2718.9)</f>
        <v>2718.9</v>
      </c>
      <c r="E336" s="33">
        <f>IFERROR(__xludf.DUMMYFUNCTION("to_date(index(sort(GOOGLEFINANCE(A336, ""high"", today()-52*7, today(), ""DAILY""),2,0),2,1))"),45869.64583333333)</f>
        <v>45869.64583</v>
      </c>
      <c r="F336" s="32">
        <f>IFERROR(__xludf.DUMMYFUNCTION("GOOGLEFINANCE(A336,""low52"")"),1786.0)</f>
        <v>1786</v>
      </c>
      <c r="G336" s="33">
        <f>IFERROR(__xludf.DUMMYFUNCTION("to_date(index(sort(GOOGLEFINANCE(A336, ""low"", today()-52*7, today(), ""DAILY""),2,1),1,1))"),46160.64583333333)</f>
        <v>46160.64583</v>
      </c>
      <c r="H336" s="61">
        <f>IFERROR(__xludf.DUMMYFUNCTION("MIN(QUERY(SORT(GOOGLEFINANCE(A336,""low"",TODAY()-40,TODAY()),1,0),""select Col2 limit 20""))"),1786.0)</f>
        <v>1786</v>
      </c>
      <c r="I336" s="61">
        <f t="shared" si="1"/>
        <v>17.66059957</v>
      </c>
      <c r="J336" s="35" t="str">
        <f t="shared" si="2"/>
        <v>Start GTT Order</v>
      </c>
    </row>
    <row r="337">
      <c r="A337" s="7" t="s">
        <v>283</v>
      </c>
      <c r="B337" s="59">
        <f>IFERROR(__xludf.DUMMYFUNCTION("GOOGLEFINANCE(A337,""price"")"),289.8)</f>
        <v>289.8</v>
      </c>
      <c r="C337" s="60">
        <f>IFERROR(__xludf.DUMMYFUNCTION("MAX(QUERY(SORT(GOOGLEFINANCE(A337,""high"",TODAY()-100,TODAY()),1,0),""select Col2 limit 55""))"),301.7)</f>
        <v>301.7</v>
      </c>
      <c r="D337" s="32">
        <f>IFERROR(__xludf.DUMMYFUNCTION("GOOGLEFINANCE(A337,""high52"")"),302.0)</f>
        <v>302</v>
      </c>
      <c r="E337" s="33">
        <f>IFERROR(__xludf.DUMMYFUNCTION("to_date(index(sort(GOOGLEFINANCE(A337, ""high"", today()-52*7, today(), ""DAILY""),2,0),2,1))"),46080.64583333333)</f>
        <v>46080.64583</v>
      </c>
      <c r="F337" s="32">
        <f>IFERROR(__xludf.DUMMYFUNCTION("GOOGLEFINANCE(A337,""low52"")"),185.11)</f>
        <v>185.11</v>
      </c>
      <c r="G337" s="33">
        <f>IFERROR(__xludf.DUMMYFUNCTION("to_date(index(sort(GOOGLEFINANCE(A337, ""low"", today()-52*7, today(), ""DAILY""),2,1),1,1))"),45873.64583333333)</f>
        <v>45873.64583</v>
      </c>
      <c r="H337" s="61">
        <f>IFERROR(__xludf.DUMMYFUNCTION("MIN(QUERY(SORT(GOOGLEFINANCE(A337,""low"",TODAY()-40,TODAY()),1,0),""select Col2 limit 20""))"),277.1)</f>
        <v>277.1</v>
      </c>
      <c r="I337" s="61">
        <f t="shared" si="1"/>
        <v>4.106280193</v>
      </c>
      <c r="J337" s="35" t="str">
        <f t="shared" si="2"/>
        <v>No need to fresh start</v>
      </c>
    </row>
    <row r="338">
      <c r="A338" s="7" t="s">
        <v>65</v>
      </c>
      <c r="B338" s="59">
        <f>IFERROR(__xludf.DUMMYFUNCTION("GOOGLEFINANCE(A338,""price"")"),207.06)</f>
        <v>207.06</v>
      </c>
      <c r="C338" s="60">
        <f>IFERROR(__xludf.DUMMYFUNCTION("MAX(QUERY(SORT(GOOGLEFINANCE(A338,""high"",TODAY()-100,TODAY()),1,0),""select Col2 limit 55""))"),230.85)</f>
        <v>230.85</v>
      </c>
      <c r="D338" s="32">
        <f>IFERROR(__xludf.DUMMYFUNCTION("GOOGLEFINANCE(A338,""high52"")"),316.0)</f>
        <v>316</v>
      </c>
      <c r="E338" s="33">
        <f>IFERROR(__xludf.DUMMYFUNCTION("to_date(index(sort(GOOGLEFINANCE(A338, ""high"", today()-52*7, today(), ""DAILY""),2,0),2,1))"),45813.64583333333)</f>
        <v>45813.64583</v>
      </c>
      <c r="F338" s="32">
        <f>IFERROR(__xludf.DUMMYFUNCTION("GOOGLEFINANCE(A338,""low52"")"),175.0)</f>
        <v>175</v>
      </c>
      <c r="G338" s="33">
        <f>IFERROR(__xludf.DUMMYFUNCTION("to_date(index(sort(GOOGLEFINANCE(A338, ""low"", today()-52*7, today(), ""DAILY""),2,1),1,1))"),46111.64583333333)</f>
        <v>46111.64583</v>
      </c>
      <c r="H338" s="61">
        <f>IFERROR(__xludf.DUMMYFUNCTION("MIN(QUERY(SORT(GOOGLEFINANCE(A338,""low"",TODAY()-40,TODAY()),1,0),""select Col2 limit 20""))"),200.96)</f>
        <v>200.96</v>
      </c>
      <c r="I338" s="61">
        <f t="shared" si="1"/>
        <v>11.48942336</v>
      </c>
      <c r="J338" s="35" t="str">
        <f t="shared" si="2"/>
        <v>Start GTT Order</v>
      </c>
    </row>
    <row r="339">
      <c r="A339" s="7" t="s">
        <v>525</v>
      </c>
      <c r="B339" s="59">
        <f>IFERROR(__xludf.DUMMYFUNCTION("GOOGLEFINANCE(A339,""price"")"),36915.0)</f>
        <v>36915</v>
      </c>
      <c r="C339" s="60">
        <f>IFERROR(__xludf.DUMMYFUNCTION("MAX(QUERY(SORT(GOOGLEFINANCE(A339,""high"",TODAY()-100,TODAY()),1,0),""select Col2 limit 55""))"),36750.0)</f>
        <v>36750</v>
      </c>
      <c r="D339" s="32">
        <f>IFERROR(__xludf.DUMMYFUNCTION("GOOGLEFINANCE(A339,""high52"")"),37220.0)</f>
        <v>37220</v>
      </c>
      <c r="E339" s="33">
        <f>IFERROR(__xludf.DUMMYFUNCTION("to_date(index(sort(GOOGLEFINANCE(A339, ""high"", today()-52*7, today(), ""DAILY""),2,0),2,1))"),46163.64583333333)</f>
        <v>46163.64583</v>
      </c>
      <c r="F339" s="32">
        <f>IFERROR(__xludf.DUMMYFUNCTION("GOOGLEFINANCE(A339,""low52"")"),16111.0)</f>
        <v>16111</v>
      </c>
      <c r="G339" s="33">
        <f>IFERROR(__xludf.DUMMYFUNCTION("to_date(index(sort(GOOGLEFINANCE(A339, ""low"", today()-52*7, today(), ""DAILY""),2,1),1,1))"),46038.64583333333)</f>
        <v>46038.64583</v>
      </c>
      <c r="H339" s="61">
        <f>IFERROR(__xludf.DUMMYFUNCTION("MIN(QUERY(SORT(GOOGLEFINANCE(A339,""low"",TODAY()-40,TODAY()),1,0),""select Col2 limit 20""))"),31195.0)</f>
        <v>31195</v>
      </c>
      <c r="I339" s="61">
        <f t="shared" si="1"/>
        <v>-0.4469727753</v>
      </c>
      <c r="J339" s="35" t="str">
        <f t="shared" si="2"/>
        <v>No need to fresh start</v>
      </c>
    </row>
    <row r="340">
      <c r="A340" s="7" t="s">
        <v>526</v>
      </c>
      <c r="B340" s="59">
        <f>IFERROR(__xludf.DUMMYFUNCTION("GOOGLEFINANCE(A340,""price"")"),176.75)</f>
        <v>176.75</v>
      </c>
      <c r="C340" s="60">
        <f>IFERROR(__xludf.DUMMYFUNCTION("MAX(QUERY(SORT(GOOGLEFINANCE(A340,""high"",TODAY()-100,TODAY()),1,0),""select Col2 limit 55""))"),183.0)</f>
        <v>183</v>
      </c>
      <c r="D340" s="32">
        <f>IFERROR(__xludf.DUMMYFUNCTION("GOOGLEFINANCE(A340,""high52"")"),183.0)</f>
        <v>183</v>
      </c>
      <c r="E340" s="33">
        <f>IFERROR(__xludf.DUMMYFUNCTION("to_date(index(sort(GOOGLEFINANCE(A340, ""high"", today()-52*7, today(), ""DAILY""),2,0),2,1))"),46167.64583333333)</f>
        <v>46167.64583</v>
      </c>
      <c r="F340" s="32">
        <f>IFERROR(__xludf.DUMMYFUNCTION("GOOGLEFINANCE(A340,""low52"")"),99.9)</f>
        <v>99.9</v>
      </c>
      <c r="G340" s="33">
        <f>IFERROR(__xludf.DUMMYFUNCTION("to_date(index(sort(GOOGLEFINANCE(A340, ""low"", today()-52*7, today(), ""DAILY""),2,1),1,1))"),46000.64583333333)</f>
        <v>46000.64583</v>
      </c>
      <c r="H340" s="61">
        <f>IFERROR(__xludf.DUMMYFUNCTION("MIN(QUERY(SORT(GOOGLEFINANCE(A340,""low"",TODAY()-40,TODAY()),1,0),""select Col2 limit 20""))"),125.43)</f>
        <v>125.43</v>
      </c>
      <c r="I340" s="61">
        <f t="shared" si="1"/>
        <v>3.536067893</v>
      </c>
      <c r="J340" s="35" t="str">
        <f t="shared" si="2"/>
        <v>No need to fresh start</v>
      </c>
    </row>
    <row r="341">
      <c r="A341" s="7" t="s">
        <v>527</v>
      </c>
      <c r="B341" s="59" t="str">
        <f>IFERROR(__xludf.DUMMYFUNCTION("GOOGLEFINANCE(A341,""price"")"),"#N/A")</f>
        <v>#N/A</v>
      </c>
      <c r="C341" s="60" t="str">
        <f>IFERROR(__xludf.DUMMYFUNCTION("MAX(QUERY(SORT(GOOGLEFINANCE(A341,""high"",TODAY()-100,TODAY()),1,0),""select Col2 limit 55""))"),"#N/A")</f>
        <v>#N/A</v>
      </c>
      <c r="D341" s="32" t="str">
        <f>IFERROR(__xludf.DUMMYFUNCTION("GOOGLEFINANCE(A341,""high52"")"),"#N/A")</f>
        <v>#N/A</v>
      </c>
      <c r="E341" s="33" t="str">
        <f>IFERROR(__xludf.DUMMYFUNCTION("to_date(index(sort(GOOGLEFINANCE(A341, ""high"", today()-52*7, today(), ""DAILY""),2,0),2,1))"),"#N/A")</f>
        <v>#N/A</v>
      </c>
      <c r="F341" s="32" t="str">
        <f>IFERROR(__xludf.DUMMYFUNCTION("GOOGLEFINANCE(A341,""low52"")"),"#N/A")</f>
        <v>#N/A</v>
      </c>
      <c r="G341" s="33" t="str">
        <f>IFERROR(__xludf.DUMMYFUNCTION("to_date(index(sort(GOOGLEFINANCE(A341, ""low"", today()-52*7, today(), ""DAILY""),2,1),1,1))"),"#N/A")</f>
        <v>#N/A</v>
      </c>
      <c r="H341" s="61" t="str">
        <f>IFERROR(__xludf.DUMMYFUNCTION("MIN(QUERY(SORT(GOOGLEFINANCE(A341,""low"",TODAY()-40,TODAY()),1,0),""select Col2 limit 20""))"),"#N/A")</f>
        <v>#N/A</v>
      </c>
      <c r="I341" s="61" t="str">
        <f t="shared" si="1"/>
        <v>#N/A</v>
      </c>
      <c r="J341" s="35" t="str">
        <f t="shared" si="2"/>
        <v>#N/A</v>
      </c>
    </row>
    <row r="342">
      <c r="A342" s="7" t="s">
        <v>56</v>
      </c>
      <c r="B342" s="59">
        <f>IFERROR(__xludf.DUMMYFUNCTION("GOOGLEFINANCE(A342,""price"")"),418.6)</f>
        <v>418.6</v>
      </c>
      <c r="C342" s="60">
        <f>IFERROR(__xludf.DUMMYFUNCTION("MAX(QUERY(SORT(GOOGLEFINANCE(A342,""high"",TODAY()-100,TODAY()),1,0),""select Col2 limit 55""))"),473.45)</f>
        <v>473.45</v>
      </c>
      <c r="D342" s="32">
        <f>IFERROR(__xludf.DUMMYFUNCTION("GOOGLEFINANCE(A342,""high52"")"),473.45)</f>
        <v>473.45</v>
      </c>
      <c r="E342" s="33">
        <f>IFERROR(__xludf.DUMMYFUNCTION("to_date(index(sort(GOOGLEFINANCE(A342, ""high"", today()-52*7, today(), ""DAILY""),2,0),2,1))"),46087.64583333333)</f>
        <v>46087.64583</v>
      </c>
      <c r="F342" s="32">
        <f>IFERROR(__xludf.DUMMYFUNCTION("GOOGLEFINANCE(A342,""low52"")"),361.2)</f>
        <v>361.2</v>
      </c>
      <c r="G342" s="33">
        <f>IFERROR(__xludf.DUMMYFUNCTION("to_date(index(sort(GOOGLEFINANCE(A342, ""low"", today()-52*7, today(), ""DAILY""),2,1),1,1))"),45897.64583333333)</f>
        <v>45897.64583</v>
      </c>
      <c r="H342" s="61">
        <f>IFERROR(__xludf.DUMMYFUNCTION("MIN(QUERY(SORT(GOOGLEFINANCE(A342,""low"",TODAY()-40,TODAY()),1,0),""select Col2 limit 20""))"),407.0)</f>
        <v>407</v>
      </c>
      <c r="I342" s="61">
        <f t="shared" si="1"/>
        <v>13.10320115</v>
      </c>
      <c r="J342" s="35" t="str">
        <f t="shared" si="2"/>
        <v>No need to fresh start</v>
      </c>
    </row>
    <row r="343">
      <c r="A343" s="7" t="s">
        <v>528</v>
      </c>
      <c r="B343" s="59">
        <f>IFERROR(__xludf.DUMMYFUNCTION("GOOGLEFINANCE(A343,""price"")"),1084.2)</f>
        <v>1084.2</v>
      </c>
      <c r="C343" s="60">
        <f>IFERROR(__xludf.DUMMYFUNCTION("MAX(QUERY(SORT(GOOGLEFINANCE(A343,""high"",TODAY()-100,TODAY()),1,0),""select Col2 limit 55""))"),1246.8)</f>
        <v>1246.8</v>
      </c>
      <c r="D343" s="32">
        <f>IFERROR(__xludf.DUMMYFUNCTION("GOOGLEFINANCE(A343,""high52"")"),1321.9)</f>
        <v>1321.9</v>
      </c>
      <c r="E343" s="33">
        <f>IFERROR(__xludf.DUMMYFUNCTION("to_date(index(sort(GOOGLEFINANCE(A343, ""high"", today()-52*7, today(), ""DAILY""),2,0),2,1))"),45877.64583333333)</f>
        <v>45877.64583</v>
      </c>
      <c r="F343" s="32">
        <f>IFERROR(__xludf.DUMMYFUNCTION("GOOGLEFINANCE(A343,""low52"")"),869.6)</f>
        <v>869.6</v>
      </c>
      <c r="G343" s="33">
        <f>IFERROR(__xludf.DUMMYFUNCTION("to_date(index(sort(GOOGLEFINANCE(A343, ""low"", today()-52*7, today(), ""DAILY""),2,1),1,1))"),46055.64583333333)</f>
        <v>46055.64583</v>
      </c>
      <c r="H343" s="61">
        <f>IFERROR(__xludf.DUMMYFUNCTION("MIN(QUERY(SORT(GOOGLEFINANCE(A343,""low"",TODAY()-40,TODAY()),1,0),""select Col2 limit 20""))"),1041.2)</f>
        <v>1041.2</v>
      </c>
      <c r="I343" s="61">
        <f t="shared" si="1"/>
        <v>14.99723298</v>
      </c>
      <c r="J343" s="35" t="str">
        <f t="shared" si="2"/>
        <v>Start GTT Order</v>
      </c>
    </row>
    <row r="344">
      <c r="A344" s="7" t="s">
        <v>529</v>
      </c>
      <c r="B344" s="59">
        <f>IFERROR(__xludf.DUMMYFUNCTION("GOOGLEFINANCE(A344,""price"")"),1286.0)</f>
        <v>1286</v>
      </c>
      <c r="C344" s="60">
        <f>IFERROR(__xludf.DUMMYFUNCTION("MAX(QUERY(SORT(GOOGLEFINANCE(A344,""high"",TODAY()-100,TODAY()),1,0),""select Col2 limit 55""))"),1379.0)</f>
        <v>1379</v>
      </c>
      <c r="D344" s="32">
        <f>IFERROR(__xludf.DUMMYFUNCTION("GOOGLEFINANCE(A344,""high52"")"),1865.0)</f>
        <v>1865</v>
      </c>
      <c r="E344" s="33">
        <f>IFERROR(__xludf.DUMMYFUNCTION("to_date(index(sort(GOOGLEFINANCE(A344, ""high"", today()-52*7, today(), ""DAILY""),2,0),2,1))"),45863.64583333333)</f>
        <v>45863.64583</v>
      </c>
      <c r="F344" s="32">
        <f>IFERROR(__xludf.DUMMYFUNCTION("GOOGLEFINANCE(A344,""low52"")"),1050.5)</f>
        <v>1050.5</v>
      </c>
      <c r="G344" s="33">
        <f>IFERROR(__xludf.DUMMYFUNCTION("to_date(index(sort(GOOGLEFINANCE(A344, ""low"", today()-52*7, today(), ""DAILY""),2,1),1,1))"),46111.64583333333)</f>
        <v>46111.64583</v>
      </c>
      <c r="H344" s="61">
        <f>IFERROR(__xludf.DUMMYFUNCTION("MIN(QUERY(SORT(GOOGLEFINANCE(A344,""low"",TODAY()-40,TODAY()),1,0),""select Col2 limit 20""))"),1225.5)</f>
        <v>1225.5</v>
      </c>
      <c r="I344" s="61">
        <f t="shared" si="1"/>
        <v>7.231726283</v>
      </c>
      <c r="J344" s="35" t="str">
        <f t="shared" si="2"/>
        <v>No need to fresh start</v>
      </c>
    </row>
    <row r="345">
      <c r="A345" s="7" t="s">
        <v>530</v>
      </c>
      <c r="B345" s="59" t="str">
        <f>IFERROR(__xludf.DUMMYFUNCTION("GOOGLEFINANCE(A345,""price"")"),"#N/A")</f>
        <v>#N/A</v>
      </c>
      <c r="C345" s="60" t="str">
        <f>IFERROR(__xludf.DUMMYFUNCTION("MAX(QUERY(SORT(GOOGLEFINANCE(A345,""high"",TODAY()-100,TODAY()),1,0),""select Col2 limit 55""))"),"#N/A")</f>
        <v>#N/A</v>
      </c>
      <c r="D345" s="32" t="str">
        <f>IFERROR(__xludf.DUMMYFUNCTION("GOOGLEFINANCE(A345,""high52"")"),"#N/A")</f>
        <v>#N/A</v>
      </c>
      <c r="E345" s="33" t="str">
        <f>IFERROR(__xludf.DUMMYFUNCTION("to_date(index(sort(GOOGLEFINANCE(A345, ""high"", today()-52*7, today(), ""DAILY""),2,0),2,1))"),"#N/A")</f>
        <v>#N/A</v>
      </c>
      <c r="F345" s="32" t="str">
        <f>IFERROR(__xludf.DUMMYFUNCTION("GOOGLEFINANCE(A345,""low52"")"),"#N/A")</f>
        <v>#N/A</v>
      </c>
      <c r="G345" s="33" t="str">
        <f>IFERROR(__xludf.DUMMYFUNCTION("to_date(index(sort(GOOGLEFINANCE(A345, ""low"", today()-52*7, today(), ""DAILY""),2,1),1,1))"),"#N/A")</f>
        <v>#N/A</v>
      </c>
      <c r="H345" s="61" t="str">
        <f>IFERROR(__xludf.DUMMYFUNCTION("MIN(QUERY(SORT(GOOGLEFINANCE(A345,""low"",TODAY()-40,TODAY()),1,0),""select Col2 limit 20""))"),"#N/A")</f>
        <v>#N/A</v>
      </c>
      <c r="I345" s="61" t="str">
        <f t="shared" si="1"/>
        <v>#N/A</v>
      </c>
      <c r="J345" s="35" t="str">
        <f t="shared" si="2"/>
        <v>#N/A</v>
      </c>
    </row>
    <row r="346">
      <c r="A346" s="7" t="s">
        <v>531</v>
      </c>
      <c r="B346" s="59">
        <f>IFERROR(__xludf.DUMMYFUNCTION("GOOGLEFINANCE(A346,""price"")"),2044.8)</f>
        <v>2044.8</v>
      </c>
      <c r="C346" s="60">
        <f>IFERROR(__xludf.DUMMYFUNCTION("MAX(QUERY(SORT(GOOGLEFINANCE(A346,""high"",TODAY()-100,TODAY()),1,0),""select Col2 limit 55""))"),2099.0)</f>
        <v>2099</v>
      </c>
      <c r="D346" s="32">
        <f>IFERROR(__xludf.DUMMYFUNCTION("GOOGLEFINANCE(A346,""high52"")"),2395.0)</f>
        <v>2395</v>
      </c>
      <c r="E346" s="33">
        <f>IFERROR(__xludf.DUMMYFUNCTION("to_date(index(sort(GOOGLEFINANCE(A346, ""high"", today()-52*7, today(), ""DAILY""),2,0),2,1))"),45917.64583333333)</f>
        <v>45917.64583</v>
      </c>
      <c r="F346" s="32">
        <f>IFERROR(__xludf.DUMMYFUNCTION("GOOGLEFINANCE(A346,""low52"")"),1500.3)</f>
        <v>1500.3</v>
      </c>
      <c r="G346" s="33">
        <f>IFERROR(__xludf.DUMMYFUNCTION("to_date(index(sort(GOOGLEFINANCE(A346, ""low"", today()-52*7, today(), ""DAILY""),2,1),1,1))"),46111.64583333333)</f>
        <v>46111.64583</v>
      </c>
      <c r="H346" s="61">
        <f>IFERROR(__xludf.DUMMYFUNCTION("MIN(QUERY(SORT(GOOGLEFINANCE(A346,""low"",TODAY()-40,TODAY()),1,0),""select Col2 limit 20""))"),1678.4)</f>
        <v>1678.4</v>
      </c>
      <c r="I346" s="61">
        <f t="shared" si="1"/>
        <v>2.650625978</v>
      </c>
      <c r="J346" s="35" t="str">
        <f t="shared" si="2"/>
        <v>No need to fresh start</v>
      </c>
    </row>
    <row r="347">
      <c r="A347" s="7" t="s">
        <v>532</v>
      </c>
      <c r="B347" s="59">
        <f>IFERROR(__xludf.DUMMYFUNCTION("GOOGLEFINANCE(A347,""price"")"),124.3)</f>
        <v>124.3</v>
      </c>
      <c r="C347" s="60">
        <f>IFERROR(__xludf.DUMMYFUNCTION("MAX(QUERY(SORT(GOOGLEFINANCE(A347,""high"",TODAY()-100,TODAY()),1,0),""select Col2 limit 55""))"),141.87)</f>
        <v>141.87</v>
      </c>
      <c r="D347" s="32">
        <f>IFERROR(__xludf.DUMMYFUNCTION("GOOGLEFINANCE(A347,""high52"")"),152.6)</f>
        <v>152.6</v>
      </c>
      <c r="E347" s="33">
        <f>IFERROR(__xludf.DUMMYFUNCTION("to_date(index(sort(GOOGLEFINANCE(A347, ""high"", today()-52*7, today(), ""DAILY""),2,0),2,1))"),46069.64583333333)</f>
        <v>46069.64583</v>
      </c>
      <c r="F347" s="32">
        <f>IFERROR(__xludf.DUMMYFUNCTION("GOOGLEFINANCE(A347,""low52"")"),86.36)</f>
        <v>86.36</v>
      </c>
      <c r="G347" s="33">
        <f>IFERROR(__xludf.DUMMYFUNCTION("to_date(index(sort(GOOGLEFINANCE(A347, ""low"", today()-52*7, today(), ""DAILY""),2,1),1,1))"),45812.64583333333)</f>
        <v>45812.64583</v>
      </c>
      <c r="H347" s="61">
        <f>IFERROR(__xludf.DUMMYFUNCTION("MIN(QUERY(SORT(GOOGLEFINANCE(A347,""low"",TODAY()-40,TODAY()),1,0),""select Col2 limit 20""))"),109.22)</f>
        <v>109.22</v>
      </c>
      <c r="I347" s="61">
        <f t="shared" si="1"/>
        <v>14.13515688</v>
      </c>
      <c r="J347" s="35" t="str">
        <f t="shared" si="2"/>
        <v>No need to fresh start</v>
      </c>
    </row>
    <row r="348">
      <c r="A348" s="7" t="s">
        <v>71</v>
      </c>
      <c r="B348" s="59">
        <f>IFERROR(__xludf.DUMMYFUNCTION("GOOGLEFINANCE(A348,""price"")"),834.5)</f>
        <v>834.5</v>
      </c>
      <c r="C348" s="60">
        <f>IFERROR(__xludf.DUMMYFUNCTION("MAX(QUERY(SORT(GOOGLEFINANCE(A348,""high"",TODAY()-100,TODAY()),1,0),""select Col2 limit 55""))"),1000.9)</f>
        <v>1000.9</v>
      </c>
      <c r="D348" s="32">
        <f>IFERROR(__xludf.DUMMYFUNCTION("GOOGLEFINANCE(A348,""high52"")"),1000.9)</f>
        <v>1000.9</v>
      </c>
      <c r="E348" s="33">
        <f>IFERROR(__xludf.DUMMYFUNCTION("to_date(index(sort(GOOGLEFINANCE(A348, ""high"", today()-52*7, today(), ""DAILY""),2,0),2,1))"),46127.64583333333)</f>
        <v>46127.64583</v>
      </c>
      <c r="F348" s="32">
        <f>IFERROR(__xludf.DUMMYFUNCTION("GOOGLEFINANCE(A348,""low52"")"),586.25)</f>
        <v>586.25</v>
      </c>
      <c r="G348" s="33">
        <f>IFERROR(__xludf.DUMMYFUNCTION("to_date(index(sort(GOOGLEFINANCE(A348, ""low"", today()-52*7, today(), ""DAILY""),2,1),1,1))"),45805.64583333333)</f>
        <v>45805.64583</v>
      </c>
      <c r="H348" s="61">
        <f>IFERROR(__xludf.DUMMYFUNCTION("MIN(QUERY(SORT(GOOGLEFINANCE(A348,""low"",TODAY()-40,TODAY()),1,0),""select Col2 limit 20""))"),801.35)</f>
        <v>801.35</v>
      </c>
      <c r="I348" s="61">
        <f t="shared" si="1"/>
        <v>19.94008388</v>
      </c>
      <c r="J348" s="35" t="str">
        <f t="shared" si="2"/>
        <v>No need to fresh start</v>
      </c>
    </row>
    <row r="349">
      <c r="A349" s="7" t="s">
        <v>286</v>
      </c>
      <c r="B349" s="59">
        <f>IFERROR(__xludf.DUMMYFUNCTION("GOOGLEFINANCE(A349,""price"")"),2745.0)</f>
        <v>2745</v>
      </c>
      <c r="C349" s="60">
        <f>IFERROR(__xludf.DUMMYFUNCTION("MAX(QUERY(SORT(GOOGLEFINANCE(A349,""high"",TODAY()-100,TODAY()),1,0),""select Col2 limit 55""))"),2832.1)</f>
        <v>2832.1</v>
      </c>
      <c r="D349" s="32">
        <f>IFERROR(__xludf.DUMMYFUNCTION("GOOGLEFINANCE(A349,""high52"")"),3325.0)</f>
        <v>3325</v>
      </c>
      <c r="E349" s="33">
        <f>IFERROR(__xludf.DUMMYFUNCTION("to_date(index(sort(GOOGLEFINANCE(A349, ""high"", today()-52*7, today(), ""DAILY""),2,0),2,1))"),45848.64583333333)</f>
        <v>45848.64583</v>
      </c>
      <c r="F349" s="32">
        <f>IFERROR(__xludf.DUMMYFUNCTION("GOOGLEFINANCE(A349,""low52"")"),2355.0)</f>
        <v>2355</v>
      </c>
      <c r="G349" s="33">
        <f>IFERROR(__xludf.DUMMYFUNCTION("to_date(index(sort(GOOGLEFINANCE(A349, ""low"", today()-52*7, today(), ""DAILY""),2,1),1,1))"),46118.64583333333)</f>
        <v>46118.64583</v>
      </c>
      <c r="H349" s="61">
        <f>IFERROR(__xludf.DUMMYFUNCTION("MIN(QUERY(SORT(GOOGLEFINANCE(A349,""low"",TODAY()-40,TODAY()),1,0),""select Col2 limit 20""))"),2484.4)</f>
        <v>2484.4</v>
      </c>
      <c r="I349" s="61">
        <f t="shared" si="1"/>
        <v>3.173041894</v>
      </c>
      <c r="J349" s="35" t="str">
        <f t="shared" si="2"/>
        <v>No need to fresh start</v>
      </c>
    </row>
    <row r="350">
      <c r="A350" s="7" t="s">
        <v>533</v>
      </c>
      <c r="B350" s="59">
        <f>IFERROR(__xludf.DUMMYFUNCTION("GOOGLEFINANCE(A350,""price"")"),1568.0)</f>
        <v>1568</v>
      </c>
      <c r="C350" s="60">
        <f>IFERROR(__xludf.DUMMYFUNCTION("MAX(QUERY(SORT(GOOGLEFINANCE(A350,""high"",TODAY()-100,TODAY()),1,0),""select Col2 limit 55""))"),1798.0)</f>
        <v>1798</v>
      </c>
      <c r="D350" s="32">
        <f>IFERROR(__xludf.DUMMYFUNCTION("GOOGLEFINANCE(A350,""high52"")"),1798.0)</f>
        <v>1798</v>
      </c>
      <c r="E350" s="33">
        <f>IFERROR(__xludf.DUMMYFUNCTION("to_date(index(sort(GOOGLEFINANCE(A350, ""high"", today()-52*7, today(), ""DAILY""),2,0),2,1))"),46161.64583333333)</f>
        <v>46161.64583</v>
      </c>
      <c r="F350" s="32">
        <f>IFERROR(__xludf.DUMMYFUNCTION("GOOGLEFINANCE(A350,""low52"")"),913.1)</f>
        <v>913.1</v>
      </c>
      <c r="G350" s="33">
        <f>IFERROR(__xludf.DUMMYFUNCTION("to_date(index(sort(GOOGLEFINANCE(A350, ""low"", today()-52*7, today(), ""DAILY""),2,1),1,1))"),45870.64583333333)</f>
        <v>45870.64583</v>
      </c>
      <c r="H350" s="61">
        <f>IFERROR(__xludf.DUMMYFUNCTION("MIN(QUERY(SORT(GOOGLEFINANCE(A350,""low"",TODAY()-40,TODAY()),1,0),""select Col2 limit 20""))"),1428.0)</f>
        <v>1428</v>
      </c>
      <c r="I350" s="61">
        <f t="shared" si="1"/>
        <v>14.66836735</v>
      </c>
      <c r="J350" s="35" t="str">
        <f t="shared" si="2"/>
        <v>No need to fresh start</v>
      </c>
    </row>
    <row r="351">
      <c r="A351" s="7" t="s">
        <v>243</v>
      </c>
      <c r="B351" s="59">
        <f>IFERROR(__xludf.DUMMYFUNCTION("GOOGLEFINANCE(A351,""price"")"),1261.4)</f>
        <v>1261.4</v>
      </c>
      <c r="C351" s="60">
        <f>IFERROR(__xludf.DUMMYFUNCTION("MAX(QUERY(SORT(GOOGLEFINANCE(A351,""high"",TODAY()-100,TODAY()),1,0),""select Col2 limit 55""))"),1537.9)</f>
        <v>1537.9</v>
      </c>
      <c r="D351" s="32">
        <f>IFERROR(__xludf.DUMMYFUNCTION("GOOGLEFINANCE(A351,""high52"")"),1582.5)</f>
        <v>1582.5</v>
      </c>
      <c r="E351" s="33">
        <f>IFERROR(__xludf.DUMMYFUNCTION("to_date(index(sort(GOOGLEFINANCE(A351, ""high"", today()-52*7, today(), ""DAILY""),2,0),2,1))"),46080.64583333333)</f>
        <v>46080.64583</v>
      </c>
      <c r="F351" s="32">
        <f>IFERROR(__xludf.DUMMYFUNCTION("GOOGLEFINANCE(A351,""low52"")"),1186.8)</f>
        <v>1186.8</v>
      </c>
      <c r="G351" s="33">
        <f>IFERROR(__xludf.DUMMYFUNCTION("to_date(index(sort(GOOGLEFINANCE(A351, ""low"", today()-52*7, today(), ""DAILY""),2,1),1,1))"),46114.64583333333)</f>
        <v>46114.64583</v>
      </c>
      <c r="H351" s="61">
        <f>IFERROR(__xludf.DUMMYFUNCTION("MIN(QUERY(SORT(GOOGLEFINANCE(A351,""low"",TODAY()-40,TODAY()),1,0),""select Col2 limit 20""))"),1198.6)</f>
        <v>1198.6</v>
      </c>
      <c r="I351" s="61">
        <f t="shared" si="1"/>
        <v>21.92008879</v>
      </c>
      <c r="J351" s="35" t="str">
        <f t="shared" si="2"/>
        <v>No need to fresh start</v>
      </c>
    </row>
    <row r="352">
      <c r="A352" s="7" t="s">
        <v>296</v>
      </c>
      <c r="B352" s="59">
        <f>IFERROR(__xludf.DUMMYFUNCTION("GOOGLEFINANCE(A352,""price"")"),545.0)</f>
        <v>545</v>
      </c>
      <c r="C352" s="60">
        <f>IFERROR(__xludf.DUMMYFUNCTION("MAX(QUERY(SORT(GOOGLEFINANCE(A352,""high"",TODAY()-100,TODAY()),1,0),""select Col2 limit 55""))"),598.2)</f>
        <v>598.2</v>
      </c>
      <c r="D352" s="32">
        <f>IFERROR(__xludf.DUMMYFUNCTION("GOOGLEFINANCE(A352,""high52"")"),646.5)</f>
        <v>646.5</v>
      </c>
      <c r="E352" s="33">
        <f>IFERROR(__xludf.DUMMYFUNCTION("to_date(index(sort(GOOGLEFINANCE(A352, ""high"", today()-52*7, today(), ""DAILY""),2,0),2,1))"),45856.64583333333)</f>
        <v>45856.64583</v>
      </c>
      <c r="F352" s="32">
        <f>IFERROR(__xludf.DUMMYFUNCTION("GOOGLEFINANCE(A352,""low52"")"),458.9)</f>
        <v>458.9</v>
      </c>
      <c r="G352" s="33">
        <f>IFERROR(__xludf.DUMMYFUNCTION("to_date(index(sort(GOOGLEFINANCE(A352, ""low"", today()-52*7, today(), ""DAILY""),2,1),1,1))"),46104.64583333333)</f>
        <v>46104.64583</v>
      </c>
      <c r="H352" s="61">
        <f>IFERROR(__xludf.DUMMYFUNCTION("MIN(QUERY(SORT(GOOGLEFINANCE(A352,""low"",TODAY()-40,TODAY()),1,0),""select Col2 limit 20""))"),533.75)</f>
        <v>533.75</v>
      </c>
      <c r="I352" s="61">
        <f t="shared" si="1"/>
        <v>9.76146789</v>
      </c>
      <c r="J352" s="35" t="str">
        <f t="shared" si="2"/>
        <v>No need to fresh start</v>
      </c>
    </row>
    <row r="353">
      <c r="A353" s="7" t="s">
        <v>534</v>
      </c>
      <c r="B353" s="59">
        <f>IFERROR(__xludf.DUMMYFUNCTION("GOOGLEFINANCE(A353,""price"")"),1481.4)</f>
        <v>1481.4</v>
      </c>
      <c r="C353" s="60">
        <f>IFERROR(__xludf.DUMMYFUNCTION("MAX(QUERY(SORT(GOOGLEFINANCE(A353,""high"",TODAY()-100,TODAY()),1,0),""select Col2 limit 55""))"),1686.0)</f>
        <v>1686</v>
      </c>
      <c r="D353" s="32">
        <f>IFERROR(__xludf.DUMMYFUNCTION("GOOGLEFINANCE(A353,""high52"")"),2185.9)</f>
        <v>2185.9</v>
      </c>
      <c r="E353" s="33">
        <f>IFERROR(__xludf.DUMMYFUNCTION("to_date(index(sort(GOOGLEFINANCE(A353, ""high"", today()-52*7, today(), ""DAILY""),2,0),2,1))"),45922.64583333333)</f>
        <v>45922.64583</v>
      </c>
      <c r="F353" s="32">
        <f>IFERROR(__xludf.DUMMYFUNCTION("GOOGLEFINANCE(A353,""low52"")"),1251.3)</f>
        <v>1251.3</v>
      </c>
      <c r="G353" s="33">
        <f>IFERROR(__xludf.DUMMYFUNCTION("to_date(index(sort(GOOGLEFINANCE(A353, ""low"", today()-52*7, today(), ""DAILY""),2,1),1,1))"),46104.64583333333)</f>
        <v>46104.64583</v>
      </c>
      <c r="H353" s="61">
        <f>IFERROR(__xludf.DUMMYFUNCTION("MIN(QUERY(SORT(GOOGLEFINANCE(A353,""low"",TODAY()-40,TODAY()),1,0),""select Col2 limit 20""))"),1390.0)</f>
        <v>1390</v>
      </c>
      <c r="I353" s="61">
        <f t="shared" si="1"/>
        <v>13.81125962</v>
      </c>
      <c r="J353" s="35" t="str">
        <f t="shared" si="2"/>
        <v>Start GTT Order</v>
      </c>
    </row>
    <row r="354">
      <c r="A354" s="7" t="s">
        <v>535</v>
      </c>
      <c r="B354" s="59">
        <f>IFERROR(__xludf.DUMMYFUNCTION("GOOGLEFINANCE(A354,""price"")"),1723.5)</f>
        <v>1723.5</v>
      </c>
      <c r="C354" s="60">
        <f>IFERROR(__xludf.DUMMYFUNCTION("MAX(QUERY(SORT(GOOGLEFINANCE(A354,""high"",TODAY()-100,TODAY()),1,0),""select Col2 limit 55""))"),1897.9)</f>
        <v>1897.9</v>
      </c>
      <c r="D354" s="32">
        <f>IFERROR(__xludf.DUMMYFUNCTION("GOOGLEFINANCE(A354,""high52"")"),2128.9)</f>
        <v>2128.9</v>
      </c>
      <c r="E354" s="33">
        <f>IFERROR(__xludf.DUMMYFUNCTION("to_date(index(sort(GOOGLEFINANCE(A354, ""high"", today()-52*7, today(), ""DAILY""),2,0),2,1))"),45806.64583333333)</f>
        <v>45806.64583</v>
      </c>
      <c r="F354" s="32">
        <f>IFERROR(__xludf.DUMMYFUNCTION("GOOGLEFINANCE(A354,""low52"")"),1280.0)</f>
        <v>1280</v>
      </c>
      <c r="G354" s="33">
        <f>IFERROR(__xludf.DUMMYFUNCTION("to_date(index(sort(GOOGLEFINANCE(A354, ""low"", today()-52*7, today(), ""DAILY""),2,1),1,1))"),46111.64583333333)</f>
        <v>46111.64583</v>
      </c>
      <c r="H354" s="61">
        <f>IFERROR(__xludf.DUMMYFUNCTION("MIN(QUERY(SORT(GOOGLEFINANCE(A354,""low"",TODAY()-40,TODAY()),1,0),""select Col2 limit 20""))"),1674.7)</f>
        <v>1674.7</v>
      </c>
      <c r="I354" s="61">
        <f t="shared" si="1"/>
        <v>10.11894401</v>
      </c>
      <c r="J354" s="35" t="str">
        <f t="shared" si="2"/>
        <v>Start GTT Order</v>
      </c>
    </row>
    <row r="355">
      <c r="A355" s="7" t="s">
        <v>536</v>
      </c>
      <c r="B355" s="59">
        <f>IFERROR(__xludf.DUMMYFUNCTION("GOOGLEFINANCE(A355,""price"")"),869.2)</f>
        <v>869.2</v>
      </c>
      <c r="C355" s="60">
        <f>IFERROR(__xludf.DUMMYFUNCTION("MAX(QUERY(SORT(GOOGLEFINANCE(A355,""high"",TODAY()-100,TODAY()),1,0),""select Col2 limit 55""))"),916.8)</f>
        <v>916.8</v>
      </c>
      <c r="D355" s="32">
        <f>IFERROR(__xludf.DUMMYFUNCTION("GOOGLEFINANCE(A355,""high52"")"),1080.0)</f>
        <v>1080</v>
      </c>
      <c r="E355" s="33">
        <f>IFERROR(__xludf.DUMMYFUNCTION("to_date(index(sort(GOOGLEFINANCE(A355, ""high"", today()-52*7, today(), ""DAILY""),2,0),2,1))"),45845.64583333333)</f>
        <v>45845.64583</v>
      </c>
      <c r="F355" s="32">
        <f>IFERROR(__xludf.DUMMYFUNCTION("GOOGLEFINANCE(A355,""low52"")"),730.1)</f>
        <v>730.1</v>
      </c>
      <c r="G355" s="33">
        <f>IFERROR(__xludf.DUMMYFUNCTION("to_date(index(sort(GOOGLEFINANCE(A355, ""low"", today()-52*7, today(), ""DAILY""),2,1),1,1))"),46114.64583333333)</f>
        <v>46114.64583</v>
      </c>
      <c r="H355" s="61">
        <f>IFERROR(__xludf.DUMMYFUNCTION("MIN(QUERY(SORT(GOOGLEFINANCE(A355,""low"",TODAY()-40,TODAY()),1,0),""select Col2 limit 20""))"),805.9)</f>
        <v>805.9</v>
      </c>
      <c r="I355" s="61">
        <f t="shared" si="1"/>
        <v>5.476300046</v>
      </c>
      <c r="J355" s="35" t="str">
        <f t="shared" si="2"/>
        <v>No need to fresh start</v>
      </c>
    </row>
    <row r="356">
      <c r="A356" s="7" t="s">
        <v>537</v>
      </c>
      <c r="B356" s="59">
        <f>IFERROR(__xludf.DUMMYFUNCTION("GOOGLEFINANCE(A356,""price"")"),367.35)</f>
        <v>367.35</v>
      </c>
      <c r="C356" s="60">
        <f>IFERROR(__xludf.DUMMYFUNCTION("MAX(QUERY(SORT(GOOGLEFINANCE(A356,""high"",TODAY()-100,TODAY()),1,0),""select Col2 limit 55""))"),419.0)</f>
        <v>419</v>
      </c>
      <c r="D356" s="32">
        <f>IFERROR(__xludf.DUMMYFUNCTION("GOOGLEFINANCE(A356,""high52"")"),419.0)</f>
        <v>419</v>
      </c>
      <c r="E356" s="33">
        <f>IFERROR(__xludf.DUMMYFUNCTION("to_date(index(sort(GOOGLEFINANCE(A356, ""high"", today()-52*7, today(), ""DAILY""),2,0),2,1))"),46153.64583333333)</f>
        <v>46153.64583</v>
      </c>
      <c r="F356" s="32">
        <f>IFERROR(__xludf.DUMMYFUNCTION("GOOGLEFINANCE(A356,""low52"")"),251.95)</f>
        <v>251.95</v>
      </c>
      <c r="G356" s="33">
        <f>IFERROR(__xludf.DUMMYFUNCTION("to_date(index(sort(GOOGLEFINANCE(A356, ""low"", today()-52*7, today(), ""DAILY""),2,1),1,1))"),46111.64583333333)</f>
        <v>46111.64583</v>
      </c>
      <c r="H356" s="61">
        <f>IFERROR(__xludf.DUMMYFUNCTION("MIN(QUERY(SORT(GOOGLEFINANCE(A356,""low"",TODAY()-40,TODAY()),1,0),""select Col2 limit 20""))"),331.4)</f>
        <v>331.4</v>
      </c>
      <c r="I356" s="61">
        <f t="shared" si="1"/>
        <v>14.06016061</v>
      </c>
      <c r="J356" s="35" t="str">
        <f t="shared" si="2"/>
        <v>No need to fresh start</v>
      </c>
    </row>
    <row r="357">
      <c r="A357" s="7" t="s">
        <v>538</v>
      </c>
      <c r="B357" s="59">
        <f>IFERROR(__xludf.DUMMYFUNCTION("GOOGLEFINANCE(A357,""price"")"),153.3)</f>
        <v>153.3</v>
      </c>
      <c r="C357" s="60">
        <f>IFERROR(__xludf.DUMMYFUNCTION("MAX(QUERY(SORT(GOOGLEFINANCE(A357,""high"",TODAY()-100,TODAY()),1,0),""select Col2 limit 55""))"),171.77)</f>
        <v>171.77</v>
      </c>
      <c r="D357" s="32">
        <f>IFERROR(__xludf.DUMMYFUNCTION("GOOGLEFINANCE(A357,""high52"")"),242.15)</f>
        <v>242.15</v>
      </c>
      <c r="E357" s="33">
        <f>IFERROR(__xludf.DUMMYFUNCTION("to_date(index(sort(GOOGLEFINANCE(A357, ""high"", today()-52*7, today(), ""DAILY""),2,0),2,1))"),45817.64583333333)</f>
        <v>45817.64583</v>
      </c>
      <c r="F357" s="32">
        <f>IFERROR(__xludf.DUMMYFUNCTION("GOOGLEFINANCE(A357,""low52"")"),130.0)</f>
        <v>130</v>
      </c>
      <c r="G357" s="33">
        <f>IFERROR(__xludf.DUMMYFUNCTION("to_date(index(sort(GOOGLEFINANCE(A357, ""low"", today()-52*7, today(), ""DAILY""),2,1),1,1))"),46111.64583333333)</f>
        <v>46111.64583</v>
      </c>
      <c r="H357" s="61">
        <f>IFERROR(__xludf.DUMMYFUNCTION("MIN(QUERY(SORT(GOOGLEFINANCE(A357,""low"",TODAY()-40,TODAY()),1,0),""select Col2 limit 20""))"),145.11)</f>
        <v>145.11</v>
      </c>
      <c r="I357" s="61">
        <f t="shared" si="1"/>
        <v>12.04827136</v>
      </c>
      <c r="J357" s="35" t="str">
        <f t="shared" si="2"/>
        <v>Start GTT Order</v>
      </c>
    </row>
    <row r="358">
      <c r="A358" s="7" t="s">
        <v>539</v>
      </c>
      <c r="B358" s="59">
        <f>IFERROR(__xludf.DUMMYFUNCTION("GOOGLEFINANCE(A358,""price"")"),187.5)</f>
        <v>187.5</v>
      </c>
      <c r="C358" s="60">
        <f>IFERROR(__xludf.DUMMYFUNCTION("MAX(QUERY(SORT(GOOGLEFINANCE(A358,""high"",TODAY()-100,TODAY()),1,0),""select Col2 limit 55""))"),199.9)</f>
        <v>199.9</v>
      </c>
      <c r="D358" s="32">
        <f>IFERROR(__xludf.DUMMYFUNCTION("GOOGLEFINANCE(A358,""high52"")"),236.54)</f>
        <v>236.54</v>
      </c>
      <c r="E358" s="33">
        <f>IFERROR(__xludf.DUMMYFUNCTION("to_date(index(sort(GOOGLEFINANCE(A358, ""high"", today()-52*7, today(), ""DAILY""),2,0),2,1))"),45805.64583333333)</f>
        <v>45805.64583</v>
      </c>
      <c r="F358" s="32">
        <f>IFERROR(__xludf.DUMMYFUNCTION("GOOGLEFINANCE(A358,""low52"")"),149.05)</f>
        <v>149.05</v>
      </c>
      <c r="G358" s="33">
        <f>IFERROR(__xludf.DUMMYFUNCTION("to_date(index(sort(GOOGLEFINANCE(A358, ""low"", today()-52*7, today(), ""DAILY""),2,1),1,1))"),46111.64583333333)</f>
        <v>46111.64583</v>
      </c>
      <c r="H358" s="61">
        <f>IFERROR(__xludf.DUMMYFUNCTION("MIN(QUERY(SORT(GOOGLEFINANCE(A358,""low"",TODAY()-40,TODAY()),1,0),""select Col2 limit 20""))"),178.0)</f>
        <v>178</v>
      </c>
      <c r="I358" s="61">
        <f t="shared" si="1"/>
        <v>6.613333333</v>
      </c>
      <c r="J358" s="35" t="str">
        <f t="shared" si="2"/>
        <v>No need to fresh start</v>
      </c>
    </row>
    <row r="359">
      <c r="A359" s="7" t="s">
        <v>540</v>
      </c>
      <c r="B359" s="59">
        <f>IFERROR(__xludf.DUMMYFUNCTION("GOOGLEFINANCE(A359,""price"")"),2016.5)</f>
        <v>2016.5</v>
      </c>
      <c r="C359" s="60">
        <f>IFERROR(__xludf.DUMMYFUNCTION("MAX(QUERY(SORT(GOOGLEFINANCE(A359,""high"",TODAY()-100,TODAY()),1,0),""select Col2 limit 55""))"),2217.0)</f>
        <v>2217</v>
      </c>
      <c r="D359" s="32">
        <f>IFERROR(__xludf.DUMMYFUNCTION("GOOGLEFINANCE(A359,""high52"")"),2799.0)</f>
        <v>2799</v>
      </c>
      <c r="E359" s="33">
        <f>IFERROR(__xludf.DUMMYFUNCTION("to_date(index(sort(GOOGLEFINANCE(A359, ""high"", today()-52*7, today(), ""DAILY""),2,0),2,1))"),45852.64583333333)</f>
        <v>45852.64583</v>
      </c>
      <c r="F359" s="32">
        <f>IFERROR(__xludf.DUMMYFUNCTION("GOOGLEFINANCE(A359,""low52"")"),1911.0)</f>
        <v>1911</v>
      </c>
      <c r="G359" s="33">
        <f>IFERROR(__xludf.DUMMYFUNCTION("to_date(index(sort(GOOGLEFINANCE(A359, ""low"", today()-52*7, today(), ""DAILY""),2,1),1,1))"),46160.64583333333)</f>
        <v>46160.64583</v>
      </c>
      <c r="H359" s="61">
        <f>IFERROR(__xludf.DUMMYFUNCTION("MIN(QUERY(SORT(GOOGLEFINANCE(A359,""low"",TODAY()-40,TODAY()),1,0),""select Col2 limit 20""))"),1911.0)</f>
        <v>1911</v>
      </c>
      <c r="I359" s="61">
        <f t="shared" si="1"/>
        <v>9.942970493</v>
      </c>
      <c r="J359" s="35" t="str">
        <f t="shared" si="2"/>
        <v>No need to fresh start</v>
      </c>
    </row>
    <row r="360">
      <c r="A360" s="7" t="s">
        <v>230</v>
      </c>
      <c r="B360" s="59">
        <f>IFERROR(__xludf.DUMMYFUNCTION("GOOGLEFINANCE(A360,""price"")"),2338.6)</f>
        <v>2338.6</v>
      </c>
      <c r="C360" s="60">
        <f>IFERROR(__xludf.DUMMYFUNCTION("MAX(QUERY(SORT(GOOGLEFINANCE(A360,""high"",TODAY()-100,TODAY()),1,0),""select Col2 limit 55""))"),2474.0)</f>
        <v>2474</v>
      </c>
      <c r="D360" s="32">
        <f>IFERROR(__xludf.DUMMYFUNCTION("GOOGLEFINANCE(A360,""high52"")"),2474.0)</f>
        <v>2474</v>
      </c>
      <c r="E360" s="33">
        <f>IFERROR(__xludf.DUMMYFUNCTION("to_date(index(sort(GOOGLEFINANCE(A360, ""high"", today()-52*7, today(), ""DAILY""),2,0),2,1))"),46141.64583333333)</f>
        <v>46141.64583</v>
      </c>
      <c r="F360" s="32">
        <f>IFERROR(__xludf.DUMMYFUNCTION("GOOGLEFINANCE(A360,""low52"")"),1375.6)</f>
        <v>1375.6</v>
      </c>
      <c r="G360" s="33">
        <f>IFERROR(__xludf.DUMMYFUNCTION("to_date(index(sort(GOOGLEFINANCE(A360, ""low"", today()-52*7, today(), ""DAILY""),2,1),1,1))"),45805.64583333333)</f>
        <v>45805.64583</v>
      </c>
      <c r="H360" s="61">
        <f>IFERROR(__xludf.DUMMYFUNCTION("MIN(QUERY(SORT(GOOGLEFINANCE(A360,""low"",TODAY()-40,TODAY()),1,0),""select Col2 limit 20""))"),2226.3)</f>
        <v>2226.3</v>
      </c>
      <c r="I360" s="61">
        <f t="shared" si="1"/>
        <v>5.789788763</v>
      </c>
      <c r="J360" s="35" t="str">
        <f t="shared" si="2"/>
        <v>No need to fresh start</v>
      </c>
    </row>
    <row r="361">
      <c r="A361" s="7" t="s">
        <v>210</v>
      </c>
      <c r="B361" s="59">
        <f>IFERROR(__xludf.DUMMYFUNCTION("GOOGLEFINANCE(A361,""price"")"),65.05)</f>
        <v>65.05</v>
      </c>
      <c r="C361" s="60">
        <f>IFERROR(__xludf.DUMMYFUNCTION("MAX(QUERY(SORT(GOOGLEFINANCE(A361,""high"",TODAY()-100,TODAY()),1,0),""select Col2 limit 55""))"),69.09)</f>
        <v>69.09</v>
      </c>
      <c r="D361" s="32">
        <f>IFERROR(__xludf.DUMMYFUNCTION("GOOGLEFINANCE(A361,""high52"")"),94.95)</f>
        <v>94.95</v>
      </c>
      <c r="E361" s="33">
        <f>IFERROR(__xludf.DUMMYFUNCTION("to_date(index(sort(GOOGLEFINANCE(A361, ""high"", today()-52*7, today(), ""DAILY""),2,0),2,1))"),45922.64583333333)</f>
        <v>45922.64583</v>
      </c>
      <c r="F361" s="32">
        <f>IFERROR(__xludf.DUMMYFUNCTION("GOOGLEFINANCE(A361,""low52"")"),53.51)</f>
        <v>53.51</v>
      </c>
      <c r="G361" s="33">
        <f>IFERROR(__xludf.DUMMYFUNCTION("to_date(index(sort(GOOGLEFINANCE(A361, ""low"", today()-52*7, today(), ""DAILY""),2,1),1,1))"),46111.64583333333)</f>
        <v>46111.64583</v>
      </c>
      <c r="H361" s="61">
        <f>IFERROR(__xludf.DUMMYFUNCTION("MIN(QUERY(SORT(GOOGLEFINANCE(A361,""low"",TODAY()-40,TODAY()),1,0),""select Col2 limit 20""))"),60.52)</f>
        <v>60.52</v>
      </c>
      <c r="I361" s="61">
        <f t="shared" si="1"/>
        <v>6.210607225</v>
      </c>
      <c r="J361" s="35" t="str">
        <f t="shared" si="2"/>
        <v>No need to fresh start</v>
      </c>
    </row>
    <row r="362">
      <c r="A362" s="7" t="s">
        <v>541</v>
      </c>
      <c r="B362" s="59" t="str">
        <f>IFERROR(__xludf.DUMMYFUNCTION("GOOGLEFINANCE(A362,""price"")"),"#N/A")</f>
        <v>#N/A</v>
      </c>
      <c r="C362" s="60" t="str">
        <f>IFERROR(__xludf.DUMMYFUNCTION("MAX(QUERY(SORT(GOOGLEFINANCE(A362,""high"",TODAY()-100,TODAY()),1,0),""select Col2 limit 55""))"),"#N/A")</f>
        <v>#N/A</v>
      </c>
      <c r="D362" s="32" t="str">
        <f>IFERROR(__xludf.DUMMYFUNCTION("GOOGLEFINANCE(A362,""high52"")"),"#N/A")</f>
        <v>#N/A</v>
      </c>
      <c r="E362" s="33" t="str">
        <f>IFERROR(__xludf.DUMMYFUNCTION("to_date(index(sort(GOOGLEFINANCE(A362, ""high"", today()-52*7, today(), ""DAILY""),2,0),2,1))"),"#N/A")</f>
        <v>#N/A</v>
      </c>
      <c r="F362" s="32" t="str">
        <f>IFERROR(__xludf.DUMMYFUNCTION("GOOGLEFINANCE(A362,""low52"")"),"#N/A")</f>
        <v>#N/A</v>
      </c>
      <c r="G362" s="33" t="str">
        <f>IFERROR(__xludf.DUMMYFUNCTION("to_date(index(sort(GOOGLEFINANCE(A362, ""low"", today()-52*7, today(), ""DAILY""),2,1),1,1))"),"#N/A")</f>
        <v>#N/A</v>
      </c>
      <c r="H362" s="61" t="str">
        <f>IFERROR(__xludf.DUMMYFUNCTION("MIN(QUERY(SORT(GOOGLEFINANCE(A362,""low"",TODAY()-40,TODAY()),1,0),""select Col2 limit 20""))"),"#N/A")</f>
        <v>#N/A</v>
      </c>
      <c r="I362" s="61" t="str">
        <f t="shared" si="1"/>
        <v>#N/A</v>
      </c>
      <c r="J362" s="35" t="str">
        <f t="shared" si="2"/>
        <v>#N/A</v>
      </c>
    </row>
    <row r="363">
      <c r="A363" s="7" t="s">
        <v>291</v>
      </c>
      <c r="B363" s="59" t="str">
        <f>IFERROR(__xludf.DUMMYFUNCTION("GOOGLEFINANCE(A363,""price"")"),"#N/A")</f>
        <v>#N/A</v>
      </c>
      <c r="C363" s="60" t="str">
        <f>IFERROR(__xludf.DUMMYFUNCTION("MAX(QUERY(SORT(GOOGLEFINANCE(A363,""high"",TODAY()-100,TODAY()),1,0),""select Col2 limit 55""))"),"#N/A")</f>
        <v>#N/A</v>
      </c>
      <c r="D363" s="32" t="str">
        <f>IFERROR(__xludf.DUMMYFUNCTION("GOOGLEFINANCE(A363,""high52"")"),"#N/A")</f>
        <v>#N/A</v>
      </c>
      <c r="E363" s="33" t="str">
        <f>IFERROR(__xludf.DUMMYFUNCTION("to_date(index(sort(GOOGLEFINANCE(A363, ""high"", today()-52*7, today(), ""DAILY""),2,0),2,1))"),"#N/A")</f>
        <v>#N/A</v>
      </c>
      <c r="F363" s="32" t="str">
        <f>IFERROR(__xludf.DUMMYFUNCTION("GOOGLEFINANCE(A363,""low52"")"),"#N/A")</f>
        <v>#N/A</v>
      </c>
      <c r="G363" s="33" t="str">
        <f>IFERROR(__xludf.DUMMYFUNCTION("to_date(index(sort(GOOGLEFINANCE(A363, ""low"", today()-52*7, today(), ""DAILY""),2,1),1,1))"),"#N/A")</f>
        <v>#N/A</v>
      </c>
      <c r="H363" s="61" t="str">
        <f>IFERROR(__xludf.DUMMYFUNCTION("MIN(QUERY(SORT(GOOGLEFINANCE(A363,""low"",TODAY()-40,TODAY()),1,0),""select Col2 limit 20""))"),"#N/A")</f>
        <v>#N/A</v>
      </c>
      <c r="I363" s="61" t="str">
        <f t="shared" si="1"/>
        <v>#N/A</v>
      </c>
      <c r="J363" s="35" t="str">
        <f t="shared" si="2"/>
        <v>#N/A</v>
      </c>
    </row>
    <row r="364">
      <c r="A364" s="7" t="s">
        <v>542</v>
      </c>
      <c r="B364" s="59">
        <f>IFERROR(__xludf.DUMMYFUNCTION("GOOGLEFINANCE(A364,""price"")"),169.91)</f>
        <v>169.91</v>
      </c>
      <c r="C364" s="60">
        <f>IFERROR(__xludf.DUMMYFUNCTION("MAX(QUERY(SORT(GOOGLEFINANCE(A364,""high"",TODAY()-100,TODAY()),1,0),""select Col2 limit 55""))"),192.49)</f>
        <v>192.49</v>
      </c>
      <c r="D364" s="32">
        <f>IFERROR(__xludf.DUMMYFUNCTION("GOOGLEFINANCE(A364,""high52"")"),211.0)</f>
        <v>211</v>
      </c>
      <c r="E364" s="33">
        <f>IFERROR(__xludf.DUMMYFUNCTION("to_date(index(sort(GOOGLEFINANCE(A364, ""high"", today()-52*7, today(), ""DAILY""),2,0),2,1))"),45819.64583333333)</f>
        <v>45819.64583</v>
      </c>
      <c r="F364" s="32">
        <f>IFERROR(__xludf.DUMMYFUNCTION("GOOGLEFINANCE(A364,""low52"")"),125.31)</f>
        <v>125.31</v>
      </c>
      <c r="G364" s="33">
        <f>IFERROR(__xludf.DUMMYFUNCTION("to_date(index(sort(GOOGLEFINANCE(A364, ""low"", today()-52*7, today(), ""DAILY""),2,1),1,1))"),46049.64583333333)</f>
        <v>46049.64583</v>
      </c>
      <c r="H364" s="61">
        <f>IFERROR(__xludf.DUMMYFUNCTION("MIN(QUERY(SORT(GOOGLEFINANCE(A364,""low"",TODAY()-40,TODAY()),1,0),""select Col2 limit 20""))"),158.45)</f>
        <v>158.45</v>
      </c>
      <c r="I364" s="61">
        <f t="shared" si="1"/>
        <v>13.2893885</v>
      </c>
      <c r="J364" s="35" t="str">
        <f t="shared" si="2"/>
        <v>Start GTT Order</v>
      </c>
    </row>
    <row r="365">
      <c r="A365" s="7" t="s">
        <v>543</v>
      </c>
      <c r="B365" s="59">
        <f>IFERROR(__xludf.DUMMYFUNCTION("GOOGLEFINANCE(A365,""price"")"),4674.2)</f>
        <v>4674.2</v>
      </c>
      <c r="C365" s="60">
        <f>IFERROR(__xludf.DUMMYFUNCTION("MAX(QUERY(SORT(GOOGLEFINANCE(A365,""high"",TODAY()-100,TODAY()),1,0),""select Col2 limit 55""))"),5144.9)</f>
        <v>5144.9</v>
      </c>
      <c r="D365" s="32">
        <f>IFERROR(__xludf.DUMMYFUNCTION("GOOGLEFINANCE(A365,""high52"")"),5494.0)</f>
        <v>5494</v>
      </c>
      <c r="E365" s="33">
        <f>IFERROR(__xludf.DUMMYFUNCTION("to_date(index(sort(GOOGLEFINANCE(A365, ""high"", today()-52*7, today(), ""DAILY""),2,0),2,1))"),45853.64583333333)</f>
        <v>45853.64583</v>
      </c>
      <c r="F365" s="32">
        <f>IFERROR(__xludf.DUMMYFUNCTION("GOOGLEFINANCE(A365,""low52"")"),3856.0)</f>
        <v>3856</v>
      </c>
      <c r="G365" s="33">
        <f>IFERROR(__xludf.DUMMYFUNCTION("to_date(index(sort(GOOGLEFINANCE(A365, ""low"", today()-52*7, today(), ""DAILY""),2,1),1,1))"),46049.64583333333)</f>
        <v>46049.64583</v>
      </c>
      <c r="H365" s="61">
        <f>IFERROR(__xludf.DUMMYFUNCTION("MIN(QUERY(SORT(GOOGLEFINANCE(A365,""low"",TODAY()-40,TODAY()),1,0),""select Col2 limit 20""))"),4429.8)</f>
        <v>4429.8</v>
      </c>
      <c r="I365" s="61">
        <f t="shared" si="1"/>
        <v>10.07017244</v>
      </c>
      <c r="J365" s="35" t="str">
        <f t="shared" si="2"/>
        <v>Start GTT Order</v>
      </c>
    </row>
    <row r="366">
      <c r="A366" s="7" t="s">
        <v>544</v>
      </c>
      <c r="B366" s="59">
        <f>IFERROR(__xludf.DUMMYFUNCTION("GOOGLEFINANCE(A366,""price"")"),127.01)</f>
        <v>127.01</v>
      </c>
      <c r="C366" s="60">
        <f>IFERROR(__xludf.DUMMYFUNCTION("MAX(QUERY(SORT(GOOGLEFINANCE(A366,""high"",TODAY()-100,TODAY()),1,0),""select Col2 limit 55""))"),137.34)</f>
        <v>137.34</v>
      </c>
      <c r="D366" s="32">
        <f>IFERROR(__xludf.DUMMYFUNCTION("GOOGLEFINANCE(A366,""high52"")"),215.4)</f>
        <v>215.4</v>
      </c>
      <c r="E366" s="33">
        <f>IFERROR(__xludf.DUMMYFUNCTION("to_date(index(sort(GOOGLEFINANCE(A366, ""high"", today()-52*7, today(), ""DAILY""),2,0),2,1))"),45817.64583333333)</f>
        <v>45817.64583</v>
      </c>
      <c r="F366" s="32">
        <f>IFERROR(__xludf.DUMMYFUNCTION("GOOGLEFINANCE(A366,""low52"")"),114.6)</f>
        <v>114.6</v>
      </c>
      <c r="G366" s="33">
        <f>IFERROR(__xludf.DUMMYFUNCTION("to_date(index(sort(GOOGLEFINANCE(A366, ""low"", today()-52*7, today(), ""DAILY""),2,1),1,1))"),46111.64583333333)</f>
        <v>46111.64583</v>
      </c>
      <c r="H366" s="61">
        <f>IFERROR(__xludf.DUMMYFUNCTION("MIN(QUERY(SORT(GOOGLEFINANCE(A366,""low"",TODAY()-40,TODAY()),1,0),""select Col2 limit 20""))"),121.47)</f>
        <v>121.47</v>
      </c>
      <c r="I366" s="61">
        <f t="shared" si="1"/>
        <v>8.133217857</v>
      </c>
      <c r="J366" s="35" t="str">
        <f t="shared" si="2"/>
        <v>No need to fresh start</v>
      </c>
    </row>
    <row r="367">
      <c r="A367" s="7" t="s">
        <v>255</v>
      </c>
      <c r="B367" s="59">
        <f>IFERROR(__xludf.DUMMYFUNCTION("GOOGLEFINANCE(A367,""price"")"),779.1)</f>
        <v>779.1</v>
      </c>
      <c r="C367" s="60">
        <f>IFERROR(__xludf.DUMMYFUNCTION("MAX(QUERY(SORT(GOOGLEFINANCE(A367,""high"",TODAY()-100,TODAY()),1,0),""select Col2 limit 55""))"),854.85)</f>
        <v>854.85</v>
      </c>
      <c r="D367" s="32">
        <f>IFERROR(__xludf.DUMMYFUNCTION("GOOGLEFINANCE(A367,""high52"")"),1026.65)</f>
        <v>1026.65</v>
      </c>
      <c r="E367" s="33">
        <f>IFERROR(__xludf.DUMMYFUNCTION("to_date(index(sort(GOOGLEFINANCE(A367, ""high"", today()-52*7, today(), ""DAILY""),2,0),2,1))"),45917.64583333333)</f>
        <v>45917.64583</v>
      </c>
      <c r="F367" s="32">
        <f>IFERROR(__xludf.DUMMYFUNCTION("GOOGLEFINANCE(A367,""low52"")"),580.3)</f>
        <v>580.3</v>
      </c>
      <c r="G367" s="33">
        <f>IFERROR(__xludf.DUMMYFUNCTION("to_date(index(sort(GOOGLEFINANCE(A367, ""low"", today()-52*7, today(), ""DAILY""),2,1),1,1))"),46111.64583333333)</f>
        <v>46111.64583</v>
      </c>
      <c r="H367" s="61">
        <f>IFERROR(__xludf.DUMMYFUNCTION("MIN(QUERY(SORT(GOOGLEFINANCE(A367,""low"",TODAY()-40,TODAY()),1,0),""select Col2 limit 20""))"),717.1)</f>
        <v>717.1</v>
      </c>
      <c r="I367" s="61">
        <f t="shared" si="1"/>
        <v>9.722757027</v>
      </c>
      <c r="J367" s="35" t="str">
        <f t="shared" si="2"/>
        <v>No need to fresh start</v>
      </c>
    </row>
    <row r="368">
      <c r="A368" s="7" t="s">
        <v>545</v>
      </c>
      <c r="B368" s="59">
        <f>IFERROR(__xludf.DUMMYFUNCTION("GOOGLEFINANCE(A368,""price"")"),659.5)</f>
        <v>659.5</v>
      </c>
      <c r="C368" s="60">
        <f>IFERROR(__xludf.DUMMYFUNCTION("MAX(QUERY(SORT(GOOGLEFINANCE(A368,""high"",TODAY()-100,TODAY()),1,0),""select Col2 limit 55""))"),816.0)</f>
        <v>816</v>
      </c>
      <c r="D368" s="32">
        <f>IFERROR(__xludf.DUMMYFUNCTION("GOOGLEFINANCE(A368,""high52"")"),1332.0)</f>
        <v>1332</v>
      </c>
      <c r="E368" s="33">
        <f>IFERROR(__xludf.DUMMYFUNCTION("to_date(index(sort(GOOGLEFINANCE(A368, ""high"", today()-52*7, today(), ""DAILY""),2,0),2,1))"),45813.64583333333)</f>
        <v>45813.64583</v>
      </c>
      <c r="F368" s="32">
        <f>IFERROR(__xludf.DUMMYFUNCTION("GOOGLEFINANCE(A368,""low52"")"),601.0)</f>
        <v>601</v>
      </c>
      <c r="G368" s="33">
        <f>IFERROR(__xludf.DUMMYFUNCTION("to_date(index(sort(GOOGLEFINANCE(A368, ""low"", today()-52*7, today(), ""DAILY""),2,1),1,1))"),46104.64583333333)</f>
        <v>46104.64583</v>
      </c>
      <c r="H368" s="61">
        <f>IFERROR(__xludf.DUMMYFUNCTION("MIN(QUERY(SORT(GOOGLEFINANCE(A368,""low"",TODAY()-40,TODAY()),1,0),""select Col2 limit 20""))"),640.1)</f>
        <v>640.1</v>
      </c>
      <c r="I368" s="61">
        <f t="shared" si="1"/>
        <v>23.73009856</v>
      </c>
      <c r="J368" s="35" t="str">
        <f t="shared" si="2"/>
        <v>No need to fresh start</v>
      </c>
    </row>
    <row r="369">
      <c r="A369" s="7" t="s">
        <v>546</v>
      </c>
      <c r="B369" s="59">
        <f>IFERROR(__xludf.DUMMYFUNCTION("GOOGLEFINANCE(A369,""price"")"),529.0)</f>
        <v>529</v>
      </c>
      <c r="C369" s="60">
        <f>IFERROR(__xludf.DUMMYFUNCTION("MAX(QUERY(SORT(GOOGLEFINANCE(A369,""high"",TODAY()-100,TODAY()),1,0),""select Col2 limit 55""))"),588.8)</f>
        <v>588.8</v>
      </c>
      <c r="D369" s="32">
        <f>IFERROR(__xludf.DUMMYFUNCTION("GOOGLEFINANCE(A369,""high52"")"),957.9)</f>
        <v>957.9</v>
      </c>
      <c r="E369" s="33">
        <f>IFERROR(__xludf.DUMMYFUNCTION("to_date(index(sort(GOOGLEFINANCE(A369, ""high"", today()-52*7, today(), ""DAILY""),2,0),2,1))"),45853.64583333333)</f>
        <v>45853.64583</v>
      </c>
      <c r="F369" s="32">
        <f>IFERROR(__xludf.DUMMYFUNCTION("GOOGLEFINANCE(A369,""low52"")"),480.5)</f>
        <v>480.5</v>
      </c>
      <c r="G369" s="33">
        <f>IFERROR(__xludf.DUMMYFUNCTION("to_date(index(sort(GOOGLEFINANCE(A369, ""low"", today()-52*7, today(), ""DAILY""),2,1),1,1))"),46111.64583333333)</f>
        <v>46111.64583</v>
      </c>
      <c r="H369" s="61">
        <f>IFERROR(__xludf.DUMMYFUNCTION("MIN(QUERY(SORT(GOOGLEFINANCE(A369,""low"",TODAY()-40,TODAY()),1,0),""select Col2 limit 20""))"),511.6)</f>
        <v>511.6</v>
      </c>
      <c r="I369" s="61">
        <f t="shared" si="1"/>
        <v>11.30434783</v>
      </c>
      <c r="J369" s="35" t="str">
        <f t="shared" si="2"/>
        <v>Start GTT Order</v>
      </c>
    </row>
    <row r="370">
      <c r="A370" s="7" t="s">
        <v>547</v>
      </c>
      <c r="B370" s="59">
        <f>IFERROR(__xludf.DUMMYFUNCTION("GOOGLEFINANCE(A370,""price"")"),414.1)</f>
        <v>414.1</v>
      </c>
      <c r="C370" s="60">
        <f>IFERROR(__xludf.DUMMYFUNCTION("MAX(QUERY(SORT(GOOGLEFINANCE(A370,""high"",TODAY()-100,TODAY()),1,0),""select Col2 limit 55""))"),469.5)</f>
        <v>469.5</v>
      </c>
      <c r="D370" s="32">
        <f>IFERROR(__xludf.DUMMYFUNCTION("GOOGLEFINANCE(A370,""high52"")"),611.9)</f>
        <v>611.9</v>
      </c>
      <c r="E370" s="33">
        <f>IFERROR(__xludf.DUMMYFUNCTION("to_date(index(sort(GOOGLEFINANCE(A370, ""high"", today()-52*7, today(), ""DAILY""),2,0),2,1))"),46064.64583333333)</f>
        <v>46064.64583</v>
      </c>
      <c r="F370" s="32">
        <f>IFERROR(__xludf.DUMMYFUNCTION("GOOGLEFINANCE(A370,""low52"")"),311.0)</f>
        <v>311</v>
      </c>
      <c r="G370" s="33">
        <f>IFERROR(__xludf.DUMMYFUNCTION("to_date(index(sort(GOOGLEFINANCE(A370, ""low"", today()-52*7, today(), ""DAILY""),2,1),1,1))"),45883.64583333333)</f>
        <v>45883.64583</v>
      </c>
      <c r="H370" s="61">
        <f>IFERROR(__xludf.DUMMYFUNCTION("MIN(QUERY(SORT(GOOGLEFINANCE(A370,""low"",TODAY()-40,TODAY()),1,0),""select Col2 limit 20""))"),357.7)</f>
        <v>357.7</v>
      </c>
      <c r="I370" s="61">
        <f t="shared" si="1"/>
        <v>13.37841101</v>
      </c>
      <c r="J370" s="35" t="str">
        <f t="shared" si="2"/>
        <v>No need to fresh start</v>
      </c>
    </row>
    <row r="371">
      <c r="A371" s="7" t="s">
        <v>548</v>
      </c>
      <c r="B371" s="59">
        <f>IFERROR(__xludf.DUMMYFUNCTION("GOOGLEFINANCE(A371,""price"")"),937.8)</f>
        <v>937.8</v>
      </c>
      <c r="C371" s="60">
        <f>IFERROR(__xludf.DUMMYFUNCTION("MAX(QUERY(SORT(GOOGLEFINANCE(A371,""high"",TODAY()-100,TODAY()),1,0),""select Col2 limit 55""))"),1080.0)</f>
        <v>1080</v>
      </c>
      <c r="D371" s="32">
        <f>IFERROR(__xludf.DUMMYFUNCTION("GOOGLEFINANCE(A371,""high52"")"),1331.9)</f>
        <v>1331.9</v>
      </c>
      <c r="E371" s="33">
        <f>IFERROR(__xludf.DUMMYFUNCTION("to_date(index(sort(GOOGLEFINANCE(A371, ""high"", today()-52*7, today(), ""DAILY""),2,0),2,1))"),45839.64583333333)</f>
        <v>45839.64583</v>
      </c>
      <c r="F371" s="32">
        <f>IFERROR(__xludf.DUMMYFUNCTION("GOOGLEFINANCE(A371,""low52"")"),865.0)</f>
        <v>865</v>
      </c>
      <c r="G371" s="33">
        <f>IFERROR(__xludf.DUMMYFUNCTION("to_date(index(sort(GOOGLEFINANCE(A371, ""low"", today()-52*7, today(), ""DAILY""),2,1),1,1))"),46104.64583333333)</f>
        <v>46104.64583</v>
      </c>
      <c r="H371" s="61">
        <f>IFERROR(__xludf.DUMMYFUNCTION("MIN(QUERY(SORT(GOOGLEFINANCE(A371,""low"",TODAY()-40,TODAY()),1,0),""select Col2 limit 20""))"),886.0)</f>
        <v>886</v>
      </c>
      <c r="I371" s="61">
        <f t="shared" si="1"/>
        <v>15.16314779</v>
      </c>
      <c r="J371" s="35" t="str">
        <f t="shared" si="2"/>
        <v>Start GTT Order</v>
      </c>
    </row>
    <row r="372">
      <c r="A372" s="7" t="s">
        <v>549</v>
      </c>
      <c r="B372" s="59">
        <f>IFERROR(__xludf.DUMMYFUNCTION("GOOGLEFINANCE(A372,""price"")"),1892.1)</f>
        <v>1892.1</v>
      </c>
      <c r="C372" s="60">
        <f>IFERROR(__xludf.DUMMYFUNCTION("MAX(QUERY(SORT(GOOGLEFINANCE(A372,""high"",TODAY()-100,TODAY()),1,0),""select Col2 limit 55""))"),1968.0)</f>
        <v>1968</v>
      </c>
      <c r="D372" s="32">
        <f>IFERROR(__xludf.DUMMYFUNCTION("GOOGLEFINANCE(A372,""high52"")"),2370.2)</f>
        <v>2370.2</v>
      </c>
      <c r="E372" s="33">
        <f>IFERROR(__xludf.DUMMYFUNCTION("to_date(index(sort(GOOGLEFINANCE(A372, ""high"", today()-52*7, today(), ""DAILY""),2,0),2,1))"),45835.64583333333)</f>
        <v>45835.64583</v>
      </c>
      <c r="F372" s="32">
        <f>IFERROR(__xludf.DUMMYFUNCTION("GOOGLEFINANCE(A372,""low52"")"),1589.0)</f>
        <v>1589</v>
      </c>
      <c r="G372" s="33">
        <f>IFERROR(__xludf.DUMMYFUNCTION("to_date(index(sort(GOOGLEFINANCE(A372, ""low"", today()-52*7, today(), ""DAILY""),2,1),1,1))"),46114.64583333333)</f>
        <v>46114.64583</v>
      </c>
      <c r="H372" s="61">
        <f>IFERROR(__xludf.DUMMYFUNCTION("MIN(QUERY(SORT(GOOGLEFINANCE(A372,""low"",TODAY()-40,TODAY()),1,0),""select Col2 limit 20""))"),1741.2)</f>
        <v>1741.2</v>
      </c>
      <c r="I372" s="61">
        <f t="shared" si="1"/>
        <v>4.011415887</v>
      </c>
      <c r="J372" s="35" t="str">
        <f t="shared" si="2"/>
        <v>No need to fresh start</v>
      </c>
    </row>
    <row r="373">
      <c r="A373" s="7" t="s">
        <v>550</v>
      </c>
      <c r="B373" s="59">
        <f>IFERROR(__xludf.DUMMYFUNCTION("GOOGLEFINANCE(A373,""price"")"),3576.1)</f>
        <v>3576.1</v>
      </c>
      <c r="C373" s="60">
        <f>IFERROR(__xludf.DUMMYFUNCTION("MAX(QUERY(SORT(GOOGLEFINANCE(A373,""high"",TODAY()-100,TODAY()),1,0),""select Col2 limit 55""))"),4067.7)</f>
        <v>4067.7</v>
      </c>
      <c r="D373" s="32">
        <f>IFERROR(__xludf.DUMMYFUNCTION("GOOGLEFINANCE(A373,""high52"")"),4739.0)</f>
        <v>4739</v>
      </c>
      <c r="E373" s="33">
        <f>IFERROR(__xludf.DUMMYFUNCTION("to_date(index(sort(GOOGLEFINANCE(A373, ""high"", today()-52*7, today(), ""DAILY""),2,0),2,1))"),45825.64583333333)</f>
        <v>45825.64583</v>
      </c>
      <c r="F373" s="32">
        <f>IFERROR(__xludf.DUMMYFUNCTION("GOOGLEFINANCE(A373,""low52"")"),3182.0)</f>
        <v>3182</v>
      </c>
      <c r="G373" s="33">
        <f>IFERROR(__xludf.DUMMYFUNCTION("to_date(index(sort(GOOGLEFINANCE(A373, ""low"", today()-52*7, today(), ""DAILY""),2,1),1,1))"),46002.64583333333)</f>
        <v>46002.64583</v>
      </c>
      <c r="H373" s="61">
        <f>IFERROR(__xludf.DUMMYFUNCTION("MIN(QUERY(SORT(GOOGLEFINANCE(A373,""low"",TODAY()-40,TODAY()),1,0),""select Col2 limit 20""))"),3400.0)</f>
        <v>3400</v>
      </c>
      <c r="I373" s="61">
        <f t="shared" si="1"/>
        <v>13.74681916</v>
      </c>
      <c r="J373" s="35" t="str">
        <f t="shared" si="2"/>
        <v>Start GTT Order</v>
      </c>
    </row>
    <row r="374">
      <c r="A374" s="7" t="s">
        <v>551</v>
      </c>
      <c r="B374" s="59">
        <f>IFERROR(__xludf.DUMMYFUNCTION("GOOGLEFINANCE(A374,""price"")"),7038.5)</f>
        <v>7038.5</v>
      </c>
      <c r="C374" s="60">
        <f>IFERROR(__xludf.DUMMYFUNCTION("MAX(QUERY(SORT(GOOGLEFINANCE(A374,""high"",TODAY()-100,TODAY()),1,0),""select Col2 limit 55""))"),7180.0)</f>
        <v>7180</v>
      </c>
      <c r="D374" s="32">
        <f>IFERROR(__xludf.DUMMYFUNCTION("GOOGLEFINANCE(A374,""high52"")"),7788.0)</f>
        <v>7788</v>
      </c>
      <c r="E374" s="33">
        <f>IFERROR(__xludf.DUMMYFUNCTION("to_date(index(sort(GOOGLEFINANCE(A374, ""high"", today()-52*7, today(), ""DAILY""),2,0),2,1))"),45845.64583333333)</f>
        <v>45845.64583</v>
      </c>
      <c r="F374" s="32">
        <f>IFERROR(__xludf.DUMMYFUNCTION("GOOGLEFINANCE(A374,""low52"")"),5560.5)</f>
        <v>5560.5</v>
      </c>
      <c r="G374" s="33">
        <f>IFERROR(__xludf.DUMMYFUNCTION("to_date(index(sort(GOOGLEFINANCE(A374, ""low"", today()-52*7, today(), ""DAILY""),2,1),1,1))"),46043.64583333333)</f>
        <v>46043.64583</v>
      </c>
      <c r="H374" s="61">
        <f>IFERROR(__xludf.DUMMYFUNCTION("MIN(QUERY(SORT(GOOGLEFINANCE(A374,""low"",TODAY()-40,TODAY()),1,0),""select Col2 limit 20""))"),6680.0)</f>
        <v>6680</v>
      </c>
      <c r="I374" s="61">
        <f t="shared" si="1"/>
        <v>2.010371528</v>
      </c>
      <c r="J374" s="35" t="str">
        <f t="shared" si="2"/>
        <v>No need to fresh start</v>
      </c>
    </row>
    <row r="375">
      <c r="A375" s="7" t="s">
        <v>244</v>
      </c>
      <c r="B375" s="59">
        <f>IFERROR(__xludf.DUMMYFUNCTION("GOOGLEFINANCE(A375,""price"")"),532.15)</f>
        <v>532.15</v>
      </c>
      <c r="C375" s="60">
        <f>IFERROR(__xludf.DUMMYFUNCTION("MAX(QUERY(SORT(GOOGLEFINANCE(A375,""high"",TODAY()-100,TODAY()),1,0),""select Col2 limit 55""))"),543.95)</f>
        <v>543.95</v>
      </c>
      <c r="D375" s="32">
        <f>IFERROR(__xludf.DUMMYFUNCTION("GOOGLEFINANCE(A375,""high52"")"),543.95)</f>
        <v>543.95</v>
      </c>
      <c r="E375" s="33">
        <f>IFERROR(__xludf.DUMMYFUNCTION("to_date(index(sort(GOOGLEFINANCE(A375, ""high"", today()-52*7, today(), ""DAILY""),2,0),2,1))"),46167.64583333333)</f>
        <v>46167.64583</v>
      </c>
      <c r="F375" s="32">
        <f>IFERROR(__xludf.DUMMYFUNCTION("GOOGLEFINANCE(A375,""low52"")"),381.0)</f>
        <v>381</v>
      </c>
      <c r="G375" s="33">
        <f>IFERROR(__xludf.DUMMYFUNCTION("to_date(index(sort(GOOGLEFINANCE(A375, ""low"", today()-52*7, today(), ""DAILY""),2,1),1,1))"),46104.64583333333)</f>
        <v>46104.64583</v>
      </c>
      <c r="H375" s="61">
        <f>IFERROR(__xludf.DUMMYFUNCTION("MIN(QUERY(SORT(GOOGLEFINANCE(A375,""low"",TODAY()-40,TODAY()),1,0),""select Col2 limit 20""))"),484.65)</f>
        <v>484.65</v>
      </c>
      <c r="I375" s="61">
        <f t="shared" si="1"/>
        <v>2.2174199</v>
      </c>
      <c r="J375" s="35" t="str">
        <f t="shared" si="2"/>
        <v>No need to fresh start</v>
      </c>
    </row>
    <row r="376">
      <c r="A376" s="7" t="s">
        <v>269</v>
      </c>
      <c r="B376" s="59">
        <f>IFERROR(__xludf.DUMMYFUNCTION("GOOGLEFINANCE(A376,""price"")"),2232.8)</f>
        <v>2232.8</v>
      </c>
      <c r="C376" s="60">
        <f>IFERROR(__xludf.DUMMYFUNCTION("MAX(QUERY(SORT(GOOGLEFINANCE(A376,""high"",TODAY()-100,TODAY()),1,0),""select Col2 limit 55""))"),2366.7)</f>
        <v>2366.7</v>
      </c>
      <c r="D376" s="32">
        <f>IFERROR(__xludf.DUMMYFUNCTION("GOOGLEFINANCE(A376,""high52"")"),2801.3)</f>
        <v>2801.3</v>
      </c>
      <c r="E376" s="33">
        <f>IFERROR(__xludf.DUMMYFUNCTION("to_date(index(sort(GOOGLEFINANCE(A376, ""high"", today()-52*7, today(), ""DAILY""),2,0),2,1))"),45860.64583333333)</f>
        <v>45860.64583</v>
      </c>
      <c r="F376" s="32">
        <f>IFERROR(__xludf.DUMMYFUNCTION("GOOGLEFINANCE(A376,""low52"")"),2015.4)</f>
        <v>2015.4</v>
      </c>
      <c r="G376" s="33">
        <f>IFERROR(__xludf.DUMMYFUNCTION("to_date(index(sort(GOOGLEFINANCE(A376, ""low"", today()-52*7, today(), ""DAILY""),2,1),1,1))"),46105.64583333333)</f>
        <v>46105.64583</v>
      </c>
      <c r="H376" s="61">
        <f>IFERROR(__xludf.DUMMYFUNCTION("MIN(QUERY(SORT(GOOGLEFINANCE(A376,""low"",TODAY()-40,TODAY()),1,0),""select Col2 limit 20""))"),2063.7)</f>
        <v>2063.7</v>
      </c>
      <c r="I376" s="61">
        <f t="shared" si="1"/>
        <v>5.996954497</v>
      </c>
      <c r="J376" s="35" t="str">
        <f t="shared" si="2"/>
        <v>No need to fresh start</v>
      </c>
    </row>
    <row r="377">
      <c r="A377" s="7" t="s">
        <v>552</v>
      </c>
      <c r="B377" s="59">
        <f>IFERROR(__xludf.DUMMYFUNCTION("GOOGLEFINANCE(A377,""price"")"),729.8)</f>
        <v>729.8</v>
      </c>
      <c r="C377" s="60">
        <f>IFERROR(__xludf.DUMMYFUNCTION("MAX(QUERY(SORT(GOOGLEFINANCE(A377,""high"",TODAY()-100,TODAY()),1,0),""select Col2 limit 55""))"),801.8)</f>
        <v>801.8</v>
      </c>
      <c r="D377" s="32">
        <f>IFERROR(__xludf.DUMMYFUNCTION("GOOGLEFINANCE(A377,""high52"")"),884.0)</f>
        <v>884</v>
      </c>
      <c r="E377" s="33">
        <f>IFERROR(__xludf.DUMMYFUNCTION("to_date(index(sort(GOOGLEFINANCE(A377, ""high"", today()-52*7, today(), ""DAILY""),2,0),2,1))"),46029.64583333333)</f>
        <v>46029.64583</v>
      </c>
      <c r="F377" s="32">
        <f>IFERROR(__xludf.DUMMYFUNCTION("GOOGLEFINANCE(A377,""low52"")"),633.35)</f>
        <v>633.35</v>
      </c>
      <c r="G377" s="33">
        <f>IFERROR(__xludf.DUMMYFUNCTION("to_date(index(sort(GOOGLEFINANCE(A377, ""low"", today()-52*7, today(), ""DAILY""),2,1),1,1))"),45810.64583333333)</f>
        <v>45810.64583</v>
      </c>
      <c r="H377" s="61">
        <f>IFERROR(__xludf.DUMMYFUNCTION("MIN(QUERY(SORT(GOOGLEFINANCE(A377,""low"",TODAY()-40,TODAY()),1,0),""select Col2 limit 20""))"),722.45)</f>
        <v>722.45</v>
      </c>
      <c r="I377" s="61">
        <f t="shared" si="1"/>
        <v>9.865716635</v>
      </c>
      <c r="J377" s="35" t="str">
        <f t="shared" si="2"/>
        <v>No need to fresh start</v>
      </c>
    </row>
    <row r="378">
      <c r="A378" s="7" t="s">
        <v>279</v>
      </c>
      <c r="B378" s="59">
        <f>IFERROR(__xludf.DUMMYFUNCTION("GOOGLEFINANCE(A378,""price"")"),328.5)</f>
        <v>328.5</v>
      </c>
      <c r="C378" s="60">
        <f>IFERROR(__xludf.DUMMYFUNCTION("MAX(QUERY(SORT(GOOGLEFINANCE(A378,""high"",TODAY()-100,TODAY()),1,0),""select Col2 limit 55""))"),334.0)</f>
        <v>334</v>
      </c>
      <c r="D378" s="32">
        <f>IFERROR(__xludf.DUMMYFUNCTION("GOOGLEFINANCE(A378,""high52"")"),334.0)</f>
        <v>334</v>
      </c>
      <c r="E378" s="33">
        <f>IFERROR(__xludf.DUMMYFUNCTION("to_date(index(sort(GOOGLEFINANCE(A378, ""high"", today()-52*7, today(), ""DAILY""),2,0),2,1))"),46167.64583333333)</f>
        <v>46167.64583</v>
      </c>
      <c r="F378" s="32">
        <f>IFERROR(__xludf.DUMMYFUNCTION("GOOGLEFINANCE(A378,""low52"")"),230.03)</f>
        <v>230.03</v>
      </c>
      <c r="G378" s="33">
        <f>IFERROR(__xludf.DUMMYFUNCTION("to_date(index(sort(GOOGLEFINANCE(A378, ""low"", today()-52*7, today(), ""DAILY""),2,1),1,1))"),45812.64583333333)</f>
        <v>45812.64583</v>
      </c>
      <c r="H378" s="61">
        <f>IFERROR(__xludf.DUMMYFUNCTION("MIN(QUERY(SORT(GOOGLEFINANCE(A378,""low"",TODAY()-40,TODAY()),1,0),""select Col2 limit 20""))"),289.25)</f>
        <v>289.25</v>
      </c>
      <c r="I378" s="61">
        <f t="shared" si="1"/>
        <v>1.674277017</v>
      </c>
      <c r="J378" s="35" t="str">
        <f t="shared" si="2"/>
        <v>No need to fresh start</v>
      </c>
    </row>
    <row r="379">
      <c r="A379" s="7" t="s">
        <v>287</v>
      </c>
      <c r="B379" s="59">
        <f>IFERROR(__xludf.DUMMYFUNCTION("GOOGLEFINANCE(A379,""price"")"),429.9)</f>
        <v>429.9</v>
      </c>
      <c r="C379" s="60">
        <f>IFERROR(__xludf.DUMMYFUNCTION("MAX(QUERY(SORT(GOOGLEFINANCE(A379,""high"",TODAY()-100,TODAY()),1,0),""select Col2 limit 55""))"),509.8)</f>
        <v>509.8</v>
      </c>
      <c r="D379" s="32">
        <f>IFERROR(__xludf.DUMMYFUNCTION("GOOGLEFINANCE(A379,""high52"")"),718.95)</f>
        <v>718.95</v>
      </c>
      <c r="E379" s="33">
        <f>IFERROR(__xludf.DUMMYFUNCTION("to_date(index(sort(GOOGLEFINANCE(A379, ""high"", today()-52*7, today(), ""DAILY""),2,0),2,1))"),45839.64583333333)</f>
        <v>45839.64583</v>
      </c>
      <c r="F379" s="32">
        <f>IFERROR(__xludf.DUMMYFUNCTION("GOOGLEFINANCE(A379,""low52"")"),408.8)</f>
        <v>408.8</v>
      </c>
      <c r="G379" s="33">
        <f>IFERROR(__xludf.DUMMYFUNCTION("to_date(index(sort(GOOGLEFINANCE(A379, ""low"", today()-52*7, today(), ""DAILY""),2,1),1,1))"),46129.64583333333)</f>
        <v>46129.64583</v>
      </c>
      <c r="H379" s="61">
        <f>IFERROR(__xludf.DUMMYFUNCTION("MIN(QUERY(SORT(GOOGLEFINANCE(A379,""low"",TODAY()-40,TODAY()),1,0),""select Col2 limit 20""))"),422.25)</f>
        <v>422.25</v>
      </c>
      <c r="I379" s="61">
        <f t="shared" si="1"/>
        <v>18.58571761</v>
      </c>
      <c r="J379" s="35" t="str">
        <f t="shared" si="2"/>
        <v>Start GTT Order</v>
      </c>
    </row>
    <row r="380">
      <c r="A380" s="7" t="s">
        <v>225</v>
      </c>
      <c r="B380" s="59">
        <f>IFERROR(__xludf.DUMMYFUNCTION("GOOGLEFINANCE(A380,""price"")"),890.65)</f>
        <v>890.65</v>
      </c>
      <c r="C380" s="60">
        <f>IFERROR(__xludf.DUMMYFUNCTION("MAX(QUERY(SORT(GOOGLEFINANCE(A380,""high"",TODAY()-100,TODAY()),1,0),""select Col2 limit 55""))"),1111.6)</f>
        <v>1111.6</v>
      </c>
      <c r="D380" s="32">
        <f>IFERROR(__xludf.DUMMYFUNCTION("GOOGLEFINANCE(A380,""high52"")"),1214.5)</f>
        <v>1214.5</v>
      </c>
      <c r="E380" s="33">
        <f>IFERROR(__xludf.DUMMYFUNCTION("to_date(index(sort(GOOGLEFINANCE(A380, ""high"", today()-52*7, today(), ""DAILY""),2,0),2,1))"),46062.64583333333)</f>
        <v>46062.64583</v>
      </c>
      <c r="F380" s="32">
        <f>IFERROR(__xludf.DUMMYFUNCTION("GOOGLEFINANCE(A380,""low52"")"),860.1)</f>
        <v>860.1</v>
      </c>
      <c r="G380" s="33">
        <f>IFERROR(__xludf.DUMMYFUNCTION("to_date(index(sort(GOOGLEFINANCE(A380, ""low"", today()-52*7, today(), ""DAILY""),2,1),1,1))"),46104.64583333333)</f>
        <v>46104.64583</v>
      </c>
      <c r="H380" s="61">
        <f>IFERROR(__xludf.DUMMYFUNCTION("MIN(QUERY(SORT(GOOGLEFINANCE(A380,""low"",TODAY()-40,TODAY()),1,0),""select Col2 limit 20""))"),875.0)</f>
        <v>875</v>
      </c>
      <c r="I380" s="61">
        <f t="shared" si="1"/>
        <v>24.8077247</v>
      </c>
      <c r="J380" s="35" t="str">
        <f t="shared" si="2"/>
        <v>No need to fresh start</v>
      </c>
    </row>
    <row r="381">
      <c r="A381" s="7" t="s">
        <v>276</v>
      </c>
      <c r="B381" s="59">
        <f>IFERROR(__xludf.DUMMYFUNCTION("GOOGLEFINANCE(A381,""price"")"),303.5)</f>
        <v>303.5</v>
      </c>
      <c r="C381" s="60">
        <f>IFERROR(__xludf.DUMMYFUNCTION("MAX(QUERY(SORT(GOOGLEFINANCE(A381,""high"",TODAY()-100,TODAY()),1,0),""select Col2 limit 55""))"),369.9)</f>
        <v>369.9</v>
      </c>
      <c r="D381" s="32">
        <f>IFERROR(__xludf.DUMMYFUNCTION("GOOGLEFINANCE(A381,""high52"")"),412.2)</f>
        <v>412.2</v>
      </c>
      <c r="E381" s="33">
        <f>IFERROR(__xludf.DUMMYFUNCTION("to_date(index(sort(GOOGLEFINANCE(A381, ""high"", today()-52*7, today(), ""DAILY""),2,0),2,1))"),46014.64583333333)</f>
        <v>46014.64583</v>
      </c>
      <c r="F381" s="32">
        <f>IFERROR(__xludf.DUMMYFUNCTION("GOOGLEFINANCE(A381,""low52"")"),246.35)</f>
        <v>246.35</v>
      </c>
      <c r="G381" s="33">
        <f>IFERROR(__xludf.DUMMYFUNCTION("to_date(index(sort(GOOGLEFINANCE(A381, ""low"", today()-52*7, today(), ""DAILY""),2,1),1,1))"),45867.64583333333)</f>
        <v>45867.64583</v>
      </c>
      <c r="H381" s="61">
        <f>IFERROR(__xludf.DUMMYFUNCTION("MIN(QUERY(SORT(GOOGLEFINANCE(A381,""low"",TODAY()-40,TODAY()),1,0),""select Col2 limit 20""))"),294.3)</f>
        <v>294.3</v>
      </c>
      <c r="I381" s="61">
        <f t="shared" si="1"/>
        <v>21.87808896</v>
      </c>
      <c r="J381" s="35" t="str">
        <f t="shared" si="2"/>
        <v>No need to fresh start</v>
      </c>
    </row>
    <row r="382">
      <c r="A382" s="7" t="s">
        <v>553</v>
      </c>
      <c r="B382" s="59">
        <f>IFERROR(__xludf.DUMMYFUNCTION("GOOGLEFINANCE(A382,""price"")"),1918.2)</f>
        <v>1918.2</v>
      </c>
      <c r="C382" s="60">
        <f>IFERROR(__xludf.DUMMYFUNCTION("MAX(QUERY(SORT(GOOGLEFINANCE(A382,""high"",TODAY()-100,TODAY()),1,0),""select Col2 limit 55""))"),2211.1)</f>
        <v>2211.1</v>
      </c>
      <c r="D382" s="32">
        <f>IFERROR(__xludf.DUMMYFUNCTION("GOOGLEFINANCE(A382,""high52"")"),2301.4)</f>
        <v>2301.4</v>
      </c>
      <c r="E382" s="33">
        <f>IFERROR(__xludf.DUMMYFUNCTION("to_date(index(sort(GOOGLEFINANCE(A382, ""high"", today()-52*7, today(), ""DAILY""),2,0),2,1))"),46065.64583333333)</f>
        <v>46065.64583</v>
      </c>
      <c r="F382" s="32">
        <f>IFERROR(__xludf.DUMMYFUNCTION("GOOGLEFINANCE(A382,""low52"")"),1492.0)</f>
        <v>1492</v>
      </c>
      <c r="G382" s="33">
        <f>IFERROR(__xludf.DUMMYFUNCTION("to_date(index(sort(GOOGLEFINANCE(A382, ""low"", today()-52*7, today(), ""DAILY""),2,1),1,1))"),45866.64583333333)</f>
        <v>45866.64583</v>
      </c>
      <c r="H382" s="61">
        <f>IFERROR(__xludf.DUMMYFUNCTION("MIN(QUERY(SORT(GOOGLEFINANCE(A382,""low"",TODAY()-40,TODAY()),1,0),""select Col2 limit 20""))"),1821.7)</f>
        <v>1821.7</v>
      </c>
      <c r="I382" s="61">
        <f t="shared" si="1"/>
        <v>15.26952351</v>
      </c>
      <c r="J382" s="35" t="str">
        <f t="shared" si="2"/>
        <v>No need to fresh start</v>
      </c>
    </row>
    <row r="383">
      <c r="A383" s="7" t="s">
        <v>554</v>
      </c>
      <c r="B383" s="59" t="str">
        <f>IFERROR(__xludf.DUMMYFUNCTION("GOOGLEFINANCE(A383,""price"")"),"#N/A")</f>
        <v>#N/A</v>
      </c>
      <c r="C383" s="60" t="str">
        <f>IFERROR(__xludf.DUMMYFUNCTION("MAX(QUERY(SORT(GOOGLEFINANCE(A383,""high"",TODAY()-100,TODAY()),1,0),""select Col2 limit 55""))"),"#N/A")</f>
        <v>#N/A</v>
      </c>
      <c r="D383" s="32" t="str">
        <f>IFERROR(__xludf.DUMMYFUNCTION("GOOGLEFINANCE(A383,""high52"")"),"#N/A")</f>
        <v>#N/A</v>
      </c>
      <c r="E383" s="33" t="str">
        <f>IFERROR(__xludf.DUMMYFUNCTION("to_date(index(sort(GOOGLEFINANCE(A383, ""high"", today()-52*7, today(), ""DAILY""),2,0),2,1))"),"#N/A")</f>
        <v>#N/A</v>
      </c>
      <c r="F383" s="32" t="str">
        <f>IFERROR(__xludf.DUMMYFUNCTION("GOOGLEFINANCE(A383,""low52"")"),"#N/A")</f>
        <v>#N/A</v>
      </c>
      <c r="G383" s="33" t="str">
        <f>IFERROR(__xludf.DUMMYFUNCTION("to_date(index(sort(GOOGLEFINANCE(A383, ""low"", today()-52*7, today(), ""DAILY""),2,1),1,1))"),"#N/A")</f>
        <v>#N/A</v>
      </c>
      <c r="H383" s="61" t="str">
        <f>IFERROR(__xludf.DUMMYFUNCTION("MIN(QUERY(SORT(GOOGLEFINANCE(A383,""low"",TODAY()-40,TODAY()),1,0),""select Col2 limit 20""))"),"#N/A")</f>
        <v>#N/A</v>
      </c>
      <c r="I383" s="61" t="str">
        <f t="shared" si="1"/>
        <v>#N/A</v>
      </c>
      <c r="J383" s="35" t="str">
        <f t="shared" si="2"/>
        <v>#N/A</v>
      </c>
    </row>
    <row r="384">
      <c r="A384" s="7" t="s">
        <v>555</v>
      </c>
      <c r="B384" s="59">
        <f>IFERROR(__xludf.DUMMYFUNCTION("GOOGLEFINANCE(A384,""price"")"),31.58)</f>
        <v>31.58</v>
      </c>
      <c r="C384" s="60">
        <f>IFERROR(__xludf.DUMMYFUNCTION("MAX(QUERY(SORT(GOOGLEFINANCE(A384,""high"",TODAY()-100,TODAY()),1,0),""select Col2 limit 55""))"),37.35)</f>
        <v>37.35</v>
      </c>
      <c r="D384" s="32">
        <f>IFERROR(__xludf.DUMMYFUNCTION("GOOGLEFINANCE(A384,""high52"")"),65.29)</f>
        <v>65.29</v>
      </c>
      <c r="E384" s="33">
        <f>IFERROR(__xludf.DUMMYFUNCTION("to_date(index(sort(GOOGLEFINANCE(A384, ""high"", today()-52*7, today(), ""DAILY""),2,0),2,1))"),45854.64583333333)</f>
        <v>45854.64583</v>
      </c>
      <c r="F384" s="32">
        <f>IFERROR(__xludf.DUMMYFUNCTION("GOOGLEFINANCE(A384,""low52"")"),27.38)</f>
        <v>27.38</v>
      </c>
      <c r="G384" s="33">
        <f>IFERROR(__xludf.DUMMYFUNCTION("to_date(index(sort(GOOGLEFINANCE(A384, ""low"", today()-52*7, today(), ""DAILY""),2,1),1,1))"),46111.64583333333)</f>
        <v>46111.64583</v>
      </c>
      <c r="H384" s="61">
        <f>IFERROR(__xludf.DUMMYFUNCTION("MIN(QUERY(SORT(GOOGLEFINANCE(A384,""low"",TODAY()-40,TODAY()),1,0),""select Col2 limit 20""))"),31.0)</f>
        <v>31</v>
      </c>
      <c r="I384" s="61">
        <f t="shared" si="1"/>
        <v>18.27105763</v>
      </c>
      <c r="J384" s="35" t="str">
        <f t="shared" si="2"/>
        <v>Start GTT Order</v>
      </c>
    </row>
    <row r="385">
      <c r="A385" s="7" t="s">
        <v>49</v>
      </c>
      <c r="B385" s="59">
        <f>IFERROR(__xludf.DUMMYFUNCTION("GOOGLEFINANCE(A385,""price"")"),337.75)</f>
        <v>337.75</v>
      </c>
      <c r="C385" s="60">
        <f>IFERROR(__xludf.DUMMYFUNCTION("MAX(QUERY(SORT(GOOGLEFINANCE(A385,""high"",TODAY()-100,TODAY()),1,0),""select Col2 limit 55""))"),387.45)</f>
        <v>387.45</v>
      </c>
      <c r="D385" s="32">
        <f>IFERROR(__xludf.DUMMYFUNCTION("GOOGLEFINANCE(A385,""high52"")"),428.7)</f>
        <v>428.7</v>
      </c>
      <c r="E385" s="33">
        <f>IFERROR(__xludf.DUMMYFUNCTION("to_date(index(sort(GOOGLEFINANCE(A385, ""high"", today()-52*7, today(), ""DAILY""),2,0),2,1))"),45817.64583333333)</f>
        <v>45817.64583</v>
      </c>
      <c r="F385" s="32">
        <f>IFERROR(__xludf.DUMMYFUNCTION("GOOGLEFINANCE(A385,""low52"")"),304.05)</f>
        <v>304.05</v>
      </c>
      <c r="G385" s="33">
        <f>IFERROR(__xludf.DUMMYFUNCTION("to_date(index(sort(GOOGLEFINANCE(A385, ""low"", today()-52*7, today(), ""DAILY""),2,1),1,1))"),46111.64583333333)</f>
        <v>46111.64583</v>
      </c>
      <c r="H385" s="61">
        <f>IFERROR(__xludf.DUMMYFUNCTION("MIN(QUERY(SORT(GOOGLEFINANCE(A385,""low"",TODAY()-40,TODAY()),1,0),""select Col2 limit 20""))"),328.15)</f>
        <v>328.15</v>
      </c>
      <c r="I385" s="61">
        <f t="shared" si="1"/>
        <v>14.71502591</v>
      </c>
      <c r="J385" s="35" t="str">
        <f t="shared" si="2"/>
        <v>Start GTT Order</v>
      </c>
    </row>
    <row r="386">
      <c r="A386" s="7" t="s">
        <v>556</v>
      </c>
      <c r="B386" s="59">
        <f>IFERROR(__xludf.DUMMYFUNCTION("GOOGLEFINANCE(A386,""price"")"),127.5)</f>
        <v>127.5</v>
      </c>
      <c r="C386" s="60">
        <f>IFERROR(__xludf.DUMMYFUNCTION("MAX(QUERY(SORT(GOOGLEFINANCE(A386,""high"",TODAY()-100,TODAY()),1,0),""select Col2 limit 55""))"),148.97)</f>
        <v>148.97</v>
      </c>
      <c r="D386" s="32">
        <f>IFERROR(__xludf.DUMMYFUNCTION("GOOGLEFINANCE(A386,""high52"")"),188.5)</f>
        <v>188.5</v>
      </c>
      <c r="E386" s="33">
        <f>IFERROR(__xludf.DUMMYFUNCTION("to_date(index(sort(GOOGLEFINANCE(A386, ""high"", today()-52*7, today(), ""DAILY""),2,0),2,1))"),45909.64583333333)</f>
        <v>45909.64583</v>
      </c>
      <c r="F386" s="32">
        <f>IFERROR(__xludf.DUMMYFUNCTION("GOOGLEFINANCE(A386,""low52"")"),117.01)</f>
        <v>117.01</v>
      </c>
      <c r="G386" s="33">
        <f>IFERROR(__xludf.DUMMYFUNCTION("to_date(index(sort(GOOGLEFINANCE(A386, ""low"", today()-52*7, today(), ""DAILY""),2,1),1,1))"),46111.64583333333)</f>
        <v>46111.64583</v>
      </c>
      <c r="H386" s="61">
        <f>IFERROR(__xludf.DUMMYFUNCTION("MIN(QUERY(SORT(GOOGLEFINANCE(A386,""low"",TODAY()-40,TODAY()),1,0),""select Col2 limit 20""))"),125.26)</f>
        <v>125.26</v>
      </c>
      <c r="I386" s="61">
        <f t="shared" si="1"/>
        <v>16.83921569</v>
      </c>
      <c r="J386" s="35" t="str">
        <f t="shared" si="2"/>
        <v>Start GTT Order</v>
      </c>
    </row>
    <row r="387">
      <c r="A387" s="7" t="s">
        <v>265</v>
      </c>
      <c r="B387" s="59" t="str">
        <f>IFERROR(__xludf.DUMMYFUNCTION("GOOGLEFINANCE(A387,""price"")"),"#N/A")</f>
        <v>#N/A</v>
      </c>
      <c r="C387" s="60" t="str">
        <f>IFERROR(__xludf.DUMMYFUNCTION("MAX(QUERY(SORT(GOOGLEFINANCE(A387,""high"",TODAY()-100,TODAY()),1,0),""select Col2 limit 55""))"),"#N/A")</f>
        <v>#N/A</v>
      </c>
      <c r="D387" s="32" t="str">
        <f>IFERROR(__xludf.DUMMYFUNCTION("GOOGLEFINANCE(A387,""high52"")"),"#N/A")</f>
        <v>#N/A</v>
      </c>
      <c r="E387" s="33" t="str">
        <f>IFERROR(__xludf.DUMMYFUNCTION("to_date(index(sort(GOOGLEFINANCE(A387, ""high"", today()-52*7, today(), ""DAILY""),2,0),2,1))"),"#N/A")</f>
        <v>#N/A</v>
      </c>
      <c r="F387" s="32" t="str">
        <f>IFERROR(__xludf.DUMMYFUNCTION("GOOGLEFINANCE(A387,""low52"")"),"#N/A")</f>
        <v>#N/A</v>
      </c>
      <c r="G387" s="33" t="str">
        <f>IFERROR(__xludf.DUMMYFUNCTION("to_date(index(sort(GOOGLEFINANCE(A387, ""low"", today()-52*7, today(), ""DAILY""),2,1),1,1))"),"#N/A")</f>
        <v>#N/A</v>
      </c>
      <c r="H387" s="61" t="str">
        <f>IFERROR(__xludf.DUMMYFUNCTION("MIN(QUERY(SORT(GOOGLEFINANCE(A387,""low"",TODAY()-40,TODAY()),1,0),""select Col2 limit 20""))"),"#N/A")</f>
        <v>#N/A</v>
      </c>
      <c r="I387" s="61" t="str">
        <f t="shared" si="1"/>
        <v>#N/A</v>
      </c>
      <c r="J387" s="35" t="str">
        <f t="shared" si="2"/>
        <v>#N/A</v>
      </c>
    </row>
    <row r="388">
      <c r="A388" s="7" t="s">
        <v>272</v>
      </c>
      <c r="B388" s="59" t="str">
        <f>IFERROR(__xludf.DUMMYFUNCTION("GOOGLEFINANCE(A388,""price"")"),"#N/A")</f>
        <v>#N/A</v>
      </c>
      <c r="C388" s="60" t="str">
        <f>IFERROR(__xludf.DUMMYFUNCTION("MAX(QUERY(SORT(GOOGLEFINANCE(A388,""high"",TODAY()-100,TODAY()),1,0),""select Col2 limit 55""))"),"#N/A")</f>
        <v>#N/A</v>
      </c>
      <c r="D388" s="32" t="str">
        <f>IFERROR(__xludf.DUMMYFUNCTION("GOOGLEFINANCE(A388,""high52"")"),"#N/A")</f>
        <v>#N/A</v>
      </c>
      <c r="E388" s="33" t="str">
        <f>IFERROR(__xludf.DUMMYFUNCTION("to_date(index(sort(GOOGLEFINANCE(A388, ""high"", today()-52*7, today(), ""DAILY""),2,0),2,1))"),"#N/A")</f>
        <v>#N/A</v>
      </c>
      <c r="F388" s="32" t="str">
        <f>IFERROR(__xludf.DUMMYFUNCTION("GOOGLEFINANCE(A388,""low52"")"),"#N/A")</f>
        <v>#N/A</v>
      </c>
      <c r="G388" s="33" t="str">
        <f>IFERROR(__xludf.DUMMYFUNCTION("to_date(index(sort(GOOGLEFINANCE(A388, ""low"", today()-52*7, today(), ""DAILY""),2,1),1,1))"),"#N/A")</f>
        <v>#N/A</v>
      </c>
      <c r="H388" s="61" t="str">
        <f>IFERROR(__xludf.DUMMYFUNCTION("MIN(QUERY(SORT(GOOGLEFINANCE(A388,""low"",TODAY()-40,TODAY()),1,0),""select Col2 limit 20""))"),"#N/A")</f>
        <v>#N/A</v>
      </c>
      <c r="I388" s="61" t="str">
        <f t="shared" si="1"/>
        <v>#N/A</v>
      </c>
      <c r="J388" s="35" t="str">
        <f t="shared" si="2"/>
        <v>#N/A</v>
      </c>
    </row>
    <row r="389">
      <c r="A389" s="7" t="s">
        <v>557</v>
      </c>
      <c r="B389" s="59" t="str">
        <f>IFERROR(__xludf.DUMMYFUNCTION("GOOGLEFINANCE(A389,""price"")"),"#N/A")</f>
        <v>#N/A</v>
      </c>
      <c r="C389" s="60" t="str">
        <f>IFERROR(__xludf.DUMMYFUNCTION("MAX(QUERY(SORT(GOOGLEFINANCE(A389,""high"",TODAY()-100,TODAY()),1,0),""select Col2 limit 55""))"),"#N/A")</f>
        <v>#N/A</v>
      </c>
      <c r="D389" s="32" t="str">
        <f>IFERROR(__xludf.DUMMYFUNCTION("GOOGLEFINANCE(A389,""high52"")"),"#N/A")</f>
        <v>#N/A</v>
      </c>
      <c r="E389" s="33" t="str">
        <f>IFERROR(__xludf.DUMMYFUNCTION("to_date(index(sort(GOOGLEFINANCE(A389, ""high"", today()-52*7, today(), ""DAILY""),2,0),2,1))"),"#N/A")</f>
        <v>#N/A</v>
      </c>
      <c r="F389" s="32" t="str">
        <f>IFERROR(__xludf.DUMMYFUNCTION("GOOGLEFINANCE(A389,""low52"")"),"#N/A")</f>
        <v>#N/A</v>
      </c>
      <c r="G389" s="33" t="str">
        <f>IFERROR(__xludf.DUMMYFUNCTION("to_date(index(sort(GOOGLEFINANCE(A389, ""low"", today()-52*7, today(), ""DAILY""),2,1),1,1))"),"#N/A")</f>
        <v>#N/A</v>
      </c>
      <c r="H389" s="61" t="str">
        <f>IFERROR(__xludf.DUMMYFUNCTION("MIN(QUERY(SORT(GOOGLEFINANCE(A389,""low"",TODAY()-40,TODAY()),1,0),""select Col2 limit 20""))"),"#N/A")</f>
        <v>#N/A</v>
      </c>
      <c r="I389" s="61" t="str">
        <f t="shared" si="1"/>
        <v>#N/A</v>
      </c>
      <c r="J389" s="35" t="str">
        <f t="shared" si="2"/>
        <v>#N/A</v>
      </c>
    </row>
    <row r="390">
      <c r="A390" s="7" t="s">
        <v>558</v>
      </c>
      <c r="B390" s="59">
        <f>IFERROR(__xludf.DUMMYFUNCTION("GOOGLEFINANCE(A390,""price"")"),33360.0)</f>
        <v>33360</v>
      </c>
      <c r="C390" s="60">
        <f>IFERROR(__xludf.DUMMYFUNCTION("MAX(QUERY(SORT(GOOGLEFINANCE(A390,""high"",TODAY()-100,TODAY()),1,0),""select Col2 limit 55""))"),36975.0)</f>
        <v>36975</v>
      </c>
      <c r="D390" s="32">
        <f>IFERROR(__xludf.DUMMYFUNCTION("GOOGLEFINANCE(A390,""high52"")"),38030.0)</f>
        <v>38030</v>
      </c>
      <c r="E390" s="33">
        <f>IFERROR(__xludf.DUMMYFUNCTION("to_date(index(sort(GOOGLEFINANCE(A390, ""high"", today()-52*7, today(), ""DAILY""),2,0),2,1))"),46063.64583333333)</f>
        <v>46063.64583</v>
      </c>
      <c r="F390" s="32">
        <f>IFERROR(__xludf.DUMMYFUNCTION("GOOGLEFINANCE(A390,""low52"")"),27830.0)</f>
        <v>27830</v>
      </c>
      <c r="G390" s="33">
        <f>IFERROR(__xludf.DUMMYFUNCTION("to_date(index(sort(GOOGLEFINANCE(A390, ""low"", today()-52*7, today(), ""DAILY""),2,1),1,1))"),45805.64583333333)</f>
        <v>45805.64583</v>
      </c>
      <c r="H390" s="61">
        <f>IFERROR(__xludf.DUMMYFUNCTION("MIN(QUERY(SORT(GOOGLEFINANCE(A390,""low"",TODAY()-40,TODAY()),1,0),""select Col2 limit 20""))"),30280.0)</f>
        <v>30280</v>
      </c>
      <c r="I390" s="61">
        <f t="shared" si="1"/>
        <v>10.83633094</v>
      </c>
      <c r="J390" s="35" t="str">
        <f t="shared" si="2"/>
        <v>No need to fresh start</v>
      </c>
    </row>
    <row r="391">
      <c r="A391" s="7" t="s">
        <v>559</v>
      </c>
      <c r="B391" s="59" t="str">
        <f>IFERROR(__xludf.DUMMYFUNCTION("GOOGLEFINANCE(A391,""price"")"),"#N/A")</f>
        <v>#N/A</v>
      </c>
      <c r="C391" s="60" t="str">
        <f>IFERROR(__xludf.DUMMYFUNCTION("MAX(QUERY(SORT(GOOGLEFINANCE(A391,""high"",TODAY()-100,TODAY()),1,0),""select Col2 limit 55""))"),"#N/A")</f>
        <v>#N/A</v>
      </c>
      <c r="D391" s="32" t="str">
        <f>IFERROR(__xludf.DUMMYFUNCTION("GOOGLEFINANCE(A391,""high52"")"),"#N/A")</f>
        <v>#N/A</v>
      </c>
      <c r="E391" s="33" t="str">
        <f>IFERROR(__xludf.DUMMYFUNCTION("to_date(index(sort(GOOGLEFINANCE(A391, ""high"", today()-52*7, today(), ""DAILY""),2,0),2,1))"),"#N/A")</f>
        <v>#N/A</v>
      </c>
      <c r="F391" s="32" t="str">
        <f>IFERROR(__xludf.DUMMYFUNCTION("GOOGLEFINANCE(A391,""low52"")"),"#N/A")</f>
        <v>#N/A</v>
      </c>
      <c r="G391" s="33" t="str">
        <f>IFERROR(__xludf.DUMMYFUNCTION("to_date(index(sort(GOOGLEFINANCE(A391, ""low"", today()-52*7, today(), ""DAILY""),2,1),1,1))"),"#N/A")</f>
        <v>#N/A</v>
      </c>
      <c r="H391" s="61" t="str">
        <f>IFERROR(__xludf.DUMMYFUNCTION("MIN(QUERY(SORT(GOOGLEFINANCE(A391,""low"",TODAY()-40,TODAY()),1,0),""select Col2 limit 20""))"),"#N/A")</f>
        <v>#N/A</v>
      </c>
      <c r="I391" s="61" t="str">
        <f t="shared" si="1"/>
        <v>#N/A</v>
      </c>
      <c r="J391" s="35" t="str">
        <f t="shared" si="2"/>
        <v>#N/A</v>
      </c>
    </row>
    <row r="392">
      <c r="A392" s="7" t="s">
        <v>560</v>
      </c>
      <c r="B392" s="59">
        <f>IFERROR(__xludf.DUMMYFUNCTION("GOOGLEFINANCE(A392,""price"")"),13.11)</f>
        <v>13.11</v>
      </c>
      <c r="C392" s="60">
        <f>IFERROR(__xludf.DUMMYFUNCTION("MAX(QUERY(SORT(GOOGLEFINANCE(A392,""high"",TODAY()-100,TODAY()),1,0),""select Col2 limit 55""))"),14.8)</f>
        <v>14.8</v>
      </c>
      <c r="D392" s="32">
        <f>IFERROR(__xludf.DUMMYFUNCTION("GOOGLEFINANCE(A392,""high52"")"),23.5)</f>
        <v>23.5</v>
      </c>
      <c r="E392" s="33">
        <f>IFERROR(__xludf.DUMMYFUNCTION("to_date(index(sort(GOOGLEFINANCE(A392, ""high"", today()-52*7, today(), ""DAILY""),2,0),2,1))"),45846.64583333333)</f>
        <v>45846.64583</v>
      </c>
      <c r="F392" s="32">
        <f>IFERROR(__xludf.DUMMYFUNCTION("GOOGLEFINANCE(A392,""low52"")"),11.11)</f>
        <v>11.11</v>
      </c>
      <c r="G392" s="33">
        <f>IFERROR(__xludf.DUMMYFUNCTION("to_date(index(sort(GOOGLEFINANCE(A392, ""low"", today()-52*7, today(), ""DAILY""),2,1),1,1))"),46111.64583333333)</f>
        <v>46111.64583</v>
      </c>
      <c r="H392" s="61">
        <f>IFERROR(__xludf.DUMMYFUNCTION("MIN(QUERY(SORT(GOOGLEFINANCE(A392,""low"",TODAY()-40,TODAY()),1,0),""select Col2 limit 20""))"),12.25)</f>
        <v>12.25</v>
      </c>
      <c r="I392" s="61">
        <f t="shared" si="1"/>
        <v>12.89092296</v>
      </c>
      <c r="J392" s="35" t="str">
        <f t="shared" si="2"/>
        <v>Start GTT Order</v>
      </c>
    </row>
    <row r="393">
      <c r="A393" s="7" t="s">
        <v>561</v>
      </c>
      <c r="B393" s="59">
        <f>IFERROR(__xludf.DUMMYFUNCTION("GOOGLEFINANCE(A393,""price"")"),83.0)</f>
        <v>83</v>
      </c>
      <c r="C393" s="60">
        <f>IFERROR(__xludf.DUMMYFUNCTION("MAX(QUERY(SORT(GOOGLEFINANCE(A393,""high"",TODAY()-100,TODAY()),1,0),""select Col2 limit 55""))"),83.48)</f>
        <v>83.48</v>
      </c>
      <c r="D393" s="32">
        <f>IFERROR(__xludf.DUMMYFUNCTION("GOOGLEFINANCE(A393,""high52"")"),98.8)</f>
        <v>98.8</v>
      </c>
      <c r="E393" s="33">
        <f>IFERROR(__xludf.DUMMYFUNCTION("to_date(index(sort(GOOGLEFINANCE(A393, ""high"", today()-52*7, today(), ""DAILY""),2,0),2,1))"),45889.64583333333)</f>
        <v>45889.64583</v>
      </c>
      <c r="F393" s="32">
        <f>IFERROR(__xludf.DUMMYFUNCTION("GOOGLEFINANCE(A393,""low52"")"),48.3)</f>
        <v>48.3</v>
      </c>
      <c r="G393" s="33">
        <f>IFERROR(__xludf.DUMMYFUNCTION("to_date(index(sort(GOOGLEFINANCE(A393, ""low"", today()-52*7, today(), ""DAILY""),2,1),1,1))"),46111.64583333333)</f>
        <v>46111.64583</v>
      </c>
      <c r="H393" s="61">
        <f>IFERROR(__xludf.DUMMYFUNCTION("MIN(QUERY(SORT(GOOGLEFINANCE(A393,""low"",TODAY()-40,TODAY()),1,0),""select Col2 limit 20""))"),66.32)</f>
        <v>66.32</v>
      </c>
      <c r="I393" s="61">
        <f t="shared" si="1"/>
        <v>0.578313253</v>
      </c>
      <c r="J393" s="35" t="str">
        <f t="shared" si="2"/>
        <v>No need to fresh start</v>
      </c>
    </row>
    <row r="394">
      <c r="A394" s="7" t="s">
        <v>562</v>
      </c>
      <c r="B394" s="59">
        <f>IFERROR(__xludf.DUMMYFUNCTION("GOOGLEFINANCE(A394,""price"")"),181.81)</f>
        <v>181.81</v>
      </c>
      <c r="C394" s="60">
        <f>IFERROR(__xludf.DUMMYFUNCTION("MAX(QUERY(SORT(GOOGLEFINANCE(A394,""high"",TODAY()-100,TODAY()),1,0),""select Col2 limit 55""))"),205.9)</f>
        <v>205.9</v>
      </c>
      <c r="D394" s="32">
        <f>IFERROR(__xludf.DUMMYFUNCTION("GOOGLEFINANCE(A394,""high52"")"),205.9)</f>
        <v>205.9</v>
      </c>
      <c r="E394" s="33">
        <f>IFERROR(__xludf.DUMMYFUNCTION("to_date(index(sort(GOOGLEFINANCE(A394, ""high"", today()-52*7, today(), ""DAILY""),2,0),2,1))"),46139.64583333333)</f>
        <v>46139.64583</v>
      </c>
      <c r="F394" s="32">
        <f>IFERROR(__xludf.DUMMYFUNCTION("GOOGLEFINANCE(A394,""low52"")"),119.51)</f>
        <v>119.51</v>
      </c>
      <c r="G394" s="33">
        <f>IFERROR(__xludf.DUMMYFUNCTION("to_date(index(sort(GOOGLEFINANCE(A394, ""low"", today()-52*7, today(), ""DAILY""),2,1),1,1))"),45897.64583333333)</f>
        <v>45897.64583</v>
      </c>
      <c r="H394" s="61">
        <f>IFERROR(__xludf.DUMMYFUNCTION("MIN(QUERY(SORT(GOOGLEFINANCE(A394,""low"",TODAY()-40,TODAY()),1,0),""select Col2 limit 20""))"),170.8)</f>
        <v>170.8</v>
      </c>
      <c r="I394" s="61">
        <f t="shared" si="1"/>
        <v>13.25009625</v>
      </c>
      <c r="J394" s="35" t="str">
        <f t="shared" si="2"/>
        <v>No need to fresh start</v>
      </c>
    </row>
    <row r="395">
      <c r="A395" s="7" t="s">
        <v>563</v>
      </c>
      <c r="B395" s="59">
        <f>IFERROR(__xludf.DUMMYFUNCTION("GOOGLEFINANCE(A395,""price"")"),494.4)</f>
        <v>494.4</v>
      </c>
      <c r="C395" s="60">
        <f>IFERROR(__xludf.DUMMYFUNCTION("MAX(QUERY(SORT(GOOGLEFINANCE(A395,""high"",TODAY()-100,TODAY()),1,0),""select Col2 limit 55""))"),611.0)</f>
        <v>611</v>
      </c>
      <c r="D395" s="32">
        <f>IFERROR(__xludf.DUMMYFUNCTION("GOOGLEFINANCE(A395,""high52"")"),894.0)</f>
        <v>894</v>
      </c>
      <c r="E395" s="33">
        <f>IFERROR(__xludf.DUMMYFUNCTION("to_date(index(sort(GOOGLEFINANCE(A395, ""high"", today()-52*7, today(), ""DAILY""),2,0),2,1))"),45818.64583333333)</f>
        <v>45818.64583</v>
      </c>
      <c r="F395" s="32">
        <f>IFERROR(__xludf.DUMMYFUNCTION("GOOGLEFINANCE(A395,""low52"")"),470.1)</f>
        <v>470.1</v>
      </c>
      <c r="G395" s="33">
        <f>IFERROR(__xludf.DUMMYFUNCTION("to_date(index(sort(GOOGLEFINANCE(A395, ""low"", today()-52*7, today(), ""DAILY""),2,1),1,1))"),46160.64583333333)</f>
        <v>46160.64583</v>
      </c>
      <c r="H395" s="61">
        <f>IFERROR(__xludf.DUMMYFUNCTION("MIN(QUERY(SORT(GOOGLEFINANCE(A395,""low"",TODAY()-40,TODAY()),1,0),""select Col2 limit 20""))"),470.1)</f>
        <v>470.1</v>
      </c>
      <c r="I395" s="61">
        <f t="shared" si="1"/>
        <v>23.58414239</v>
      </c>
      <c r="J395" s="35" t="str">
        <f t="shared" si="2"/>
        <v>No need to fresh start</v>
      </c>
    </row>
    <row r="396">
      <c r="A396" s="7" t="s">
        <v>564</v>
      </c>
      <c r="B396" s="59">
        <f>IFERROR(__xludf.DUMMYFUNCTION("GOOGLEFINANCE(A396,""price"")"),7048.0)</f>
        <v>7048</v>
      </c>
      <c r="C396" s="60">
        <f>IFERROR(__xludf.DUMMYFUNCTION("MAX(QUERY(SORT(GOOGLEFINANCE(A396,""high"",TODAY()-100,TODAY()),1,0),""select Col2 limit 55""))"),7822.5)</f>
        <v>7822.5</v>
      </c>
      <c r="D396" s="32">
        <f>IFERROR(__xludf.DUMMYFUNCTION("GOOGLEFINANCE(A396,""high52"")"),7822.5)</f>
        <v>7822.5</v>
      </c>
      <c r="E396" s="33">
        <f>IFERROR(__xludf.DUMMYFUNCTION("to_date(index(sort(GOOGLEFINANCE(A396, ""high"", today()-52*7, today(), ""DAILY""),2,0),2,1))"),46134.64583333333)</f>
        <v>46134.64583</v>
      </c>
      <c r="F396" s="32">
        <f>IFERROR(__xludf.DUMMYFUNCTION("GOOGLEFINANCE(A396,""low52"")"),4637.5)</f>
        <v>4637.5</v>
      </c>
      <c r="G396" s="33">
        <f>IFERROR(__xludf.DUMMYFUNCTION("to_date(index(sort(GOOGLEFINANCE(A396, ""low"", today()-52*7, today(), ""DAILY""),2,1),1,1))"),46043.64583333333)</f>
        <v>46043.64583</v>
      </c>
      <c r="H396" s="61">
        <f>IFERROR(__xludf.DUMMYFUNCTION("MIN(QUERY(SORT(GOOGLEFINANCE(A396,""low"",TODAY()-40,TODAY()),1,0),""select Col2 limit 20""))"),6171.5)</f>
        <v>6171.5</v>
      </c>
      <c r="I396" s="61">
        <f t="shared" si="1"/>
        <v>10.98893303</v>
      </c>
      <c r="J396" s="35" t="str">
        <f t="shared" si="2"/>
        <v>No need to fresh start</v>
      </c>
    </row>
    <row r="397">
      <c r="A397" s="7" t="s">
        <v>565</v>
      </c>
      <c r="B397" s="59">
        <f>IFERROR(__xludf.DUMMYFUNCTION("GOOGLEFINANCE(A397,""price"")"),750.45)</f>
        <v>750.45</v>
      </c>
      <c r="C397" s="60">
        <f>IFERROR(__xludf.DUMMYFUNCTION("MAX(QUERY(SORT(GOOGLEFINANCE(A397,""high"",TODAY()-100,TODAY()),1,0),""select Col2 limit 55""))"),776.55)</f>
        <v>776.55</v>
      </c>
      <c r="D397" s="32">
        <f>IFERROR(__xludf.DUMMYFUNCTION("GOOGLEFINANCE(A397,""high52"")"),776.55)</f>
        <v>776.55</v>
      </c>
      <c r="E397" s="33">
        <f>IFERROR(__xludf.DUMMYFUNCTION("to_date(index(sort(GOOGLEFINANCE(A397, ""high"", today()-52*7, today(), ""DAILY""),2,0),2,1))"),46163.64583333333)</f>
        <v>46163.64583</v>
      </c>
      <c r="F397" s="32">
        <f>IFERROR(__xludf.DUMMYFUNCTION("GOOGLEFINANCE(A397,""low52"")"),519.1)</f>
        <v>519.1</v>
      </c>
      <c r="G397" s="33">
        <f>IFERROR(__xludf.DUMMYFUNCTION("to_date(index(sort(GOOGLEFINANCE(A397, ""low"", today()-52*7, today(), ""DAILY""),2,1),1,1))"),46057.64583333333)</f>
        <v>46057.64583</v>
      </c>
      <c r="H397" s="61">
        <f>IFERROR(__xludf.DUMMYFUNCTION("MIN(QUERY(SORT(GOOGLEFINANCE(A397,""low"",TODAY()-40,TODAY()),1,0),""select Col2 limit 20""))"),685.2)</f>
        <v>685.2</v>
      </c>
      <c r="I397" s="61">
        <f t="shared" si="1"/>
        <v>3.477913252</v>
      </c>
      <c r="J397" s="35" t="str">
        <f t="shared" si="2"/>
        <v>No need to fresh start</v>
      </c>
    </row>
    <row r="398">
      <c r="A398" s="7" t="s">
        <v>566</v>
      </c>
      <c r="B398" s="59">
        <f>IFERROR(__xludf.DUMMYFUNCTION("GOOGLEFINANCE(A398,""price"")"),288.8)</f>
        <v>288.8</v>
      </c>
      <c r="C398" s="60">
        <f>IFERROR(__xludf.DUMMYFUNCTION("MAX(QUERY(SORT(GOOGLEFINANCE(A398,""high"",TODAY()-100,TODAY()),1,0),""select Col2 limit 55""))"),322.0)</f>
        <v>322</v>
      </c>
      <c r="D398" s="32">
        <f>IFERROR(__xludf.DUMMYFUNCTION("GOOGLEFINANCE(A398,""high52"")"),343.45)</f>
        <v>343.45</v>
      </c>
      <c r="E398" s="33">
        <f>IFERROR(__xludf.DUMMYFUNCTION("to_date(index(sort(GOOGLEFINANCE(A398, ""high"", today()-52*7, today(), ""DAILY""),2,0),2,1))"),46078.64583333333)</f>
        <v>46078.64583</v>
      </c>
      <c r="F398" s="32">
        <f>IFERROR(__xludf.DUMMYFUNCTION("GOOGLEFINANCE(A398,""low52"")"),181.75)</f>
        <v>181.75</v>
      </c>
      <c r="G398" s="33">
        <f>IFERROR(__xludf.DUMMYFUNCTION("to_date(index(sort(GOOGLEFINANCE(A398, ""low"", today()-52*7, today(), ""DAILY""),2,1),1,1))"),45806.64583333333)</f>
        <v>45806.64583</v>
      </c>
      <c r="H398" s="61">
        <f>IFERROR(__xludf.DUMMYFUNCTION("MIN(QUERY(SORT(GOOGLEFINANCE(A398,""low"",TODAY()-40,TODAY()),1,0),""select Col2 limit 20""))"),275.35)</f>
        <v>275.35</v>
      </c>
      <c r="I398" s="61">
        <f t="shared" si="1"/>
        <v>11.49584488</v>
      </c>
      <c r="J398" s="35" t="str">
        <f t="shared" si="2"/>
        <v>No need to fresh start</v>
      </c>
    </row>
    <row r="399">
      <c r="A399" s="7" t="s">
        <v>567</v>
      </c>
      <c r="B399" s="59">
        <f>IFERROR(__xludf.DUMMYFUNCTION("GOOGLEFINANCE(A399,""price"")"),1780.3)</f>
        <v>1780.3</v>
      </c>
      <c r="C399" s="60">
        <f>IFERROR(__xludf.DUMMYFUNCTION("MAX(QUERY(SORT(GOOGLEFINANCE(A399,""high"",TODAY()-100,TODAY()),1,0),""select Col2 limit 55""))"),1855.9)</f>
        <v>1855.9</v>
      </c>
      <c r="D399" s="32">
        <f>IFERROR(__xludf.DUMMYFUNCTION("GOOGLEFINANCE(A399,""high52"")"),1993.0)</f>
        <v>1993</v>
      </c>
      <c r="E399" s="33">
        <f>IFERROR(__xludf.DUMMYFUNCTION("to_date(index(sort(GOOGLEFINANCE(A399, ""high"", today()-52*7, today(), ""DAILY""),2,0),2,1))"),46034.64583333333)</f>
        <v>46034.64583</v>
      </c>
      <c r="F399" s="32">
        <f>IFERROR(__xludf.DUMMYFUNCTION("GOOGLEFINANCE(A399,""low52"")"),1402.5)</f>
        <v>1402.5</v>
      </c>
      <c r="G399" s="33">
        <f>IFERROR(__xludf.DUMMYFUNCTION("to_date(index(sort(GOOGLEFINANCE(A399, ""low"", today()-52*7, today(), ""DAILY""),2,1),1,1))"),45880.64583333333)</f>
        <v>45880.64583</v>
      </c>
      <c r="H399" s="61">
        <f>IFERROR(__xludf.DUMMYFUNCTION("MIN(QUERY(SORT(GOOGLEFINANCE(A399,""low"",TODAY()-40,TODAY()),1,0),""select Col2 limit 20""))"),1688.0)</f>
        <v>1688</v>
      </c>
      <c r="I399" s="61">
        <f t="shared" si="1"/>
        <v>4.246475313</v>
      </c>
      <c r="J399" s="35" t="str">
        <f t="shared" si="2"/>
        <v>No need to fresh start</v>
      </c>
    </row>
    <row r="400">
      <c r="A400" s="7" t="s">
        <v>568</v>
      </c>
      <c r="B400" s="59">
        <f>IFERROR(__xludf.DUMMYFUNCTION("GOOGLEFINANCE(A400,""price"")"),11815.0)</f>
        <v>11815</v>
      </c>
      <c r="C400" s="60">
        <f>IFERROR(__xludf.DUMMYFUNCTION("MAX(QUERY(SORT(GOOGLEFINANCE(A400,""high"",TODAY()-100,TODAY()),1,0),""select Col2 limit 55""))"),11888.0)</f>
        <v>11888</v>
      </c>
      <c r="D400" s="32">
        <f>IFERROR(__xludf.DUMMYFUNCTION("GOOGLEFINANCE(A400,""high52"")"),18471.0)</f>
        <v>18471</v>
      </c>
      <c r="E400" s="33">
        <f>IFERROR(__xludf.DUMMYFUNCTION("to_date(index(sort(GOOGLEFINANCE(A400, ""high"", today()-52*7, today(), ""DAILY""),2,0),2,1))"),45925.64583333333)</f>
        <v>45925.64583</v>
      </c>
      <c r="F400" s="32">
        <f>IFERROR(__xludf.DUMMYFUNCTION("GOOGLEFINANCE(A400,""low52"")"),9600.0)</f>
        <v>9600</v>
      </c>
      <c r="G400" s="33">
        <f>IFERROR(__xludf.DUMMYFUNCTION("to_date(index(sort(GOOGLEFINANCE(A400, ""low"", today()-52*7, today(), ""DAILY""),2,1),1,1))"),46129.64583333333)</f>
        <v>46129.64583</v>
      </c>
      <c r="H400" s="61">
        <f>IFERROR(__xludf.DUMMYFUNCTION("MIN(QUERY(SORT(GOOGLEFINANCE(A400,""low"",TODAY()-40,TODAY()),1,0),""select Col2 limit 20""))"),10100.0)</f>
        <v>10100</v>
      </c>
      <c r="I400" s="61">
        <f t="shared" si="1"/>
        <v>0.6178586543</v>
      </c>
      <c r="J400" s="35" t="str">
        <f t="shared" si="2"/>
        <v>No need to fresh start</v>
      </c>
    </row>
    <row r="401">
      <c r="A401" s="7" t="s">
        <v>81</v>
      </c>
      <c r="B401" s="59">
        <f>IFERROR(__xludf.DUMMYFUNCTION("GOOGLEFINANCE(A401,""price"")"),350.0)</f>
        <v>350</v>
      </c>
      <c r="C401" s="60">
        <f>IFERROR(__xludf.DUMMYFUNCTION("MAX(QUERY(SORT(GOOGLEFINANCE(A401,""high"",TODAY()-100,TODAY()),1,0),""select Col2 limit 55""))"),387.8)</f>
        <v>387.8</v>
      </c>
      <c r="D401" s="32">
        <f>IFERROR(__xludf.DUMMYFUNCTION("GOOGLEFINANCE(A401,""high52"")"),387.8)</f>
        <v>387.8</v>
      </c>
      <c r="E401" s="33">
        <f>IFERROR(__xludf.DUMMYFUNCTION("to_date(index(sort(GOOGLEFINANCE(A401, ""high"", today()-52*7, today(), ""DAILY""),2,0),2,1))"),46156.64583333333)</f>
        <v>46156.64583</v>
      </c>
      <c r="F401" s="32">
        <f>IFERROR(__xludf.DUMMYFUNCTION("GOOGLEFINANCE(A401,""low52"")"),220.71)</f>
        <v>220.71</v>
      </c>
      <c r="G401" s="33">
        <f>IFERROR(__xludf.DUMMYFUNCTION("to_date(index(sort(GOOGLEFINANCE(A401, ""low"", today()-52*7, today(), ""DAILY""),2,1),1,1))"),45846.64583333333)</f>
        <v>45846.64583</v>
      </c>
      <c r="H401" s="61">
        <f>IFERROR(__xludf.DUMMYFUNCTION("MIN(QUERY(SORT(GOOGLEFINANCE(A401,""low"",TODAY()-40,TODAY()),1,0),""select Col2 limit 20""))"),306.3)</f>
        <v>306.3</v>
      </c>
      <c r="I401" s="61">
        <f t="shared" si="1"/>
        <v>10.8</v>
      </c>
      <c r="J401" s="35" t="str">
        <f t="shared" si="2"/>
        <v>No need to fresh start</v>
      </c>
    </row>
    <row r="402">
      <c r="C402" s="36"/>
    </row>
    <row r="403">
      <c r="C403" s="36"/>
    </row>
    <row r="404">
      <c r="C404" s="36"/>
    </row>
    <row r="405">
      <c r="C405" s="36"/>
    </row>
    <row r="406">
      <c r="C406" s="36"/>
    </row>
    <row r="407">
      <c r="C407" s="36"/>
    </row>
    <row r="408">
      <c r="C408" s="36"/>
    </row>
    <row r="409">
      <c r="C409" s="36"/>
    </row>
    <row r="410">
      <c r="C410" s="36"/>
    </row>
    <row r="411">
      <c r="C411" s="36"/>
    </row>
    <row r="412">
      <c r="C412" s="36"/>
    </row>
    <row r="413">
      <c r="C413" s="36"/>
    </row>
    <row r="414">
      <c r="C414" s="36"/>
    </row>
    <row r="415">
      <c r="C415" s="36"/>
    </row>
    <row r="416">
      <c r="C416" s="36"/>
    </row>
    <row r="417">
      <c r="C417" s="36"/>
    </row>
    <row r="418">
      <c r="C418" s="36"/>
    </row>
    <row r="419">
      <c r="C419" s="36"/>
    </row>
    <row r="420">
      <c r="C420" s="36"/>
    </row>
    <row r="421">
      <c r="C421" s="36"/>
    </row>
    <row r="422">
      <c r="C422" s="36"/>
    </row>
    <row r="423">
      <c r="C423" s="36"/>
    </row>
    <row r="424">
      <c r="C424" s="36"/>
    </row>
    <row r="425">
      <c r="C425" s="36"/>
    </row>
    <row r="426">
      <c r="C426" s="36"/>
    </row>
    <row r="427">
      <c r="C427" s="36"/>
    </row>
    <row r="428">
      <c r="C428" s="36"/>
    </row>
    <row r="429">
      <c r="C429" s="36"/>
    </row>
    <row r="430">
      <c r="C430" s="36"/>
    </row>
    <row r="431">
      <c r="C431" s="36"/>
    </row>
    <row r="432">
      <c r="C432" s="36"/>
    </row>
    <row r="433">
      <c r="C433" s="36"/>
    </row>
    <row r="434">
      <c r="C434" s="36"/>
    </row>
    <row r="435">
      <c r="C435" s="36"/>
    </row>
    <row r="436">
      <c r="C436" s="36"/>
    </row>
    <row r="437">
      <c r="C437" s="36"/>
    </row>
    <row r="438">
      <c r="C438" s="36"/>
    </row>
    <row r="439">
      <c r="C439" s="36"/>
    </row>
    <row r="440">
      <c r="C440" s="36"/>
    </row>
    <row r="441">
      <c r="C441" s="36"/>
    </row>
    <row r="442">
      <c r="C442" s="36"/>
    </row>
    <row r="443">
      <c r="C443" s="36"/>
    </row>
    <row r="444">
      <c r="C444" s="36"/>
    </row>
    <row r="445">
      <c r="C445" s="36"/>
    </row>
    <row r="446">
      <c r="C446" s="36"/>
    </row>
    <row r="447">
      <c r="C447" s="36"/>
    </row>
    <row r="448">
      <c r="C448" s="36"/>
    </row>
    <row r="449">
      <c r="C449" s="36"/>
    </row>
    <row r="450">
      <c r="C450" s="36"/>
    </row>
    <row r="451">
      <c r="C451" s="36"/>
    </row>
    <row r="452">
      <c r="C452" s="36"/>
    </row>
    <row r="453">
      <c r="C453" s="36"/>
    </row>
    <row r="454">
      <c r="C454" s="36"/>
    </row>
    <row r="455">
      <c r="C455" s="36"/>
    </row>
    <row r="456">
      <c r="C456" s="36"/>
    </row>
    <row r="457">
      <c r="C457" s="36"/>
    </row>
    <row r="458">
      <c r="C458" s="36"/>
    </row>
    <row r="459">
      <c r="C459" s="36"/>
    </row>
    <row r="460">
      <c r="C460" s="36"/>
    </row>
    <row r="461">
      <c r="C461" s="36"/>
    </row>
    <row r="462">
      <c r="C462" s="36"/>
    </row>
    <row r="463">
      <c r="C463" s="36"/>
    </row>
    <row r="464">
      <c r="C464" s="36"/>
    </row>
    <row r="465">
      <c r="C465" s="36"/>
    </row>
    <row r="466">
      <c r="C466" s="36"/>
    </row>
    <row r="467">
      <c r="C467" s="36"/>
    </row>
    <row r="468">
      <c r="C468" s="36"/>
    </row>
    <row r="469">
      <c r="C469" s="36"/>
    </row>
    <row r="470">
      <c r="C470" s="36"/>
    </row>
    <row r="471">
      <c r="C471" s="36"/>
    </row>
    <row r="472">
      <c r="C472" s="36"/>
    </row>
    <row r="473">
      <c r="C473" s="36"/>
    </row>
    <row r="474">
      <c r="C474" s="36"/>
    </row>
    <row r="475">
      <c r="C475" s="36"/>
    </row>
    <row r="476">
      <c r="C476" s="36"/>
    </row>
    <row r="477">
      <c r="C477" s="36"/>
    </row>
    <row r="478">
      <c r="C478" s="36"/>
    </row>
    <row r="479">
      <c r="C479" s="36"/>
    </row>
    <row r="480">
      <c r="C480" s="36"/>
    </row>
    <row r="481">
      <c r="C481" s="36"/>
    </row>
    <row r="482">
      <c r="C482" s="36"/>
    </row>
    <row r="483">
      <c r="C483" s="36"/>
    </row>
    <row r="484">
      <c r="C484" s="36"/>
    </row>
    <row r="485">
      <c r="C485" s="36"/>
    </row>
    <row r="486">
      <c r="C486" s="36"/>
    </row>
    <row r="487">
      <c r="C487" s="36"/>
    </row>
    <row r="488">
      <c r="C488" s="36"/>
    </row>
    <row r="489">
      <c r="C489" s="36"/>
    </row>
    <row r="490">
      <c r="C490" s="36"/>
    </row>
    <row r="491">
      <c r="C491" s="36"/>
    </row>
    <row r="492">
      <c r="C492" s="36"/>
    </row>
    <row r="493">
      <c r="C493" s="36"/>
    </row>
    <row r="494">
      <c r="C494" s="36"/>
    </row>
    <row r="495">
      <c r="C495" s="36"/>
    </row>
    <row r="496">
      <c r="C496" s="36"/>
    </row>
    <row r="497">
      <c r="C497" s="36"/>
    </row>
    <row r="498">
      <c r="C498" s="36"/>
    </row>
    <row r="499">
      <c r="C499" s="36"/>
    </row>
    <row r="500">
      <c r="C500" s="36"/>
    </row>
    <row r="501">
      <c r="C501" s="36"/>
    </row>
    <row r="502">
      <c r="C502" s="36"/>
    </row>
    <row r="503">
      <c r="C503" s="36"/>
    </row>
    <row r="504">
      <c r="C504" s="36"/>
    </row>
    <row r="505">
      <c r="C505" s="36"/>
    </row>
    <row r="506">
      <c r="C506" s="36"/>
    </row>
    <row r="507">
      <c r="C507" s="36"/>
    </row>
    <row r="508">
      <c r="C508" s="36"/>
    </row>
    <row r="509">
      <c r="C509" s="36"/>
    </row>
    <row r="510">
      <c r="C510" s="36"/>
    </row>
    <row r="511">
      <c r="C511" s="36"/>
    </row>
    <row r="512">
      <c r="C512" s="36"/>
    </row>
    <row r="513">
      <c r="C513" s="36"/>
    </row>
    <row r="514">
      <c r="C514" s="36"/>
    </row>
    <row r="515">
      <c r="C515" s="36"/>
    </row>
    <row r="516">
      <c r="C516" s="36"/>
    </row>
    <row r="517">
      <c r="C517" s="36"/>
    </row>
    <row r="518">
      <c r="C518" s="36"/>
    </row>
    <row r="519">
      <c r="C519" s="36"/>
    </row>
    <row r="520">
      <c r="C520" s="36"/>
    </row>
    <row r="521">
      <c r="C521" s="36"/>
    </row>
    <row r="522">
      <c r="C522" s="36"/>
    </row>
    <row r="523">
      <c r="C523" s="36"/>
    </row>
    <row r="524">
      <c r="C524" s="36"/>
    </row>
    <row r="525">
      <c r="C525" s="36"/>
    </row>
    <row r="526">
      <c r="C526" s="36"/>
    </row>
    <row r="527">
      <c r="C527" s="36"/>
    </row>
    <row r="528">
      <c r="C528" s="36"/>
    </row>
    <row r="529">
      <c r="C529" s="36"/>
    </row>
    <row r="530">
      <c r="C530" s="36"/>
    </row>
    <row r="531">
      <c r="C531" s="36"/>
    </row>
    <row r="532">
      <c r="C532" s="36"/>
    </row>
    <row r="533">
      <c r="C533" s="36"/>
    </row>
    <row r="534">
      <c r="C534" s="36"/>
    </row>
    <row r="535">
      <c r="C535" s="36"/>
    </row>
    <row r="536">
      <c r="C536" s="36"/>
    </row>
    <row r="537">
      <c r="C537" s="36"/>
    </row>
    <row r="538">
      <c r="C538" s="36"/>
    </row>
    <row r="539">
      <c r="C539" s="36"/>
    </row>
    <row r="540">
      <c r="C540" s="36"/>
    </row>
    <row r="541">
      <c r="C541" s="36"/>
    </row>
    <row r="542">
      <c r="C542" s="36"/>
    </row>
    <row r="543">
      <c r="C543" s="36"/>
    </row>
    <row r="544">
      <c r="C544" s="36"/>
    </row>
    <row r="545">
      <c r="C545" s="36"/>
    </row>
    <row r="546">
      <c r="C546" s="36"/>
    </row>
    <row r="547">
      <c r="C547" s="36"/>
    </row>
    <row r="548">
      <c r="C548" s="36"/>
    </row>
    <row r="549">
      <c r="C549" s="36"/>
    </row>
    <row r="550">
      <c r="C550" s="36"/>
    </row>
    <row r="551">
      <c r="C551" s="36"/>
    </row>
    <row r="552">
      <c r="C552" s="36"/>
    </row>
    <row r="553">
      <c r="C553" s="36"/>
    </row>
    <row r="554">
      <c r="C554" s="36"/>
    </row>
    <row r="555">
      <c r="C555" s="36"/>
    </row>
    <row r="556">
      <c r="C556" s="36"/>
    </row>
    <row r="557">
      <c r="C557" s="36"/>
    </row>
    <row r="558">
      <c r="C558" s="36"/>
    </row>
    <row r="559">
      <c r="C559" s="36"/>
    </row>
    <row r="560">
      <c r="C560" s="36"/>
    </row>
    <row r="561">
      <c r="C561" s="36"/>
    </row>
    <row r="562">
      <c r="C562" s="36"/>
    </row>
    <row r="563">
      <c r="C563" s="36"/>
    </row>
    <row r="564">
      <c r="C564" s="36"/>
    </row>
    <row r="565">
      <c r="C565" s="36"/>
    </row>
    <row r="566">
      <c r="C566" s="36"/>
    </row>
    <row r="567">
      <c r="C567" s="36"/>
    </row>
    <row r="568">
      <c r="C568" s="36"/>
    </row>
    <row r="569">
      <c r="C569" s="36"/>
    </row>
    <row r="570">
      <c r="C570" s="36"/>
    </row>
    <row r="571">
      <c r="C571" s="36"/>
    </row>
    <row r="572">
      <c r="C572" s="36"/>
    </row>
    <row r="573">
      <c r="C573" s="36"/>
    </row>
    <row r="574">
      <c r="C574" s="36"/>
    </row>
    <row r="575">
      <c r="C575" s="36"/>
    </row>
    <row r="576">
      <c r="C576" s="36"/>
    </row>
    <row r="577">
      <c r="C577" s="36"/>
    </row>
    <row r="578">
      <c r="C578" s="36"/>
    </row>
    <row r="579">
      <c r="C579" s="36"/>
    </row>
    <row r="580">
      <c r="C580" s="36"/>
    </row>
    <row r="581">
      <c r="C581" s="36"/>
    </row>
    <row r="582">
      <c r="C582" s="36"/>
    </row>
    <row r="583">
      <c r="C583" s="36"/>
    </row>
    <row r="584">
      <c r="C584" s="36"/>
    </row>
    <row r="585">
      <c r="C585" s="36"/>
    </row>
    <row r="586">
      <c r="C586" s="36"/>
    </row>
    <row r="587">
      <c r="C587" s="36"/>
    </row>
    <row r="588">
      <c r="C588" s="36"/>
    </row>
    <row r="589">
      <c r="C589" s="36"/>
    </row>
    <row r="590">
      <c r="C590" s="36"/>
    </row>
    <row r="591">
      <c r="C591" s="36"/>
    </row>
    <row r="592">
      <c r="C592" s="36"/>
    </row>
    <row r="593">
      <c r="C593" s="36"/>
    </row>
    <row r="594">
      <c r="C594" s="36"/>
    </row>
    <row r="595">
      <c r="C595" s="36"/>
    </row>
    <row r="596">
      <c r="C596" s="36"/>
    </row>
    <row r="597">
      <c r="C597" s="36"/>
    </row>
    <row r="598">
      <c r="C598" s="36"/>
    </row>
    <row r="599">
      <c r="C599" s="36"/>
    </row>
    <row r="600">
      <c r="C600" s="36"/>
    </row>
    <row r="601">
      <c r="C601" s="36"/>
    </row>
    <row r="602">
      <c r="C602" s="36"/>
    </row>
    <row r="603">
      <c r="C603" s="36"/>
    </row>
    <row r="604">
      <c r="C604" s="36"/>
    </row>
    <row r="605">
      <c r="C605" s="36"/>
    </row>
    <row r="606">
      <c r="C606" s="36"/>
    </row>
    <row r="607">
      <c r="C607" s="36"/>
    </row>
    <row r="608">
      <c r="C608" s="36"/>
    </row>
    <row r="609">
      <c r="C609" s="36"/>
    </row>
    <row r="610">
      <c r="C610" s="36"/>
    </row>
    <row r="611">
      <c r="C611" s="36"/>
    </row>
    <row r="612">
      <c r="C612" s="36"/>
    </row>
    <row r="613">
      <c r="C613" s="36"/>
    </row>
    <row r="614">
      <c r="C614" s="36"/>
    </row>
    <row r="615">
      <c r="C615" s="36"/>
    </row>
    <row r="616">
      <c r="C616" s="36"/>
    </row>
    <row r="617">
      <c r="C617" s="36"/>
    </row>
    <row r="618">
      <c r="C618" s="36"/>
    </row>
    <row r="619">
      <c r="C619" s="36"/>
    </row>
    <row r="620">
      <c r="C620" s="36"/>
    </row>
    <row r="621">
      <c r="C621" s="36"/>
    </row>
    <row r="622">
      <c r="C622" s="36"/>
    </row>
    <row r="623">
      <c r="C623" s="36"/>
    </row>
    <row r="624">
      <c r="C624" s="36"/>
    </row>
    <row r="625">
      <c r="C625" s="36"/>
    </row>
    <row r="626">
      <c r="C626" s="36"/>
    </row>
    <row r="627">
      <c r="C627" s="36"/>
    </row>
    <row r="628">
      <c r="C628" s="36"/>
    </row>
    <row r="629">
      <c r="C629" s="36"/>
    </row>
    <row r="630">
      <c r="C630" s="36"/>
    </row>
    <row r="631">
      <c r="C631" s="36"/>
    </row>
    <row r="632">
      <c r="C632" s="36"/>
    </row>
    <row r="633">
      <c r="C633" s="36"/>
    </row>
    <row r="634">
      <c r="C634" s="36"/>
    </row>
    <row r="635">
      <c r="C635" s="36"/>
    </row>
    <row r="636">
      <c r="C636" s="36"/>
    </row>
    <row r="637">
      <c r="C637" s="36"/>
    </row>
    <row r="638">
      <c r="C638" s="36"/>
    </row>
    <row r="639">
      <c r="C639" s="36"/>
    </row>
    <row r="640">
      <c r="C640" s="36"/>
    </row>
    <row r="641">
      <c r="C641" s="36"/>
    </row>
    <row r="642">
      <c r="C642" s="36"/>
    </row>
    <row r="643">
      <c r="C643" s="36"/>
    </row>
    <row r="644">
      <c r="C644" s="36"/>
    </row>
    <row r="645">
      <c r="C645" s="36"/>
    </row>
    <row r="646">
      <c r="C646" s="36"/>
    </row>
    <row r="647">
      <c r="C647" s="36"/>
    </row>
    <row r="648">
      <c r="C648" s="36"/>
    </row>
    <row r="649">
      <c r="C649" s="36"/>
    </row>
    <row r="650">
      <c r="C650" s="36"/>
    </row>
    <row r="651">
      <c r="C651" s="36"/>
    </row>
    <row r="652">
      <c r="C652" s="36"/>
    </row>
    <row r="653">
      <c r="C653" s="36"/>
    </row>
    <row r="654">
      <c r="C654" s="36"/>
    </row>
    <row r="655">
      <c r="C655" s="36"/>
    </row>
    <row r="656">
      <c r="C656" s="36"/>
    </row>
    <row r="657">
      <c r="C657" s="36"/>
    </row>
    <row r="658">
      <c r="C658" s="36"/>
    </row>
    <row r="659">
      <c r="C659" s="36"/>
    </row>
    <row r="660">
      <c r="C660" s="36"/>
    </row>
    <row r="661">
      <c r="C661" s="36"/>
    </row>
    <row r="662">
      <c r="C662" s="36"/>
    </row>
    <row r="663">
      <c r="C663" s="36"/>
    </row>
    <row r="664">
      <c r="C664" s="36"/>
    </row>
    <row r="665">
      <c r="C665" s="36"/>
    </row>
    <row r="666">
      <c r="C666" s="36"/>
    </row>
    <row r="667">
      <c r="C667" s="36"/>
    </row>
    <row r="668">
      <c r="C668" s="36"/>
    </row>
    <row r="669">
      <c r="C669" s="36"/>
    </row>
    <row r="670">
      <c r="C670" s="36"/>
    </row>
    <row r="671">
      <c r="C671" s="36"/>
    </row>
    <row r="672">
      <c r="C672" s="36"/>
    </row>
    <row r="673">
      <c r="C673" s="36"/>
    </row>
    <row r="674">
      <c r="C674" s="36"/>
    </row>
    <row r="675">
      <c r="C675" s="36"/>
    </row>
    <row r="676">
      <c r="C676" s="36"/>
    </row>
    <row r="677">
      <c r="C677" s="36"/>
    </row>
    <row r="678">
      <c r="C678" s="36"/>
    </row>
    <row r="679">
      <c r="C679" s="36"/>
    </row>
    <row r="680">
      <c r="C680" s="36"/>
    </row>
    <row r="681">
      <c r="C681" s="36"/>
    </row>
    <row r="682">
      <c r="C682" s="36"/>
    </row>
    <row r="683">
      <c r="C683" s="36"/>
    </row>
    <row r="684">
      <c r="C684" s="36"/>
    </row>
    <row r="685">
      <c r="C685" s="36"/>
    </row>
    <row r="686">
      <c r="C686" s="36"/>
    </row>
    <row r="687">
      <c r="C687" s="36"/>
    </row>
    <row r="688">
      <c r="C688" s="36"/>
    </row>
    <row r="689">
      <c r="C689" s="36"/>
    </row>
    <row r="690">
      <c r="C690" s="36"/>
    </row>
    <row r="691">
      <c r="C691" s="36"/>
    </row>
    <row r="692">
      <c r="C692" s="36"/>
    </row>
    <row r="693">
      <c r="C693" s="36"/>
    </row>
    <row r="694">
      <c r="C694" s="36"/>
    </row>
    <row r="695">
      <c r="C695" s="36"/>
    </row>
    <row r="696">
      <c r="C696" s="36"/>
    </row>
    <row r="697">
      <c r="C697" s="36"/>
    </row>
    <row r="698">
      <c r="C698" s="36"/>
    </row>
    <row r="699">
      <c r="C699" s="36"/>
    </row>
    <row r="700">
      <c r="C700" s="36"/>
    </row>
    <row r="701">
      <c r="C701" s="36"/>
    </row>
    <row r="702">
      <c r="C702" s="36"/>
    </row>
    <row r="703">
      <c r="C703" s="36"/>
    </row>
    <row r="704">
      <c r="C704" s="36"/>
    </row>
    <row r="705">
      <c r="C705" s="36"/>
    </row>
    <row r="706">
      <c r="C706" s="36"/>
    </row>
    <row r="707">
      <c r="C707" s="36"/>
    </row>
    <row r="708">
      <c r="C708" s="36"/>
    </row>
    <row r="709">
      <c r="C709" s="36"/>
    </row>
    <row r="710">
      <c r="C710" s="36"/>
    </row>
    <row r="711">
      <c r="C711" s="36"/>
    </row>
    <row r="712">
      <c r="C712" s="36"/>
    </row>
    <row r="713">
      <c r="C713" s="36"/>
    </row>
    <row r="714">
      <c r="C714" s="36"/>
    </row>
    <row r="715">
      <c r="C715" s="36"/>
    </row>
    <row r="716">
      <c r="C716" s="36"/>
    </row>
    <row r="717">
      <c r="C717" s="36"/>
    </row>
    <row r="718">
      <c r="C718" s="36"/>
    </row>
    <row r="719">
      <c r="C719" s="36"/>
    </row>
    <row r="720">
      <c r="C720" s="36"/>
    </row>
    <row r="721">
      <c r="C721" s="36"/>
    </row>
    <row r="722">
      <c r="C722" s="36"/>
    </row>
    <row r="723">
      <c r="C723" s="36"/>
    </row>
    <row r="724">
      <c r="C724" s="36"/>
    </row>
    <row r="725">
      <c r="C725" s="36"/>
    </row>
    <row r="726">
      <c r="C726" s="36"/>
    </row>
    <row r="727">
      <c r="C727" s="36"/>
    </row>
    <row r="728">
      <c r="C728" s="36"/>
    </row>
    <row r="729">
      <c r="C729" s="36"/>
    </row>
    <row r="730">
      <c r="C730" s="36"/>
    </row>
    <row r="731">
      <c r="C731" s="36"/>
    </row>
    <row r="732">
      <c r="C732" s="36"/>
    </row>
    <row r="733">
      <c r="C733" s="36"/>
    </row>
    <row r="734">
      <c r="C734" s="36"/>
    </row>
    <row r="735">
      <c r="C735" s="36"/>
    </row>
    <row r="736">
      <c r="C736" s="36"/>
    </row>
    <row r="737">
      <c r="C737" s="36"/>
    </row>
    <row r="738">
      <c r="C738" s="36"/>
    </row>
    <row r="739">
      <c r="C739" s="36"/>
    </row>
    <row r="740">
      <c r="C740" s="36"/>
    </row>
    <row r="741">
      <c r="C741" s="36"/>
    </row>
    <row r="742">
      <c r="C742" s="36"/>
    </row>
    <row r="743">
      <c r="C743" s="36"/>
    </row>
    <row r="744">
      <c r="C744" s="36"/>
    </row>
    <row r="745">
      <c r="C745" s="36"/>
    </row>
    <row r="746">
      <c r="C746" s="36"/>
    </row>
    <row r="747">
      <c r="C747" s="36"/>
    </row>
    <row r="748">
      <c r="C748" s="36"/>
    </row>
    <row r="749">
      <c r="C749" s="36"/>
    </row>
    <row r="750">
      <c r="C750" s="36"/>
    </row>
    <row r="751">
      <c r="C751" s="36"/>
    </row>
    <row r="752">
      <c r="C752" s="36"/>
    </row>
    <row r="753">
      <c r="C753" s="36"/>
    </row>
    <row r="754">
      <c r="C754" s="36"/>
    </row>
    <row r="755">
      <c r="C755" s="36"/>
    </row>
    <row r="756">
      <c r="C756" s="36"/>
    </row>
    <row r="757">
      <c r="C757" s="36"/>
    </row>
    <row r="758">
      <c r="C758" s="36"/>
    </row>
    <row r="759">
      <c r="C759" s="36"/>
    </row>
    <row r="760">
      <c r="C760" s="36"/>
    </row>
    <row r="761">
      <c r="C761" s="36"/>
    </row>
    <row r="762">
      <c r="C762" s="36"/>
    </row>
    <row r="763">
      <c r="C763" s="36"/>
    </row>
    <row r="764">
      <c r="C764" s="36"/>
    </row>
    <row r="765">
      <c r="C765" s="36"/>
    </row>
    <row r="766">
      <c r="C766" s="36"/>
    </row>
    <row r="767">
      <c r="C767" s="36"/>
    </row>
    <row r="768">
      <c r="C768" s="36"/>
    </row>
    <row r="769">
      <c r="C769" s="36"/>
    </row>
    <row r="770">
      <c r="C770" s="36"/>
    </row>
    <row r="771">
      <c r="C771" s="36"/>
    </row>
    <row r="772">
      <c r="C772" s="36"/>
    </row>
    <row r="773">
      <c r="C773" s="36"/>
    </row>
    <row r="774">
      <c r="C774" s="36"/>
    </row>
    <row r="775">
      <c r="C775" s="36"/>
    </row>
    <row r="776">
      <c r="C776" s="36"/>
    </row>
    <row r="777">
      <c r="C777" s="36"/>
    </row>
    <row r="778">
      <c r="C778" s="36"/>
    </row>
    <row r="779">
      <c r="C779" s="36"/>
    </row>
    <row r="780">
      <c r="C780" s="36"/>
    </row>
    <row r="781">
      <c r="C781" s="36"/>
    </row>
    <row r="782">
      <c r="C782" s="36"/>
    </row>
    <row r="783">
      <c r="C783" s="36"/>
    </row>
    <row r="784">
      <c r="C784" s="36"/>
    </row>
    <row r="785">
      <c r="C785" s="36"/>
    </row>
    <row r="786">
      <c r="C786" s="36"/>
    </row>
    <row r="787">
      <c r="C787" s="36"/>
    </row>
    <row r="788">
      <c r="C788" s="36"/>
    </row>
    <row r="789">
      <c r="C789" s="36"/>
    </row>
    <row r="790">
      <c r="C790" s="36"/>
    </row>
    <row r="791">
      <c r="C791" s="36"/>
    </row>
    <row r="792">
      <c r="C792" s="36"/>
    </row>
    <row r="793">
      <c r="C793" s="36"/>
    </row>
    <row r="794">
      <c r="C794" s="36"/>
    </row>
    <row r="795">
      <c r="C795" s="36"/>
    </row>
    <row r="796">
      <c r="C796" s="36"/>
    </row>
    <row r="797">
      <c r="C797" s="36"/>
    </row>
    <row r="798">
      <c r="C798" s="36"/>
    </row>
    <row r="799">
      <c r="C799" s="36"/>
    </row>
    <row r="800">
      <c r="C800" s="36"/>
    </row>
    <row r="801">
      <c r="C801" s="36"/>
    </row>
    <row r="802">
      <c r="C802" s="36"/>
    </row>
    <row r="803">
      <c r="C803" s="36"/>
    </row>
    <row r="804">
      <c r="C804" s="36"/>
    </row>
    <row r="805">
      <c r="C805" s="36"/>
    </row>
    <row r="806">
      <c r="C806" s="36"/>
    </row>
    <row r="807">
      <c r="C807" s="36"/>
    </row>
    <row r="808">
      <c r="C808" s="36"/>
    </row>
    <row r="809">
      <c r="C809" s="36"/>
    </row>
    <row r="810">
      <c r="C810" s="36"/>
    </row>
    <row r="811">
      <c r="C811" s="36"/>
    </row>
    <row r="812">
      <c r="C812" s="36"/>
    </row>
    <row r="813">
      <c r="C813" s="36"/>
    </row>
    <row r="814">
      <c r="C814" s="36"/>
    </row>
    <row r="815">
      <c r="C815" s="36"/>
    </row>
    <row r="816">
      <c r="C816" s="36"/>
    </row>
    <row r="817">
      <c r="C817" s="36"/>
    </row>
    <row r="818">
      <c r="C818" s="36"/>
    </row>
    <row r="819">
      <c r="C819" s="36"/>
    </row>
    <row r="820">
      <c r="C820" s="36"/>
    </row>
    <row r="821">
      <c r="C821" s="36"/>
    </row>
    <row r="822">
      <c r="C822" s="36"/>
    </row>
    <row r="823">
      <c r="C823" s="36"/>
    </row>
    <row r="824">
      <c r="C824" s="36"/>
    </row>
    <row r="825">
      <c r="C825" s="36"/>
    </row>
    <row r="826">
      <c r="C826" s="36"/>
    </row>
    <row r="827">
      <c r="C827" s="36"/>
    </row>
    <row r="828">
      <c r="C828" s="36"/>
    </row>
    <row r="829">
      <c r="C829" s="36"/>
    </row>
    <row r="830">
      <c r="C830" s="36"/>
    </row>
    <row r="831">
      <c r="C831" s="36"/>
    </row>
    <row r="832">
      <c r="C832" s="36"/>
    </row>
    <row r="833">
      <c r="C833" s="36"/>
    </row>
    <row r="834">
      <c r="C834" s="36"/>
    </row>
    <row r="835">
      <c r="C835" s="36"/>
    </row>
    <row r="836">
      <c r="C836" s="36"/>
    </row>
    <row r="837">
      <c r="C837" s="36"/>
    </row>
    <row r="838">
      <c r="C838" s="36"/>
    </row>
    <row r="839">
      <c r="C839" s="36"/>
    </row>
    <row r="840">
      <c r="C840" s="36"/>
    </row>
    <row r="841">
      <c r="C841" s="36"/>
    </row>
    <row r="842">
      <c r="C842" s="36"/>
    </row>
    <row r="843">
      <c r="C843" s="36"/>
    </row>
    <row r="844">
      <c r="C844" s="36"/>
    </row>
    <row r="845">
      <c r="C845" s="36"/>
    </row>
    <row r="846">
      <c r="C846" s="36"/>
    </row>
    <row r="847">
      <c r="C847" s="36"/>
    </row>
    <row r="848">
      <c r="C848" s="36"/>
    </row>
    <row r="849">
      <c r="C849" s="36"/>
    </row>
    <row r="850">
      <c r="C850" s="36"/>
    </row>
    <row r="851">
      <c r="C851" s="36"/>
    </row>
    <row r="852">
      <c r="C852" s="36"/>
    </row>
    <row r="853">
      <c r="C853" s="36"/>
    </row>
    <row r="854">
      <c r="C854" s="36"/>
    </row>
    <row r="855">
      <c r="C855" s="36"/>
    </row>
    <row r="856">
      <c r="C856" s="36"/>
    </row>
    <row r="857">
      <c r="C857" s="36"/>
    </row>
    <row r="858">
      <c r="C858" s="36"/>
    </row>
    <row r="859">
      <c r="C859" s="36"/>
    </row>
    <row r="860">
      <c r="C860" s="36"/>
    </row>
    <row r="861">
      <c r="C861" s="36"/>
    </row>
    <row r="862">
      <c r="C862" s="36"/>
    </row>
    <row r="863">
      <c r="C863" s="36"/>
    </row>
    <row r="864">
      <c r="C864" s="36"/>
    </row>
    <row r="865">
      <c r="C865" s="36"/>
    </row>
    <row r="866">
      <c r="C866" s="36"/>
    </row>
    <row r="867">
      <c r="C867" s="36"/>
    </row>
    <row r="868">
      <c r="C868" s="36"/>
    </row>
    <row r="869">
      <c r="C869" s="36"/>
    </row>
    <row r="870">
      <c r="C870" s="36"/>
    </row>
    <row r="871">
      <c r="C871" s="36"/>
    </row>
    <row r="872">
      <c r="C872" s="36"/>
    </row>
    <row r="873">
      <c r="C873" s="36"/>
    </row>
    <row r="874">
      <c r="C874" s="36"/>
    </row>
    <row r="875">
      <c r="C875" s="36"/>
    </row>
    <row r="876">
      <c r="C876" s="36"/>
    </row>
    <row r="877">
      <c r="C877" s="36"/>
    </row>
    <row r="878">
      <c r="C878" s="36"/>
    </row>
    <row r="879">
      <c r="C879" s="36"/>
    </row>
    <row r="880">
      <c r="C880" s="36"/>
    </row>
    <row r="881">
      <c r="C881" s="36"/>
    </row>
    <row r="882">
      <c r="C882" s="36"/>
    </row>
    <row r="883">
      <c r="C883" s="36"/>
    </row>
    <row r="884">
      <c r="C884" s="36"/>
    </row>
    <row r="885">
      <c r="C885" s="36"/>
    </row>
    <row r="886">
      <c r="C886" s="36"/>
    </row>
    <row r="887">
      <c r="C887" s="36"/>
    </row>
    <row r="888">
      <c r="C888" s="36"/>
    </row>
    <row r="889">
      <c r="C889" s="36"/>
    </row>
    <row r="890">
      <c r="C890" s="36"/>
    </row>
    <row r="891">
      <c r="C891" s="36"/>
    </row>
    <row r="892">
      <c r="C892" s="36"/>
    </row>
    <row r="893">
      <c r="C893" s="36"/>
    </row>
    <row r="894">
      <c r="C894" s="36"/>
    </row>
    <row r="895">
      <c r="C895" s="36"/>
    </row>
    <row r="896">
      <c r="C896" s="36"/>
    </row>
    <row r="897">
      <c r="C897" s="36"/>
    </row>
    <row r="898">
      <c r="C898" s="36"/>
    </row>
    <row r="899">
      <c r="C899" s="36"/>
    </row>
    <row r="900">
      <c r="C900" s="36"/>
    </row>
    <row r="901">
      <c r="C901" s="36"/>
    </row>
    <row r="902">
      <c r="C902" s="36"/>
    </row>
    <row r="903">
      <c r="C903" s="36"/>
    </row>
    <row r="904">
      <c r="C904" s="36"/>
    </row>
    <row r="905">
      <c r="C905" s="36"/>
    </row>
    <row r="906">
      <c r="C906" s="36"/>
    </row>
    <row r="907">
      <c r="C907" s="36"/>
    </row>
    <row r="908">
      <c r="C908" s="36"/>
    </row>
    <row r="909">
      <c r="C909" s="36"/>
    </row>
    <row r="910">
      <c r="C910" s="36"/>
    </row>
    <row r="911">
      <c r="C911" s="36"/>
    </row>
    <row r="912">
      <c r="C912" s="36"/>
    </row>
    <row r="913">
      <c r="C913" s="36"/>
    </row>
    <row r="914">
      <c r="C914" s="36"/>
    </row>
    <row r="915">
      <c r="C915" s="36"/>
    </row>
    <row r="916">
      <c r="C916" s="36"/>
    </row>
    <row r="917">
      <c r="C917" s="36"/>
    </row>
    <row r="918">
      <c r="C918" s="36"/>
    </row>
    <row r="919">
      <c r="C919" s="36"/>
    </row>
    <row r="920">
      <c r="C920" s="36"/>
    </row>
    <row r="921">
      <c r="C921" s="36"/>
    </row>
    <row r="922">
      <c r="C922" s="36"/>
    </row>
    <row r="923">
      <c r="C923" s="36"/>
    </row>
    <row r="924">
      <c r="C924" s="36"/>
    </row>
    <row r="925">
      <c r="C925" s="36"/>
    </row>
    <row r="926">
      <c r="C926" s="36"/>
    </row>
    <row r="927">
      <c r="C927" s="36"/>
    </row>
    <row r="928">
      <c r="C928" s="36"/>
    </row>
    <row r="929">
      <c r="C929" s="36"/>
    </row>
    <row r="930">
      <c r="C930" s="36"/>
    </row>
    <row r="931">
      <c r="C931" s="36"/>
    </row>
    <row r="932">
      <c r="C932" s="36"/>
    </row>
    <row r="933">
      <c r="C933" s="36"/>
    </row>
    <row r="934">
      <c r="C934" s="36"/>
    </row>
    <row r="935">
      <c r="C935" s="36"/>
    </row>
    <row r="936">
      <c r="C936" s="36"/>
    </row>
    <row r="937">
      <c r="C937" s="36"/>
    </row>
    <row r="938">
      <c r="C938" s="36"/>
    </row>
    <row r="939">
      <c r="C939" s="36"/>
    </row>
    <row r="940">
      <c r="C940" s="36"/>
    </row>
    <row r="941">
      <c r="C941" s="36"/>
    </row>
    <row r="942">
      <c r="C942" s="36"/>
    </row>
    <row r="943">
      <c r="C943" s="36"/>
    </row>
    <row r="944">
      <c r="C944" s="36"/>
    </row>
    <row r="945">
      <c r="C945" s="36"/>
    </row>
    <row r="946">
      <c r="C946" s="36"/>
    </row>
    <row r="947">
      <c r="C947" s="36"/>
    </row>
    <row r="948">
      <c r="C948" s="36"/>
    </row>
    <row r="949">
      <c r="C949" s="36"/>
    </row>
    <row r="950">
      <c r="C950" s="36"/>
    </row>
    <row r="951">
      <c r="C951" s="36"/>
    </row>
    <row r="952">
      <c r="C952" s="36"/>
    </row>
    <row r="953">
      <c r="C953" s="36"/>
    </row>
    <row r="954">
      <c r="C954" s="36"/>
    </row>
    <row r="955">
      <c r="C955" s="36"/>
    </row>
    <row r="956">
      <c r="C956" s="36"/>
    </row>
    <row r="957">
      <c r="C957" s="36"/>
    </row>
    <row r="958">
      <c r="C958" s="36"/>
    </row>
    <row r="959">
      <c r="C959" s="36"/>
    </row>
    <row r="960">
      <c r="C960" s="36"/>
    </row>
    <row r="961">
      <c r="C961" s="36"/>
    </row>
    <row r="962">
      <c r="C962" s="36"/>
    </row>
    <row r="963">
      <c r="C963" s="36"/>
    </row>
    <row r="964">
      <c r="C964" s="36"/>
    </row>
    <row r="965">
      <c r="C965" s="36"/>
    </row>
    <row r="966">
      <c r="C966" s="36"/>
    </row>
    <row r="967">
      <c r="C967" s="36"/>
    </row>
    <row r="968">
      <c r="C968" s="36"/>
    </row>
    <row r="969">
      <c r="C969" s="36"/>
    </row>
    <row r="970">
      <c r="C970" s="36"/>
    </row>
    <row r="971">
      <c r="C971" s="36"/>
    </row>
    <row r="972">
      <c r="C972" s="36"/>
    </row>
    <row r="973">
      <c r="C973" s="36"/>
    </row>
    <row r="974">
      <c r="C974" s="36"/>
    </row>
    <row r="975">
      <c r="C975" s="36"/>
    </row>
    <row r="976">
      <c r="C976" s="36"/>
    </row>
    <row r="977">
      <c r="C977" s="36"/>
    </row>
    <row r="978">
      <c r="C978" s="36"/>
    </row>
    <row r="979">
      <c r="C979" s="36"/>
    </row>
    <row r="980">
      <c r="C980" s="36"/>
    </row>
    <row r="981">
      <c r="C981" s="36"/>
    </row>
    <row r="982">
      <c r="C982" s="36"/>
    </row>
    <row r="983">
      <c r="C983" s="36"/>
    </row>
    <row r="984">
      <c r="C984" s="36"/>
    </row>
    <row r="985">
      <c r="C985" s="36"/>
    </row>
    <row r="986">
      <c r="C986" s="36"/>
    </row>
    <row r="987">
      <c r="C987" s="36"/>
    </row>
    <row r="988">
      <c r="C988" s="36"/>
    </row>
    <row r="989">
      <c r="C989" s="36"/>
    </row>
    <row r="990">
      <c r="C990" s="36"/>
    </row>
    <row r="991">
      <c r="C991" s="36"/>
    </row>
    <row r="992">
      <c r="C992" s="36"/>
    </row>
    <row r="993">
      <c r="C993" s="36"/>
    </row>
    <row r="994">
      <c r="C994" s="36"/>
    </row>
    <row r="995">
      <c r="C995" s="36"/>
    </row>
    <row r="996">
      <c r="C996" s="36"/>
    </row>
    <row r="997">
      <c r="C997" s="36"/>
    </row>
    <row r="998">
      <c r="C998" s="36"/>
    </row>
    <row r="999">
      <c r="C999" s="36"/>
    </row>
    <row r="1000">
      <c r="C1000" s="36"/>
    </row>
  </sheetData>
  <conditionalFormatting sqref="J2:J401">
    <cfRule type="cellIs" dxfId="0" priority="1" operator="equal">
      <formula>"Start GTT Order"</formula>
    </cfRule>
  </conditionalFormatting>
  <conditionalFormatting sqref="J1:J401">
    <cfRule type="cellIs" dxfId="0" priority="2" operator="equal">
      <formula>"Update GTT Order"</formula>
    </cfRule>
  </conditionalFormatting>
  <drawing r:id="rId1"/>
</worksheet>
</file>